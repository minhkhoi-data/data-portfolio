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24BBDD6D-154A-4CB5-9019-5BE10021BB47}" xr6:coauthVersionLast="47" xr6:coauthVersionMax="47" xr10:uidLastSave="{00000000-0000-0000-0000-000000000000}"/>
  <bookViews>
    <workbookView xWindow="390" yWindow="390" windowWidth="38700" windowHeight="15345" activeTab="9" xr2:uid="{00000000-000D-0000-FFFF-FFFF00000000}"/>
  </bookViews>
  <sheets>
    <sheet name="Dashboard" sheetId="1" r:id="rId1"/>
    <sheet name="CRM_Data" sheetId="2" r:id="rId2"/>
    <sheet name="Rep_Performance" sheetId="3" r:id="rId3"/>
    <sheet name="Channel_Performance" sheetId="4" r:id="rId4"/>
    <sheet name="Funnel_Analysis" sheetId="5" r:id="rId5"/>
    <sheet name="Monthly_Trend" sheetId="6" r:id="rId6"/>
    <sheet name="Action_List" sheetId="7" r:id="rId7"/>
    <sheet name="Lookups" sheetId="8" r:id="rId8"/>
    <sheet name="Data_Dictionary" sheetId="9" r:id="rId9"/>
    <sheet name="Project_Overview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2" i="3"/>
  <c r="B3" i="3"/>
  <c r="B4" i="3"/>
  <c r="B5" i="3"/>
  <c r="B6" i="3"/>
  <c r="B7" i="3"/>
  <c r="B8" i="3"/>
  <c r="B9" i="3"/>
  <c r="B2" i="3"/>
  <c r="L3" i="3"/>
  <c r="L4" i="3"/>
  <c r="L5" i="3"/>
  <c r="L6" i="3"/>
  <c r="L7" i="3"/>
  <c r="L8" i="3"/>
  <c r="L9" i="3"/>
  <c r="L2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2" i="2"/>
  <c r="B6" i="5"/>
  <c r="B5" i="5"/>
  <c r="B4" i="5"/>
  <c r="B3" i="5"/>
  <c r="C3" i="5" s="1"/>
  <c r="D3" i="5" s="1"/>
  <c r="D2" i="5"/>
  <c r="C2" i="5"/>
  <c r="B2" i="5"/>
  <c r="D9" i="3"/>
  <c r="D8" i="3"/>
  <c r="D7" i="3"/>
  <c r="D6" i="3"/>
  <c r="D5" i="3"/>
  <c r="D4" i="3"/>
  <c r="D3" i="3"/>
  <c r="D2" i="3"/>
  <c r="AC1801" i="2"/>
  <c r="AB1801" i="2"/>
  <c r="AA1801" i="2"/>
  <c r="U1801" i="2"/>
  <c r="AE1801" i="2" s="1"/>
  <c r="T1801" i="2"/>
  <c r="AC1800" i="2"/>
  <c r="AB1800" i="2"/>
  <c r="AA1800" i="2"/>
  <c r="U1800" i="2"/>
  <c r="AE1800" i="2" s="1"/>
  <c r="T1800" i="2"/>
  <c r="AC1799" i="2"/>
  <c r="AB1799" i="2"/>
  <c r="AA1799" i="2"/>
  <c r="W1799" i="2"/>
  <c r="U1799" i="2"/>
  <c r="V1799" i="2" s="1"/>
  <c r="T1799" i="2"/>
  <c r="AC1798" i="2"/>
  <c r="AB1798" i="2"/>
  <c r="AA1798" i="2"/>
  <c r="U1798" i="2"/>
  <c r="W1798" i="2" s="1"/>
  <c r="T1798" i="2"/>
  <c r="AC1797" i="2"/>
  <c r="AB1797" i="2"/>
  <c r="AA1797" i="2"/>
  <c r="U1797" i="2"/>
  <c r="X1797" i="2" s="1"/>
  <c r="T1797" i="2"/>
  <c r="AC1796" i="2"/>
  <c r="AB1796" i="2"/>
  <c r="AA1796" i="2"/>
  <c r="U1796" i="2"/>
  <c r="AE1796" i="2" s="1"/>
  <c r="T1796" i="2"/>
  <c r="AC1795" i="2"/>
  <c r="AB1795" i="2"/>
  <c r="AA1795" i="2"/>
  <c r="U1795" i="2"/>
  <c r="AE1795" i="2" s="1"/>
  <c r="T1795" i="2"/>
  <c r="AC1794" i="2"/>
  <c r="AB1794" i="2"/>
  <c r="AA1794" i="2"/>
  <c r="U1794" i="2"/>
  <c r="AE1794" i="2" s="1"/>
  <c r="T1794" i="2"/>
  <c r="AC1793" i="2"/>
  <c r="AB1793" i="2"/>
  <c r="AA1793" i="2"/>
  <c r="U1793" i="2"/>
  <c r="T1793" i="2"/>
  <c r="AC1792" i="2"/>
  <c r="AB1792" i="2"/>
  <c r="AA1792" i="2"/>
  <c r="U1792" i="2"/>
  <c r="T1792" i="2"/>
  <c r="AC1791" i="2"/>
  <c r="AB1791" i="2"/>
  <c r="AA1791" i="2"/>
  <c r="U1791" i="2"/>
  <c r="AE1791" i="2" s="1"/>
  <c r="T1791" i="2"/>
  <c r="AC1790" i="2"/>
  <c r="AB1790" i="2"/>
  <c r="AA1790" i="2"/>
  <c r="U1790" i="2"/>
  <c r="AE1790" i="2" s="1"/>
  <c r="T1790" i="2"/>
  <c r="AC1789" i="2"/>
  <c r="AB1789" i="2"/>
  <c r="AA1789" i="2"/>
  <c r="U1789" i="2"/>
  <c r="AE1789" i="2" s="1"/>
  <c r="T1789" i="2"/>
  <c r="AC1788" i="2"/>
  <c r="AB1788" i="2"/>
  <c r="AA1788" i="2"/>
  <c r="U1788" i="2"/>
  <c r="Y1788" i="2" s="1"/>
  <c r="Z1788" i="2" s="1"/>
  <c r="T1788" i="2"/>
  <c r="AC1787" i="2"/>
  <c r="AB1787" i="2"/>
  <c r="AA1787" i="2"/>
  <c r="U1787" i="2"/>
  <c r="T1787" i="2"/>
  <c r="AC1786" i="2"/>
  <c r="AB1786" i="2"/>
  <c r="AA1786" i="2"/>
  <c r="U1786" i="2"/>
  <c r="T1786" i="2"/>
  <c r="AC1785" i="2"/>
  <c r="AB1785" i="2"/>
  <c r="AA1785" i="2"/>
  <c r="U1785" i="2"/>
  <c r="X1785" i="2" s="1"/>
  <c r="Y1785" i="2" s="1"/>
  <c r="Z1785" i="2" s="1"/>
  <c r="T1785" i="2"/>
  <c r="AC1784" i="2"/>
  <c r="AB1784" i="2"/>
  <c r="AA1784" i="2"/>
  <c r="U1784" i="2"/>
  <c r="AE1784" i="2" s="1"/>
  <c r="T1784" i="2"/>
  <c r="AC1783" i="2"/>
  <c r="AB1783" i="2"/>
  <c r="AA1783" i="2"/>
  <c r="U1783" i="2"/>
  <c r="AE1783" i="2" s="1"/>
  <c r="T1783" i="2"/>
  <c r="AC1782" i="2"/>
  <c r="AB1782" i="2"/>
  <c r="AA1782" i="2"/>
  <c r="U1782" i="2"/>
  <c r="W1782" i="2" s="1"/>
  <c r="T1782" i="2"/>
  <c r="AC1781" i="2"/>
  <c r="AB1781" i="2"/>
  <c r="AA1781" i="2"/>
  <c r="U1781" i="2"/>
  <c r="X1781" i="2" s="1"/>
  <c r="T1781" i="2"/>
  <c r="AC1780" i="2"/>
  <c r="AB1780" i="2"/>
  <c r="AA1780" i="2"/>
  <c r="U1780" i="2"/>
  <c r="T1780" i="2"/>
  <c r="AC1779" i="2"/>
  <c r="AB1779" i="2"/>
  <c r="AA1779" i="2"/>
  <c r="U1779" i="2"/>
  <c r="AE1779" i="2" s="1"/>
  <c r="T1779" i="2"/>
  <c r="AC1778" i="2"/>
  <c r="AB1778" i="2"/>
  <c r="AA1778" i="2"/>
  <c r="U1778" i="2"/>
  <c r="W1778" i="2" s="1"/>
  <c r="T1778" i="2"/>
  <c r="AC1777" i="2"/>
  <c r="AB1777" i="2"/>
  <c r="AA1777" i="2"/>
  <c r="U1777" i="2"/>
  <c r="T1777" i="2"/>
  <c r="AC1776" i="2"/>
  <c r="AB1776" i="2"/>
  <c r="AA1776" i="2"/>
  <c r="U1776" i="2"/>
  <c r="W1776" i="2" s="1"/>
  <c r="T1776" i="2"/>
  <c r="AC1775" i="2"/>
  <c r="AB1775" i="2"/>
  <c r="AA1775" i="2"/>
  <c r="U1775" i="2"/>
  <c r="AE1775" i="2" s="1"/>
  <c r="T1775" i="2"/>
  <c r="AC1774" i="2"/>
  <c r="AB1774" i="2"/>
  <c r="AA1774" i="2"/>
  <c r="U1774" i="2"/>
  <c r="X1774" i="2" s="1"/>
  <c r="T1774" i="2"/>
  <c r="AC1773" i="2"/>
  <c r="AB1773" i="2"/>
  <c r="AA1773" i="2"/>
  <c r="U1773" i="2"/>
  <c r="X1773" i="2" s="1"/>
  <c r="Y1773" i="2" s="1"/>
  <c r="Z1773" i="2" s="1"/>
  <c r="T1773" i="2"/>
  <c r="AC1772" i="2"/>
  <c r="AB1772" i="2"/>
  <c r="AA1772" i="2"/>
  <c r="U1772" i="2"/>
  <c r="AE1772" i="2" s="1"/>
  <c r="T1772" i="2"/>
  <c r="AC1771" i="2"/>
  <c r="AB1771" i="2"/>
  <c r="AA1771" i="2"/>
  <c r="U1771" i="2"/>
  <c r="X1771" i="2" s="1"/>
  <c r="T1771" i="2"/>
  <c r="AC1770" i="2"/>
  <c r="AB1770" i="2"/>
  <c r="AA1770" i="2"/>
  <c r="U1770" i="2"/>
  <c r="X1770" i="2" s="1"/>
  <c r="T1770" i="2"/>
  <c r="AC1769" i="2"/>
  <c r="AB1769" i="2"/>
  <c r="AA1769" i="2"/>
  <c r="U1769" i="2"/>
  <c r="X1769" i="2" s="1"/>
  <c r="Y1769" i="2" s="1"/>
  <c r="T1769" i="2"/>
  <c r="AC1768" i="2"/>
  <c r="AB1768" i="2"/>
  <c r="AA1768" i="2"/>
  <c r="U1768" i="2"/>
  <c r="W1768" i="2" s="1"/>
  <c r="T1768" i="2"/>
  <c r="AC1767" i="2"/>
  <c r="AB1767" i="2"/>
  <c r="AA1767" i="2"/>
  <c r="U1767" i="2"/>
  <c r="X1767" i="2" s="1"/>
  <c r="T1767" i="2"/>
  <c r="AC1766" i="2"/>
  <c r="AB1766" i="2"/>
  <c r="AA1766" i="2"/>
  <c r="U1766" i="2"/>
  <c r="T1766" i="2"/>
  <c r="AC1765" i="2"/>
  <c r="AB1765" i="2"/>
  <c r="AA1765" i="2"/>
  <c r="U1765" i="2"/>
  <c r="W1765" i="2" s="1"/>
  <c r="T1765" i="2"/>
  <c r="AC1764" i="2"/>
  <c r="AB1764" i="2"/>
  <c r="AA1764" i="2"/>
  <c r="U1764" i="2"/>
  <c r="AE1764" i="2" s="1"/>
  <c r="T1764" i="2"/>
  <c r="AC1763" i="2"/>
  <c r="AB1763" i="2"/>
  <c r="AA1763" i="2"/>
  <c r="U1763" i="2"/>
  <c r="AE1763" i="2" s="1"/>
  <c r="T1763" i="2"/>
  <c r="AC1762" i="2"/>
  <c r="AB1762" i="2"/>
  <c r="AA1762" i="2"/>
  <c r="U1762" i="2"/>
  <c r="T1762" i="2"/>
  <c r="AC1761" i="2"/>
  <c r="AB1761" i="2"/>
  <c r="AA1761" i="2"/>
  <c r="U1761" i="2"/>
  <c r="T1761" i="2"/>
  <c r="AC1760" i="2"/>
  <c r="AB1760" i="2"/>
  <c r="AA1760" i="2"/>
  <c r="U1760" i="2"/>
  <c r="T1760" i="2"/>
  <c r="AC1759" i="2"/>
  <c r="AB1759" i="2"/>
  <c r="AA1759" i="2"/>
  <c r="U1759" i="2"/>
  <c r="Y1759" i="2" s="1"/>
  <c r="Z1759" i="2" s="1"/>
  <c r="T1759" i="2"/>
  <c r="AC1758" i="2"/>
  <c r="AB1758" i="2"/>
  <c r="AA1758" i="2"/>
  <c r="U1758" i="2"/>
  <c r="X1758" i="2" s="1"/>
  <c r="T1758" i="2"/>
  <c r="AC1757" i="2"/>
  <c r="AB1757" i="2"/>
  <c r="AA1757" i="2"/>
  <c r="U1757" i="2"/>
  <c r="AE1757" i="2" s="1"/>
  <c r="T1757" i="2"/>
  <c r="AC1756" i="2"/>
  <c r="AB1756" i="2"/>
  <c r="AA1756" i="2"/>
  <c r="U1756" i="2"/>
  <c r="AE1756" i="2" s="1"/>
  <c r="T1756" i="2"/>
  <c r="AC1755" i="2"/>
  <c r="AB1755" i="2"/>
  <c r="AA1755" i="2"/>
  <c r="U1755" i="2"/>
  <c r="AE1755" i="2" s="1"/>
  <c r="T1755" i="2"/>
  <c r="AC1754" i="2"/>
  <c r="AB1754" i="2"/>
  <c r="AA1754" i="2"/>
  <c r="U1754" i="2"/>
  <c r="T1754" i="2"/>
  <c r="AC1753" i="2"/>
  <c r="AB1753" i="2"/>
  <c r="AA1753" i="2"/>
  <c r="U1753" i="2"/>
  <c r="T1753" i="2"/>
  <c r="AC1752" i="2"/>
  <c r="AB1752" i="2"/>
  <c r="AA1752" i="2"/>
  <c r="U1752" i="2"/>
  <c r="T1752" i="2"/>
  <c r="AC1751" i="2"/>
  <c r="AB1751" i="2"/>
  <c r="AA1751" i="2"/>
  <c r="U1751" i="2"/>
  <c r="T1751" i="2"/>
  <c r="AC1750" i="2"/>
  <c r="AB1750" i="2"/>
  <c r="AA1750" i="2"/>
  <c r="U1750" i="2"/>
  <c r="V1750" i="2" s="1"/>
  <c r="T1750" i="2"/>
  <c r="AC1749" i="2"/>
  <c r="AB1749" i="2"/>
  <c r="AA1749" i="2"/>
  <c r="U1749" i="2"/>
  <c r="AE1749" i="2" s="1"/>
  <c r="T1749" i="2"/>
  <c r="AC1748" i="2"/>
  <c r="AB1748" i="2"/>
  <c r="AA1748" i="2"/>
  <c r="U1748" i="2"/>
  <c r="T1748" i="2"/>
  <c r="AC1747" i="2"/>
  <c r="AB1747" i="2"/>
  <c r="AA1747" i="2"/>
  <c r="U1747" i="2"/>
  <c r="AE1747" i="2" s="1"/>
  <c r="T1747" i="2"/>
  <c r="AC1746" i="2"/>
  <c r="AB1746" i="2"/>
  <c r="AA1746" i="2"/>
  <c r="U1746" i="2"/>
  <c r="X1746" i="2" s="1"/>
  <c r="T1746" i="2"/>
  <c r="AC1745" i="2"/>
  <c r="AB1745" i="2"/>
  <c r="AA1745" i="2"/>
  <c r="U1745" i="2"/>
  <c r="Y1745" i="2" s="1"/>
  <c r="Z1745" i="2" s="1"/>
  <c r="T1745" i="2"/>
  <c r="AC1744" i="2"/>
  <c r="AB1744" i="2"/>
  <c r="AA1744" i="2"/>
  <c r="U1744" i="2"/>
  <c r="T1744" i="2"/>
  <c r="AC1743" i="2"/>
  <c r="AB1743" i="2"/>
  <c r="AA1743" i="2"/>
  <c r="U1743" i="2"/>
  <c r="Y1743" i="2" s="1"/>
  <c r="Z1743" i="2" s="1"/>
  <c r="T1743" i="2"/>
  <c r="AC1742" i="2"/>
  <c r="AB1742" i="2"/>
  <c r="AA1742" i="2"/>
  <c r="U1742" i="2"/>
  <c r="X1742" i="2" s="1"/>
  <c r="T1742" i="2"/>
  <c r="AC1741" i="2"/>
  <c r="AB1741" i="2"/>
  <c r="AA1741" i="2"/>
  <c r="U1741" i="2"/>
  <c r="X1741" i="2" s="1"/>
  <c r="Y1741" i="2" s="1"/>
  <c r="Z1741" i="2" s="1"/>
  <c r="T1741" i="2"/>
  <c r="AC1740" i="2"/>
  <c r="AB1740" i="2"/>
  <c r="AA1740" i="2"/>
  <c r="U1740" i="2"/>
  <c r="T1740" i="2"/>
  <c r="AC1739" i="2"/>
  <c r="AB1739" i="2"/>
  <c r="AA1739" i="2"/>
  <c r="U1739" i="2"/>
  <c r="X1739" i="2" s="1"/>
  <c r="T1739" i="2"/>
  <c r="AC1738" i="2"/>
  <c r="AB1738" i="2"/>
  <c r="AA1738" i="2"/>
  <c r="U1738" i="2"/>
  <c r="X1738" i="2" s="1"/>
  <c r="T1738" i="2"/>
  <c r="AC1737" i="2"/>
  <c r="AB1737" i="2"/>
  <c r="AA1737" i="2"/>
  <c r="U1737" i="2"/>
  <c r="X1737" i="2" s="1"/>
  <c r="Y1737" i="2" s="1"/>
  <c r="T1737" i="2"/>
  <c r="AC1736" i="2"/>
  <c r="AB1736" i="2"/>
  <c r="AA1736" i="2"/>
  <c r="U1736" i="2"/>
  <c r="W1736" i="2" s="1"/>
  <c r="T1736" i="2"/>
  <c r="AC1735" i="2"/>
  <c r="AB1735" i="2"/>
  <c r="AA1735" i="2"/>
  <c r="U1735" i="2"/>
  <c r="T1735" i="2"/>
  <c r="AC1734" i="2"/>
  <c r="AB1734" i="2"/>
  <c r="AA1734" i="2"/>
  <c r="U1734" i="2"/>
  <c r="T1734" i="2"/>
  <c r="AC1733" i="2"/>
  <c r="AB1733" i="2"/>
  <c r="AA1733" i="2"/>
  <c r="U1733" i="2"/>
  <c r="AE1733" i="2" s="1"/>
  <c r="T1733" i="2"/>
  <c r="AC1732" i="2"/>
  <c r="AB1732" i="2"/>
  <c r="AA1732" i="2"/>
  <c r="U1732" i="2"/>
  <c r="T1732" i="2"/>
  <c r="AC1731" i="2"/>
  <c r="AB1731" i="2"/>
  <c r="AA1731" i="2"/>
  <c r="U1731" i="2"/>
  <c r="Y1731" i="2" s="1"/>
  <c r="T1731" i="2"/>
  <c r="AC1730" i="2"/>
  <c r="AB1730" i="2"/>
  <c r="AA1730" i="2"/>
  <c r="U1730" i="2"/>
  <c r="AE1730" i="2" s="1"/>
  <c r="T1730" i="2"/>
  <c r="AC1729" i="2"/>
  <c r="AB1729" i="2"/>
  <c r="AA1729" i="2"/>
  <c r="U1729" i="2"/>
  <c r="AE1729" i="2" s="1"/>
  <c r="T1729" i="2"/>
  <c r="AC1728" i="2"/>
  <c r="AB1728" i="2"/>
  <c r="AA1728" i="2"/>
  <c r="U1728" i="2"/>
  <c r="AE1728" i="2" s="1"/>
  <c r="T1728" i="2"/>
  <c r="AC1727" i="2"/>
  <c r="AB1727" i="2"/>
  <c r="AA1727" i="2"/>
  <c r="U1727" i="2"/>
  <c r="Y1727" i="2" s="1"/>
  <c r="T1727" i="2"/>
  <c r="AC1726" i="2"/>
  <c r="AB1726" i="2"/>
  <c r="AA1726" i="2"/>
  <c r="U1726" i="2"/>
  <c r="T1726" i="2"/>
  <c r="AC1725" i="2"/>
  <c r="AB1725" i="2"/>
  <c r="AA1725" i="2"/>
  <c r="U1725" i="2"/>
  <c r="V1725" i="2" s="1"/>
  <c r="T1725" i="2"/>
  <c r="AC1724" i="2"/>
  <c r="AB1724" i="2"/>
  <c r="AA1724" i="2"/>
  <c r="U1724" i="2"/>
  <c r="T1724" i="2"/>
  <c r="AC1723" i="2"/>
  <c r="AB1723" i="2"/>
  <c r="AA1723" i="2"/>
  <c r="U1723" i="2"/>
  <c r="T1723" i="2"/>
  <c r="AC1722" i="2"/>
  <c r="AB1722" i="2"/>
  <c r="AA1722" i="2"/>
  <c r="U1722" i="2"/>
  <c r="V1722" i="2" s="1"/>
  <c r="T1722" i="2"/>
  <c r="AC1721" i="2"/>
  <c r="AB1721" i="2"/>
  <c r="AA1721" i="2"/>
  <c r="U1721" i="2"/>
  <c r="AE1721" i="2" s="1"/>
  <c r="T1721" i="2"/>
  <c r="AC1720" i="2"/>
  <c r="AB1720" i="2"/>
  <c r="AA1720" i="2"/>
  <c r="U1720" i="2"/>
  <c r="X1720" i="2" s="1"/>
  <c r="T1720" i="2"/>
  <c r="AC1719" i="2"/>
  <c r="AB1719" i="2"/>
  <c r="AA1719" i="2"/>
  <c r="U1719" i="2"/>
  <c r="V1719" i="2" s="1"/>
  <c r="T1719" i="2"/>
  <c r="AC1718" i="2"/>
  <c r="AB1718" i="2"/>
  <c r="AA1718" i="2"/>
  <c r="U1718" i="2"/>
  <c r="V1718" i="2" s="1"/>
  <c r="T1718" i="2"/>
  <c r="AC1717" i="2"/>
  <c r="AB1717" i="2"/>
  <c r="AA1717" i="2"/>
  <c r="U1717" i="2"/>
  <c r="T1717" i="2"/>
  <c r="AC1716" i="2"/>
  <c r="AB1716" i="2"/>
  <c r="AA1716" i="2"/>
  <c r="U1716" i="2"/>
  <c r="T1716" i="2"/>
  <c r="AC1715" i="2"/>
  <c r="AB1715" i="2"/>
  <c r="AA1715" i="2"/>
  <c r="U1715" i="2"/>
  <c r="X1715" i="2" s="1"/>
  <c r="Y1715" i="2" s="1"/>
  <c r="Z1715" i="2" s="1"/>
  <c r="T1715" i="2"/>
  <c r="AC1714" i="2"/>
  <c r="AB1714" i="2"/>
  <c r="AA1714" i="2"/>
  <c r="U1714" i="2"/>
  <c r="V1714" i="2" s="1"/>
  <c r="T1714" i="2"/>
  <c r="AC1713" i="2"/>
  <c r="AB1713" i="2"/>
  <c r="AA1713" i="2"/>
  <c r="U1713" i="2"/>
  <c r="W1713" i="2" s="1"/>
  <c r="T1713" i="2"/>
  <c r="AC1712" i="2"/>
  <c r="AB1712" i="2"/>
  <c r="AA1712" i="2"/>
  <c r="U1712" i="2"/>
  <c r="T1712" i="2"/>
  <c r="AC1711" i="2"/>
  <c r="AB1711" i="2"/>
  <c r="AA1711" i="2"/>
  <c r="U1711" i="2"/>
  <c r="T1711" i="2"/>
  <c r="AC1710" i="2"/>
  <c r="AB1710" i="2"/>
  <c r="AA1710" i="2"/>
  <c r="U1710" i="2"/>
  <c r="T1710" i="2"/>
  <c r="AC1709" i="2"/>
  <c r="AB1709" i="2"/>
  <c r="AA1709" i="2"/>
  <c r="U1709" i="2"/>
  <c r="V1709" i="2" s="1"/>
  <c r="T1709" i="2"/>
  <c r="AC1708" i="2"/>
  <c r="AB1708" i="2"/>
  <c r="AA1708" i="2"/>
  <c r="U1708" i="2"/>
  <c r="X1708" i="2" s="1"/>
  <c r="T1708" i="2"/>
  <c r="AC1707" i="2"/>
  <c r="AB1707" i="2"/>
  <c r="AA1707" i="2"/>
  <c r="U1707" i="2"/>
  <c r="V1707" i="2" s="1"/>
  <c r="T1707" i="2"/>
  <c r="AC1706" i="2"/>
  <c r="AB1706" i="2"/>
  <c r="AA1706" i="2"/>
  <c r="U1706" i="2"/>
  <c r="AE1706" i="2" s="1"/>
  <c r="T1706" i="2"/>
  <c r="AC1705" i="2"/>
  <c r="AB1705" i="2"/>
  <c r="AA1705" i="2"/>
  <c r="U1705" i="2"/>
  <c r="AE1705" i="2" s="1"/>
  <c r="T1705" i="2"/>
  <c r="AC1704" i="2"/>
  <c r="AB1704" i="2"/>
  <c r="AA1704" i="2"/>
  <c r="U1704" i="2"/>
  <c r="X1704" i="2" s="1"/>
  <c r="T1704" i="2"/>
  <c r="AC1703" i="2"/>
  <c r="AB1703" i="2"/>
  <c r="AA1703" i="2"/>
  <c r="U1703" i="2"/>
  <c r="T1703" i="2"/>
  <c r="AC1702" i="2"/>
  <c r="AB1702" i="2"/>
  <c r="AA1702" i="2"/>
  <c r="U1702" i="2"/>
  <c r="T1702" i="2"/>
  <c r="AC1701" i="2"/>
  <c r="AB1701" i="2"/>
  <c r="AA1701" i="2"/>
  <c r="U1701" i="2"/>
  <c r="X1701" i="2" s="1"/>
  <c r="T1701" i="2"/>
  <c r="AC1700" i="2"/>
  <c r="AB1700" i="2"/>
  <c r="AA1700" i="2"/>
  <c r="U1700" i="2"/>
  <c r="T1700" i="2"/>
  <c r="AC1699" i="2"/>
  <c r="AB1699" i="2"/>
  <c r="AA1699" i="2"/>
  <c r="U1699" i="2"/>
  <c r="T1699" i="2"/>
  <c r="AC1698" i="2"/>
  <c r="AB1698" i="2"/>
  <c r="AA1698" i="2"/>
  <c r="U1698" i="2"/>
  <c r="X1698" i="2" s="1"/>
  <c r="Y1698" i="2" s="1"/>
  <c r="Z1698" i="2" s="1"/>
  <c r="T1698" i="2"/>
  <c r="AC1697" i="2"/>
  <c r="AB1697" i="2"/>
  <c r="AA1697" i="2"/>
  <c r="U1697" i="2"/>
  <c r="T1697" i="2"/>
  <c r="AC1696" i="2"/>
  <c r="AB1696" i="2"/>
  <c r="AA1696" i="2"/>
  <c r="U1696" i="2"/>
  <c r="X1696" i="2" s="1"/>
  <c r="T1696" i="2"/>
  <c r="AC1695" i="2"/>
  <c r="AB1695" i="2"/>
  <c r="AA1695" i="2"/>
  <c r="U1695" i="2"/>
  <c r="T1695" i="2"/>
  <c r="AC1694" i="2"/>
  <c r="AB1694" i="2"/>
  <c r="AA1694" i="2"/>
  <c r="U1694" i="2"/>
  <c r="V1694" i="2" s="1"/>
  <c r="T1694" i="2"/>
  <c r="AC1693" i="2"/>
  <c r="AB1693" i="2"/>
  <c r="AA1693" i="2"/>
  <c r="U1693" i="2"/>
  <c r="T1693" i="2"/>
  <c r="AC1692" i="2"/>
  <c r="AB1692" i="2"/>
  <c r="AA1692" i="2"/>
  <c r="U1692" i="2"/>
  <c r="W1692" i="2" s="1"/>
  <c r="T1692" i="2"/>
  <c r="AC1691" i="2"/>
  <c r="AB1691" i="2"/>
  <c r="AA1691" i="2"/>
  <c r="U1691" i="2"/>
  <c r="AE1691" i="2" s="1"/>
  <c r="T1691" i="2"/>
  <c r="AC1690" i="2"/>
  <c r="AB1690" i="2"/>
  <c r="AA1690" i="2"/>
  <c r="U1690" i="2"/>
  <c r="V1690" i="2" s="1"/>
  <c r="T1690" i="2"/>
  <c r="AC1689" i="2"/>
  <c r="AB1689" i="2"/>
  <c r="AA1689" i="2"/>
  <c r="U1689" i="2"/>
  <c r="Y1689" i="2" s="1"/>
  <c r="Z1689" i="2" s="1"/>
  <c r="T1689" i="2"/>
  <c r="AC1688" i="2"/>
  <c r="AB1688" i="2"/>
  <c r="AA1688" i="2"/>
  <c r="U1688" i="2"/>
  <c r="T1688" i="2"/>
  <c r="AC1687" i="2"/>
  <c r="AB1687" i="2"/>
  <c r="AA1687" i="2"/>
  <c r="U1687" i="2"/>
  <c r="W1687" i="2" s="1"/>
  <c r="T1687" i="2"/>
  <c r="AC1686" i="2"/>
  <c r="AB1686" i="2"/>
  <c r="AA1686" i="2"/>
  <c r="U1686" i="2"/>
  <c r="AE1686" i="2" s="1"/>
  <c r="T1686" i="2"/>
  <c r="AC1685" i="2"/>
  <c r="AB1685" i="2"/>
  <c r="AA1685" i="2"/>
  <c r="U1685" i="2"/>
  <c r="X1685" i="2" s="1"/>
  <c r="T1685" i="2"/>
  <c r="AC1684" i="2"/>
  <c r="AB1684" i="2"/>
  <c r="AA1684" i="2"/>
  <c r="U1684" i="2"/>
  <c r="X1684" i="2" s="1"/>
  <c r="T1684" i="2"/>
  <c r="AC1683" i="2"/>
  <c r="AB1683" i="2"/>
  <c r="AA1683" i="2"/>
  <c r="U1683" i="2"/>
  <c r="V1683" i="2" s="1"/>
  <c r="T1683" i="2"/>
  <c r="AC1682" i="2"/>
  <c r="AB1682" i="2"/>
  <c r="AA1682" i="2"/>
  <c r="U1682" i="2"/>
  <c r="W1682" i="2" s="1"/>
  <c r="T1682" i="2"/>
  <c r="AC1681" i="2"/>
  <c r="AB1681" i="2"/>
  <c r="AA1681" i="2"/>
  <c r="U1681" i="2"/>
  <c r="X1681" i="2" s="1"/>
  <c r="Y1681" i="2" s="1"/>
  <c r="Z1681" i="2" s="1"/>
  <c r="T1681" i="2"/>
  <c r="AC1680" i="2"/>
  <c r="AB1680" i="2"/>
  <c r="AA1680" i="2"/>
  <c r="U1680" i="2"/>
  <c r="X1680" i="2" s="1"/>
  <c r="T1680" i="2"/>
  <c r="AC1679" i="2"/>
  <c r="AB1679" i="2"/>
  <c r="AA1679" i="2"/>
  <c r="U1679" i="2"/>
  <c r="X1679" i="2" s="1"/>
  <c r="T1679" i="2"/>
  <c r="AC1678" i="2"/>
  <c r="AB1678" i="2"/>
  <c r="AA1678" i="2"/>
  <c r="U1678" i="2"/>
  <c r="T1678" i="2"/>
  <c r="AC1677" i="2"/>
  <c r="AB1677" i="2"/>
  <c r="AA1677" i="2"/>
  <c r="U1677" i="2"/>
  <c r="AE1677" i="2" s="1"/>
  <c r="T1677" i="2"/>
  <c r="AC1676" i="2"/>
  <c r="AB1676" i="2"/>
  <c r="AA1676" i="2"/>
  <c r="U1676" i="2"/>
  <c r="T1676" i="2"/>
  <c r="AC1675" i="2"/>
  <c r="AB1675" i="2"/>
  <c r="AA1675" i="2"/>
  <c r="U1675" i="2"/>
  <c r="T1675" i="2"/>
  <c r="AC1674" i="2"/>
  <c r="AB1674" i="2"/>
  <c r="AA1674" i="2"/>
  <c r="U1674" i="2"/>
  <c r="AE1674" i="2" s="1"/>
  <c r="T1674" i="2"/>
  <c r="AC1673" i="2"/>
  <c r="AB1673" i="2"/>
  <c r="AA1673" i="2"/>
  <c r="U1673" i="2"/>
  <c r="T1673" i="2"/>
  <c r="AC1672" i="2"/>
  <c r="AB1672" i="2"/>
  <c r="AA1672" i="2"/>
  <c r="U1672" i="2"/>
  <c r="X1672" i="2" s="1"/>
  <c r="T1672" i="2"/>
  <c r="AC1671" i="2"/>
  <c r="AB1671" i="2"/>
  <c r="AA1671" i="2"/>
  <c r="U1671" i="2"/>
  <c r="T1671" i="2"/>
  <c r="AC1670" i="2"/>
  <c r="AB1670" i="2"/>
  <c r="AA1670" i="2"/>
  <c r="U1670" i="2"/>
  <c r="V1670" i="2" s="1"/>
  <c r="T1670" i="2"/>
  <c r="AC1669" i="2"/>
  <c r="AB1669" i="2"/>
  <c r="AA1669" i="2"/>
  <c r="U1669" i="2"/>
  <c r="AE1669" i="2" s="1"/>
  <c r="T1669" i="2"/>
  <c r="AC1668" i="2"/>
  <c r="AB1668" i="2"/>
  <c r="AA1668" i="2"/>
  <c r="U1668" i="2"/>
  <c r="W1668" i="2" s="1"/>
  <c r="T1668" i="2"/>
  <c r="AC1667" i="2"/>
  <c r="AB1667" i="2"/>
  <c r="AA1667" i="2"/>
  <c r="U1667" i="2"/>
  <c r="X1667" i="2" s="1"/>
  <c r="Y1667" i="2" s="1"/>
  <c r="Z1667" i="2" s="1"/>
  <c r="T1667" i="2"/>
  <c r="AC1666" i="2"/>
  <c r="AB1666" i="2"/>
  <c r="AA1666" i="2"/>
  <c r="U1666" i="2"/>
  <c r="V1666" i="2" s="1"/>
  <c r="T1666" i="2"/>
  <c r="AC1665" i="2"/>
  <c r="AB1665" i="2"/>
  <c r="AA1665" i="2"/>
  <c r="U1665" i="2"/>
  <c r="AE1665" i="2" s="1"/>
  <c r="T1665" i="2"/>
  <c r="AC1664" i="2"/>
  <c r="AB1664" i="2"/>
  <c r="AA1664" i="2"/>
  <c r="U1664" i="2"/>
  <c r="T1664" i="2"/>
  <c r="AC1663" i="2"/>
  <c r="AB1663" i="2"/>
  <c r="AA1663" i="2"/>
  <c r="U1663" i="2"/>
  <c r="V1663" i="2" s="1"/>
  <c r="T1663" i="2"/>
  <c r="AC1662" i="2"/>
  <c r="AB1662" i="2"/>
  <c r="AA1662" i="2"/>
  <c r="U1662" i="2"/>
  <c r="T1662" i="2"/>
  <c r="AC1661" i="2"/>
  <c r="AB1661" i="2"/>
  <c r="AA1661" i="2"/>
  <c r="U1661" i="2"/>
  <c r="AE1661" i="2" s="1"/>
  <c r="T1661" i="2"/>
  <c r="AC1660" i="2"/>
  <c r="AB1660" i="2"/>
  <c r="AA1660" i="2"/>
  <c r="U1660" i="2"/>
  <c r="T1660" i="2"/>
  <c r="AC1659" i="2"/>
  <c r="AB1659" i="2"/>
  <c r="AA1659" i="2"/>
  <c r="U1659" i="2"/>
  <c r="W1659" i="2" s="1"/>
  <c r="T1659" i="2"/>
  <c r="AC1658" i="2"/>
  <c r="AB1658" i="2"/>
  <c r="AA1658" i="2"/>
  <c r="U1658" i="2"/>
  <c r="V1658" i="2" s="1"/>
  <c r="T1658" i="2"/>
  <c r="AC1657" i="2"/>
  <c r="AB1657" i="2"/>
  <c r="AA1657" i="2"/>
  <c r="U1657" i="2"/>
  <c r="AE1657" i="2" s="1"/>
  <c r="T1657" i="2"/>
  <c r="AC1656" i="2"/>
  <c r="AB1656" i="2"/>
  <c r="AA1656" i="2"/>
  <c r="U1656" i="2"/>
  <c r="X1656" i="2" s="1"/>
  <c r="Y1656" i="2" s="1"/>
  <c r="Z1656" i="2" s="1"/>
  <c r="T1656" i="2"/>
  <c r="AC1655" i="2"/>
  <c r="AB1655" i="2"/>
  <c r="AA1655" i="2"/>
  <c r="U1655" i="2"/>
  <c r="V1655" i="2" s="1"/>
  <c r="T1655" i="2"/>
  <c r="AC1654" i="2"/>
  <c r="AB1654" i="2"/>
  <c r="AA1654" i="2"/>
  <c r="U1654" i="2"/>
  <c r="V1654" i="2" s="1"/>
  <c r="T1654" i="2"/>
  <c r="AC1653" i="2"/>
  <c r="AB1653" i="2"/>
  <c r="AA1653" i="2"/>
  <c r="U1653" i="2"/>
  <c r="AE1653" i="2" s="1"/>
  <c r="T1653" i="2"/>
  <c r="AC1652" i="2"/>
  <c r="AB1652" i="2"/>
  <c r="AA1652" i="2"/>
  <c r="U1652" i="2"/>
  <c r="T1652" i="2"/>
  <c r="AC1651" i="2"/>
  <c r="AB1651" i="2"/>
  <c r="AA1651" i="2"/>
  <c r="U1651" i="2"/>
  <c r="W1651" i="2" s="1"/>
  <c r="T1651" i="2"/>
  <c r="AC1650" i="2"/>
  <c r="AB1650" i="2"/>
  <c r="AA1650" i="2"/>
  <c r="U1650" i="2"/>
  <c r="X1650" i="2" s="1"/>
  <c r="Y1650" i="2" s="1"/>
  <c r="Z1650" i="2" s="1"/>
  <c r="T1650" i="2"/>
  <c r="AC1649" i="2"/>
  <c r="AB1649" i="2"/>
  <c r="AA1649" i="2"/>
  <c r="U1649" i="2"/>
  <c r="T1649" i="2"/>
  <c r="AC1648" i="2"/>
  <c r="AB1648" i="2"/>
  <c r="AA1648" i="2"/>
  <c r="U1648" i="2"/>
  <c r="AE1648" i="2" s="1"/>
  <c r="T1648" i="2"/>
  <c r="AC1647" i="2"/>
  <c r="AB1647" i="2"/>
  <c r="AA1647" i="2"/>
  <c r="U1647" i="2"/>
  <c r="V1647" i="2" s="1"/>
  <c r="T1647" i="2"/>
  <c r="AC1646" i="2"/>
  <c r="AB1646" i="2"/>
  <c r="AA1646" i="2"/>
  <c r="U1646" i="2"/>
  <c r="W1646" i="2" s="1"/>
  <c r="T1646" i="2"/>
  <c r="AC1645" i="2"/>
  <c r="AB1645" i="2"/>
  <c r="AA1645" i="2"/>
  <c r="U1645" i="2"/>
  <c r="T1645" i="2"/>
  <c r="AC1644" i="2"/>
  <c r="AB1644" i="2"/>
  <c r="AA1644" i="2"/>
  <c r="U1644" i="2"/>
  <c r="AE1644" i="2" s="1"/>
  <c r="T1644" i="2"/>
  <c r="AC1643" i="2"/>
  <c r="AB1643" i="2"/>
  <c r="AA1643" i="2"/>
  <c r="U1643" i="2"/>
  <c r="V1643" i="2" s="1"/>
  <c r="T1643" i="2"/>
  <c r="AC1642" i="2"/>
  <c r="AB1642" i="2"/>
  <c r="AA1642" i="2"/>
  <c r="U1642" i="2"/>
  <c r="W1642" i="2" s="1"/>
  <c r="T1642" i="2"/>
  <c r="AC1641" i="2"/>
  <c r="AB1641" i="2"/>
  <c r="AA1641" i="2"/>
  <c r="U1641" i="2"/>
  <c r="T1641" i="2"/>
  <c r="AC1640" i="2"/>
  <c r="AB1640" i="2"/>
  <c r="AA1640" i="2"/>
  <c r="U1640" i="2"/>
  <c r="AE1640" i="2" s="1"/>
  <c r="T1640" i="2"/>
  <c r="AC1639" i="2"/>
  <c r="AB1639" i="2"/>
  <c r="AA1639" i="2"/>
  <c r="U1639" i="2"/>
  <c r="V1639" i="2" s="1"/>
  <c r="T1639" i="2"/>
  <c r="AC1638" i="2"/>
  <c r="AB1638" i="2"/>
  <c r="AA1638" i="2"/>
  <c r="U1638" i="2"/>
  <c r="W1638" i="2" s="1"/>
  <c r="T1638" i="2"/>
  <c r="AC1637" i="2"/>
  <c r="AB1637" i="2"/>
  <c r="AA1637" i="2"/>
  <c r="U1637" i="2"/>
  <c r="W1637" i="2" s="1"/>
  <c r="T1637" i="2"/>
  <c r="AC1636" i="2"/>
  <c r="AB1636" i="2"/>
  <c r="AA1636" i="2"/>
  <c r="U1636" i="2"/>
  <c r="W1636" i="2" s="1"/>
  <c r="T1636" i="2"/>
  <c r="AC1635" i="2"/>
  <c r="AB1635" i="2"/>
  <c r="AA1635" i="2"/>
  <c r="U1635" i="2"/>
  <c r="V1635" i="2" s="1"/>
  <c r="T1635" i="2"/>
  <c r="AC1634" i="2"/>
  <c r="AB1634" i="2"/>
  <c r="AA1634" i="2"/>
  <c r="U1634" i="2"/>
  <c r="W1634" i="2" s="1"/>
  <c r="T1634" i="2"/>
  <c r="AC1633" i="2"/>
  <c r="AB1633" i="2"/>
  <c r="AA1633" i="2"/>
  <c r="U1633" i="2"/>
  <c r="V1633" i="2" s="1"/>
  <c r="T1633" i="2"/>
  <c r="AC1632" i="2"/>
  <c r="AB1632" i="2"/>
  <c r="AA1632" i="2"/>
  <c r="U1632" i="2"/>
  <c r="V1632" i="2" s="1"/>
  <c r="T1632" i="2"/>
  <c r="AC1631" i="2"/>
  <c r="AB1631" i="2"/>
  <c r="AA1631" i="2"/>
  <c r="U1631" i="2"/>
  <c r="T1631" i="2"/>
  <c r="AC1630" i="2"/>
  <c r="AB1630" i="2"/>
  <c r="AA1630" i="2"/>
  <c r="U1630" i="2"/>
  <c r="W1630" i="2" s="1"/>
  <c r="T1630" i="2"/>
  <c r="AC1629" i="2"/>
  <c r="AB1629" i="2"/>
  <c r="AA1629" i="2"/>
  <c r="U1629" i="2"/>
  <c r="T1629" i="2"/>
  <c r="AC1628" i="2"/>
  <c r="AB1628" i="2"/>
  <c r="AA1628" i="2"/>
  <c r="U1628" i="2"/>
  <c r="W1628" i="2" s="1"/>
  <c r="T1628" i="2"/>
  <c r="AC1627" i="2"/>
  <c r="AB1627" i="2"/>
  <c r="AA1627" i="2"/>
  <c r="U1627" i="2"/>
  <c r="V1627" i="2" s="1"/>
  <c r="T1627" i="2"/>
  <c r="AC1626" i="2"/>
  <c r="AB1626" i="2"/>
  <c r="AA1626" i="2"/>
  <c r="U1626" i="2"/>
  <c r="W1626" i="2" s="1"/>
  <c r="T1626" i="2"/>
  <c r="AC1625" i="2"/>
  <c r="AB1625" i="2"/>
  <c r="AA1625" i="2"/>
  <c r="U1625" i="2"/>
  <c r="V1625" i="2" s="1"/>
  <c r="T1625" i="2"/>
  <c r="AC1624" i="2"/>
  <c r="AB1624" i="2"/>
  <c r="AA1624" i="2"/>
  <c r="U1624" i="2"/>
  <c r="V1624" i="2" s="1"/>
  <c r="T1624" i="2"/>
  <c r="AC1623" i="2"/>
  <c r="AB1623" i="2"/>
  <c r="AA1623" i="2"/>
  <c r="U1623" i="2"/>
  <c r="W1623" i="2" s="1"/>
  <c r="T1623" i="2"/>
  <c r="AC1622" i="2"/>
  <c r="AB1622" i="2"/>
  <c r="AA1622" i="2"/>
  <c r="U1622" i="2"/>
  <c r="W1622" i="2" s="1"/>
  <c r="T1622" i="2"/>
  <c r="AC1621" i="2"/>
  <c r="AB1621" i="2"/>
  <c r="AA1621" i="2"/>
  <c r="U1621" i="2"/>
  <c r="V1621" i="2" s="1"/>
  <c r="T1621" i="2"/>
  <c r="AC1620" i="2"/>
  <c r="AB1620" i="2"/>
  <c r="AA1620" i="2"/>
  <c r="U1620" i="2"/>
  <c r="V1620" i="2" s="1"/>
  <c r="T1620" i="2"/>
  <c r="AC1619" i="2"/>
  <c r="AB1619" i="2"/>
  <c r="AA1619" i="2"/>
  <c r="U1619" i="2"/>
  <c r="T1619" i="2"/>
  <c r="AC1618" i="2"/>
  <c r="AB1618" i="2"/>
  <c r="AA1618" i="2"/>
  <c r="U1618" i="2"/>
  <c r="T1618" i="2"/>
  <c r="AC1617" i="2"/>
  <c r="AB1617" i="2"/>
  <c r="AA1617" i="2"/>
  <c r="U1617" i="2"/>
  <c r="T1617" i="2"/>
  <c r="AC1616" i="2"/>
  <c r="AB1616" i="2"/>
  <c r="AA1616" i="2"/>
  <c r="U1616" i="2"/>
  <c r="V1616" i="2" s="1"/>
  <c r="T1616" i="2"/>
  <c r="AC1615" i="2"/>
  <c r="AB1615" i="2"/>
  <c r="AA1615" i="2"/>
  <c r="U1615" i="2"/>
  <c r="W1615" i="2" s="1"/>
  <c r="T1615" i="2"/>
  <c r="AC1614" i="2"/>
  <c r="AB1614" i="2"/>
  <c r="AA1614" i="2"/>
  <c r="U1614" i="2"/>
  <c r="W1614" i="2" s="1"/>
  <c r="T1614" i="2"/>
  <c r="AC1613" i="2"/>
  <c r="AB1613" i="2"/>
  <c r="AA1613" i="2"/>
  <c r="U1613" i="2"/>
  <c r="W1613" i="2" s="1"/>
  <c r="T1613" i="2"/>
  <c r="AC1612" i="2"/>
  <c r="AB1612" i="2"/>
  <c r="AA1612" i="2"/>
  <c r="U1612" i="2"/>
  <c r="W1612" i="2" s="1"/>
  <c r="T1612" i="2"/>
  <c r="AC1611" i="2"/>
  <c r="AB1611" i="2"/>
  <c r="AA1611" i="2"/>
  <c r="U1611" i="2"/>
  <c r="V1611" i="2" s="1"/>
  <c r="T1611" i="2"/>
  <c r="AC1610" i="2"/>
  <c r="AB1610" i="2"/>
  <c r="AA1610" i="2"/>
  <c r="U1610" i="2"/>
  <c r="V1610" i="2" s="1"/>
  <c r="T1610" i="2"/>
  <c r="AC1609" i="2"/>
  <c r="AB1609" i="2"/>
  <c r="AA1609" i="2"/>
  <c r="U1609" i="2"/>
  <c r="V1609" i="2" s="1"/>
  <c r="T1609" i="2"/>
  <c r="AC1608" i="2"/>
  <c r="AB1608" i="2"/>
  <c r="AA1608" i="2"/>
  <c r="U1608" i="2"/>
  <c r="V1608" i="2" s="1"/>
  <c r="T1608" i="2"/>
  <c r="AC1607" i="2"/>
  <c r="AB1607" i="2"/>
  <c r="AA1607" i="2"/>
  <c r="U1607" i="2"/>
  <c r="X1607" i="2" s="1"/>
  <c r="T1607" i="2"/>
  <c r="AC1606" i="2"/>
  <c r="AB1606" i="2"/>
  <c r="AA1606" i="2"/>
  <c r="U1606" i="2"/>
  <c r="W1606" i="2" s="1"/>
  <c r="T1606" i="2"/>
  <c r="AC1605" i="2"/>
  <c r="AB1605" i="2"/>
  <c r="AA1605" i="2"/>
  <c r="U1605" i="2"/>
  <c r="X1605" i="2" s="1"/>
  <c r="Y1605" i="2" s="1"/>
  <c r="T1605" i="2"/>
  <c r="AC1604" i="2"/>
  <c r="AB1604" i="2"/>
  <c r="AA1604" i="2"/>
  <c r="U1604" i="2"/>
  <c r="X1604" i="2" s="1"/>
  <c r="Y1604" i="2" s="1"/>
  <c r="Z1604" i="2" s="1"/>
  <c r="T1604" i="2"/>
  <c r="AC1603" i="2"/>
  <c r="AB1603" i="2"/>
  <c r="AA1603" i="2"/>
  <c r="U1603" i="2"/>
  <c r="AE1603" i="2" s="1"/>
  <c r="T1603" i="2"/>
  <c r="AC1602" i="2"/>
  <c r="AB1602" i="2"/>
  <c r="AA1602" i="2"/>
  <c r="U1602" i="2"/>
  <c r="X1602" i="2" s="1"/>
  <c r="T1602" i="2"/>
  <c r="AC1601" i="2"/>
  <c r="AB1601" i="2"/>
  <c r="AA1601" i="2"/>
  <c r="U1601" i="2"/>
  <c r="AE1601" i="2" s="1"/>
  <c r="T1601" i="2"/>
  <c r="AC1600" i="2"/>
  <c r="AB1600" i="2"/>
  <c r="AA1600" i="2"/>
  <c r="U1600" i="2"/>
  <c r="T1600" i="2"/>
  <c r="AC1599" i="2"/>
  <c r="AB1599" i="2"/>
  <c r="AA1599" i="2"/>
  <c r="U1599" i="2"/>
  <c r="T1599" i="2"/>
  <c r="AC1598" i="2"/>
  <c r="AB1598" i="2"/>
  <c r="AA1598" i="2"/>
  <c r="U1598" i="2"/>
  <c r="T1598" i="2"/>
  <c r="AC1597" i="2"/>
  <c r="AB1597" i="2"/>
  <c r="AA1597" i="2"/>
  <c r="W1597" i="2"/>
  <c r="U1597" i="2"/>
  <c r="V1597" i="2" s="1"/>
  <c r="T1597" i="2"/>
  <c r="AC1596" i="2"/>
  <c r="AB1596" i="2"/>
  <c r="AA1596" i="2"/>
  <c r="U1596" i="2"/>
  <c r="T1596" i="2"/>
  <c r="AC1595" i="2"/>
  <c r="AB1595" i="2"/>
  <c r="AA1595" i="2"/>
  <c r="U1595" i="2"/>
  <c r="T1595" i="2"/>
  <c r="AC1594" i="2"/>
  <c r="AB1594" i="2"/>
  <c r="AA1594" i="2"/>
  <c r="U1594" i="2"/>
  <c r="W1594" i="2" s="1"/>
  <c r="T1594" i="2"/>
  <c r="AC1593" i="2"/>
  <c r="AB1593" i="2"/>
  <c r="AA1593" i="2"/>
  <c r="U1593" i="2"/>
  <c r="AE1593" i="2" s="1"/>
  <c r="T1593" i="2"/>
  <c r="AC1592" i="2"/>
  <c r="AB1592" i="2"/>
  <c r="AA1592" i="2"/>
  <c r="U1592" i="2"/>
  <c r="T1592" i="2"/>
  <c r="AC1591" i="2"/>
  <c r="AB1591" i="2"/>
  <c r="AA1591" i="2"/>
  <c r="U1591" i="2"/>
  <c r="AE1591" i="2" s="1"/>
  <c r="T1591" i="2"/>
  <c r="AC1590" i="2"/>
  <c r="AB1590" i="2"/>
  <c r="AA1590" i="2"/>
  <c r="U1590" i="2"/>
  <c r="V1590" i="2" s="1"/>
  <c r="T1590" i="2"/>
  <c r="AC1589" i="2"/>
  <c r="AB1589" i="2"/>
  <c r="AA1589" i="2"/>
  <c r="U1589" i="2"/>
  <c r="Y1589" i="2" s="1"/>
  <c r="Z1589" i="2" s="1"/>
  <c r="T1589" i="2"/>
  <c r="AC1588" i="2"/>
  <c r="AB1588" i="2"/>
  <c r="AA1588" i="2"/>
  <c r="U1588" i="2"/>
  <c r="T1588" i="2"/>
  <c r="AC1587" i="2"/>
  <c r="AB1587" i="2"/>
  <c r="AA1587" i="2"/>
  <c r="U1587" i="2"/>
  <c r="AE1587" i="2" s="1"/>
  <c r="T1587" i="2"/>
  <c r="AC1586" i="2"/>
  <c r="AB1586" i="2"/>
  <c r="AA1586" i="2"/>
  <c r="X1586" i="2"/>
  <c r="U1586" i="2"/>
  <c r="V1586" i="2" s="1"/>
  <c r="T1586" i="2"/>
  <c r="AC1585" i="2"/>
  <c r="AB1585" i="2"/>
  <c r="AA1585" i="2"/>
  <c r="U1585" i="2"/>
  <c r="T1585" i="2"/>
  <c r="AC1584" i="2"/>
  <c r="AB1584" i="2"/>
  <c r="AA1584" i="2"/>
  <c r="U1584" i="2"/>
  <c r="Y1584" i="2" s="1"/>
  <c r="T1584" i="2"/>
  <c r="AC1583" i="2"/>
  <c r="AB1583" i="2"/>
  <c r="AA1583" i="2"/>
  <c r="U1583" i="2"/>
  <c r="T1583" i="2"/>
  <c r="AC1582" i="2"/>
  <c r="AB1582" i="2"/>
  <c r="AA1582" i="2"/>
  <c r="U1582" i="2"/>
  <c r="T1582" i="2"/>
  <c r="AC1581" i="2"/>
  <c r="AB1581" i="2"/>
  <c r="AA1581" i="2"/>
  <c r="U1581" i="2"/>
  <c r="T1581" i="2"/>
  <c r="AC1580" i="2"/>
  <c r="AB1580" i="2"/>
  <c r="AA1580" i="2"/>
  <c r="U1580" i="2"/>
  <c r="Y1580" i="2" s="1"/>
  <c r="T1580" i="2"/>
  <c r="AC1579" i="2"/>
  <c r="AB1579" i="2"/>
  <c r="AA1579" i="2"/>
  <c r="U1579" i="2"/>
  <c r="T1579" i="2"/>
  <c r="AC1578" i="2"/>
  <c r="AB1578" i="2"/>
  <c r="AA1578" i="2"/>
  <c r="U1578" i="2"/>
  <c r="V1578" i="2" s="1"/>
  <c r="T1578" i="2"/>
  <c r="AC1577" i="2"/>
  <c r="AB1577" i="2"/>
  <c r="AA1577" i="2"/>
  <c r="U1577" i="2"/>
  <c r="W1577" i="2" s="1"/>
  <c r="T1577" i="2"/>
  <c r="AC1576" i="2"/>
  <c r="AB1576" i="2"/>
  <c r="AA1576" i="2"/>
  <c r="U1576" i="2"/>
  <c r="T1576" i="2"/>
  <c r="AC1575" i="2"/>
  <c r="AB1575" i="2"/>
  <c r="AA1575" i="2"/>
  <c r="U1575" i="2"/>
  <c r="T1575" i="2"/>
  <c r="AC1574" i="2"/>
  <c r="AB1574" i="2"/>
  <c r="AA1574" i="2"/>
  <c r="U1574" i="2"/>
  <c r="T1574" i="2"/>
  <c r="AC1573" i="2"/>
  <c r="AB1573" i="2"/>
  <c r="AA1573" i="2"/>
  <c r="U1573" i="2"/>
  <c r="T1573" i="2"/>
  <c r="AC1572" i="2"/>
  <c r="AB1572" i="2"/>
  <c r="AA1572" i="2"/>
  <c r="U1572" i="2"/>
  <c r="T1572" i="2"/>
  <c r="AC1571" i="2"/>
  <c r="AB1571" i="2"/>
  <c r="AA1571" i="2"/>
  <c r="U1571" i="2"/>
  <c r="T1571" i="2"/>
  <c r="AC1570" i="2"/>
  <c r="AB1570" i="2"/>
  <c r="AA1570" i="2"/>
  <c r="U1570" i="2"/>
  <c r="X1570" i="2" s="1"/>
  <c r="T1570" i="2"/>
  <c r="AC1569" i="2"/>
  <c r="AB1569" i="2"/>
  <c r="AA1569" i="2"/>
  <c r="U1569" i="2"/>
  <c r="X1569" i="2" s="1"/>
  <c r="Y1569" i="2" s="1"/>
  <c r="T1569" i="2"/>
  <c r="AC1568" i="2"/>
  <c r="AB1568" i="2"/>
  <c r="AA1568" i="2"/>
  <c r="U1568" i="2"/>
  <c r="Y1568" i="2" s="1"/>
  <c r="T1568" i="2"/>
  <c r="AC1567" i="2"/>
  <c r="AB1567" i="2"/>
  <c r="AA1567" i="2"/>
  <c r="U1567" i="2"/>
  <c r="X1567" i="2" s="1"/>
  <c r="T1567" i="2"/>
  <c r="AC1566" i="2"/>
  <c r="AB1566" i="2"/>
  <c r="AA1566" i="2"/>
  <c r="U1566" i="2"/>
  <c r="V1566" i="2" s="1"/>
  <c r="T1566" i="2"/>
  <c r="AC1565" i="2"/>
  <c r="AB1565" i="2"/>
  <c r="AA1565" i="2"/>
  <c r="U1565" i="2"/>
  <c r="X1565" i="2" s="1"/>
  <c r="T1565" i="2"/>
  <c r="AC1564" i="2"/>
  <c r="AB1564" i="2"/>
  <c r="AA1564" i="2"/>
  <c r="U1564" i="2"/>
  <c r="T1564" i="2"/>
  <c r="AC1563" i="2"/>
  <c r="AB1563" i="2"/>
  <c r="AA1563" i="2"/>
  <c r="U1563" i="2"/>
  <c r="AE1563" i="2" s="1"/>
  <c r="T1563" i="2"/>
  <c r="AC1562" i="2"/>
  <c r="AB1562" i="2"/>
  <c r="AA1562" i="2"/>
  <c r="U1562" i="2"/>
  <c r="X1562" i="2" s="1"/>
  <c r="T1562" i="2"/>
  <c r="AC1561" i="2"/>
  <c r="AB1561" i="2"/>
  <c r="AA1561" i="2"/>
  <c r="U1561" i="2"/>
  <c r="AE1561" i="2" s="1"/>
  <c r="T1561" i="2"/>
  <c r="AC1560" i="2"/>
  <c r="AB1560" i="2"/>
  <c r="AA1560" i="2"/>
  <c r="U1560" i="2"/>
  <c r="T1560" i="2"/>
  <c r="AC1559" i="2"/>
  <c r="AB1559" i="2"/>
  <c r="AA1559" i="2"/>
  <c r="U1559" i="2"/>
  <c r="AE1559" i="2" s="1"/>
  <c r="T1559" i="2"/>
  <c r="AC1558" i="2"/>
  <c r="AB1558" i="2"/>
  <c r="AA1558" i="2"/>
  <c r="U1558" i="2"/>
  <c r="AE1558" i="2" s="1"/>
  <c r="T1558" i="2"/>
  <c r="AE1557" i="2"/>
  <c r="AC1557" i="2"/>
  <c r="AB1557" i="2"/>
  <c r="AA1557" i="2"/>
  <c r="U1557" i="2"/>
  <c r="W1557" i="2" s="1"/>
  <c r="T1557" i="2"/>
  <c r="AC1556" i="2"/>
  <c r="AB1556" i="2"/>
  <c r="AA1556" i="2"/>
  <c r="U1556" i="2"/>
  <c r="V1556" i="2" s="1"/>
  <c r="T1556" i="2"/>
  <c r="AC1555" i="2"/>
  <c r="AB1555" i="2"/>
  <c r="AA1555" i="2"/>
  <c r="U1555" i="2"/>
  <c r="X1555" i="2" s="1"/>
  <c r="T1555" i="2"/>
  <c r="AC1554" i="2"/>
  <c r="AB1554" i="2"/>
  <c r="AA1554" i="2"/>
  <c r="U1554" i="2"/>
  <c r="V1554" i="2" s="1"/>
  <c r="T1554" i="2"/>
  <c r="AC1553" i="2"/>
  <c r="AB1553" i="2"/>
  <c r="AA1553" i="2"/>
  <c r="U1553" i="2"/>
  <c r="V1553" i="2" s="1"/>
  <c r="T1553" i="2"/>
  <c r="AC1552" i="2"/>
  <c r="AB1552" i="2"/>
  <c r="AA1552" i="2"/>
  <c r="U1552" i="2"/>
  <c r="V1552" i="2" s="1"/>
  <c r="T1552" i="2"/>
  <c r="AC1551" i="2"/>
  <c r="AB1551" i="2"/>
  <c r="AA1551" i="2"/>
  <c r="U1551" i="2"/>
  <c r="X1551" i="2" s="1"/>
  <c r="T1551" i="2"/>
  <c r="AC1550" i="2"/>
  <c r="AB1550" i="2"/>
  <c r="AA1550" i="2"/>
  <c r="U1550" i="2"/>
  <c r="V1550" i="2" s="1"/>
  <c r="T1550" i="2"/>
  <c r="AC1549" i="2"/>
  <c r="AB1549" i="2"/>
  <c r="AA1549" i="2"/>
  <c r="U1549" i="2"/>
  <c r="T1549" i="2"/>
  <c r="AC1548" i="2"/>
  <c r="AB1548" i="2"/>
  <c r="AA1548" i="2"/>
  <c r="U1548" i="2"/>
  <c r="T1548" i="2"/>
  <c r="AC1547" i="2"/>
  <c r="AB1547" i="2"/>
  <c r="AA1547" i="2"/>
  <c r="U1547" i="2"/>
  <c r="X1547" i="2" s="1"/>
  <c r="Y1547" i="2" s="1"/>
  <c r="T1547" i="2"/>
  <c r="AC1546" i="2"/>
  <c r="AB1546" i="2"/>
  <c r="AA1546" i="2"/>
  <c r="U1546" i="2"/>
  <c r="T1546" i="2"/>
  <c r="AC1545" i="2"/>
  <c r="AB1545" i="2"/>
  <c r="AA1545" i="2"/>
  <c r="U1545" i="2"/>
  <c r="AE1545" i="2" s="1"/>
  <c r="T1545" i="2"/>
  <c r="AC1544" i="2"/>
  <c r="AB1544" i="2"/>
  <c r="AA1544" i="2"/>
  <c r="U1544" i="2"/>
  <c r="Y1544" i="2" s="1"/>
  <c r="T1544" i="2"/>
  <c r="AC1543" i="2"/>
  <c r="AB1543" i="2"/>
  <c r="AA1543" i="2"/>
  <c r="U1543" i="2"/>
  <c r="X1543" i="2" s="1"/>
  <c r="T1543" i="2"/>
  <c r="AC1542" i="2"/>
  <c r="AB1542" i="2"/>
  <c r="AA1542" i="2"/>
  <c r="U1542" i="2"/>
  <c r="V1542" i="2" s="1"/>
  <c r="T1542" i="2"/>
  <c r="AC1541" i="2"/>
  <c r="AB1541" i="2"/>
  <c r="AA1541" i="2"/>
  <c r="U1541" i="2"/>
  <c r="T1541" i="2"/>
  <c r="AC1540" i="2"/>
  <c r="AB1540" i="2"/>
  <c r="AA1540" i="2"/>
  <c r="U1540" i="2"/>
  <c r="Y1540" i="2" s="1"/>
  <c r="T1540" i="2"/>
  <c r="AC1539" i="2"/>
  <c r="AB1539" i="2"/>
  <c r="AA1539" i="2"/>
  <c r="U1539" i="2"/>
  <c r="X1539" i="2" s="1"/>
  <c r="Y1539" i="2" s="1"/>
  <c r="T1539" i="2"/>
  <c r="AC1538" i="2"/>
  <c r="AB1538" i="2"/>
  <c r="AA1538" i="2"/>
  <c r="U1538" i="2"/>
  <c r="AE1538" i="2" s="1"/>
  <c r="T1538" i="2"/>
  <c r="AC1537" i="2"/>
  <c r="AB1537" i="2"/>
  <c r="AA1537" i="2"/>
  <c r="U1537" i="2"/>
  <c r="AE1537" i="2" s="1"/>
  <c r="T1537" i="2"/>
  <c r="AC1536" i="2"/>
  <c r="AB1536" i="2"/>
  <c r="AA1536" i="2"/>
  <c r="U1536" i="2"/>
  <c r="V1536" i="2" s="1"/>
  <c r="T1536" i="2"/>
  <c r="AC1535" i="2"/>
  <c r="AB1535" i="2"/>
  <c r="AA1535" i="2"/>
  <c r="U1535" i="2"/>
  <c r="T1535" i="2"/>
  <c r="AC1534" i="2"/>
  <c r="AB1534" i="2"/>
  <c r="AA1534" i="2"/>
  <c r="U1534" i="2"/>
  <c r="W1534" i="2" s="1"/>
  <c r="T1534" i="2"/>
  <c r="AC1533" i="2"/>
  <c r="AB1533" i="2"/>
  <c r="AA1533" i="2"/>
  <c r="U1533" i="2"/>
  <c r="T1533" i="2"/>
  <c r="AC1532" i="2"/>
  <c r="AB1532" i="2"/>
  <c r="AA1532" i="2"/>
  <c r="U1532" i="2"/>
  <c r="Y1532" i="2" s="1"/>
  <c r="T1532" i="2"/>
  <c r="AC1531" i="2"/>
  <c r="AB1531" i="2"/>
  <c r="AA1531" i="2"/>
  <c r="U1531" i="2"/>
  <c r="AE1531" i="2" s="1"/>
  <c r="T1531" i="2"/>
  <c r="AC1530" i="2"/>
  <c r="AB1530" i="2"/>
  <c r="AA1530" i="2"/>
  <c r="U1530" i="2"/>
  <c r="AE1530" i="2" s="1"/>
  <c r="T1530" i="2"/>
  <c r="AC1529" i="2"/>
  <c r="AB1529" i="2"/>
  <c r="AA1529" i="2"/>
  <c r="U1529" i="2"/>
  <c r="AE1529" i="2" s="1"/>
  <c r="T1529" i="2"/>
  <c r="AC1528" i="2"/>
  <c r="AB1528" i="2"/>
  <c r="AA1528" i="2"/>
  <c r="U1528" i="2"/>
  <c r="T1528" i="2"/>
  <c r="AC1527" i="2"/>
  <c r="AB1527" i="2"/>
  <c r="AA1527" i="2"/>
  <c r="U1527" i="2"/>
  <c r="W1527" i="2" s="1"/>
  <c r="T1527" i="2"/>
  <c r="AC1526" i="2"/>
  <c r="AB1526" i="2"/>
  <c r="AA1526" i="2"/>
  <c r="U1526" i="2"/>
  <c r="V1526" i="2" s="1"/>
  <c r="T1526" i="2"/>
  <c r="AC1525" i="2"/>
  <c r="AB1525" i="2"/>
  <c r="AA1525" i="2"/>
  <c r="U1525" i="2"/>
  <c r="W1525" i="2" s="1"/>
  <c r="T1525" i="2"/>
  <c r="AC1524" i="2"/>
  <c r="AB1524" i="2"/>
  <c r="AA1524" i="2"/>
  <c r="U1524" i="2"/>
  <c r="AE1524" i="2" s="1"/>
  <c r="T1524" i="2"/>
  <c r="AC1523" i="2"/>
  <c r="AB1523" i="2"/>
  <c r="AA1523" i="2"/>
  <c r="U1523" i="2"/>
  <c r="V1523" i="2" s="1"/>
  <c r="T1523" i="2"/>
  <c r="AC1522" i="2"/>
  <c r="AB1522" i="2"/>
  <c r="AA1522" i="2"/>
  <c r="U1522" i="2"/>
  <c r="T1522" i="2"/>
  <c r="AC1521" i="2"/>
  <c r="AB1521" i="2"/>
  <c r="AA1521" i="2"/>
  <c r="U1521" i="2"/>
  <c r="AE1521" i="2" s="1"/>
  <c r="T1521" i="2"/>
  <c r="AC1520" i="2"/>
  <c r="AB1520" i="2"/>
  <c r="AA1520" i="2"/>
  <c r="U1520" i="2"/>
  <c r="AE1520" i="2" s="1"/>
  <c r="T1520" i="2"/>
  <c r="AC1519" i="2"/>
  <c r="AB1519" i="2"/>
  <c r="AA1519" i="2"/>
  <c r="U1519" i="2"/>
  <c r="X1519" i="2" s="1"/>
  <c r="T1519" i="2"/>
  <c r="AC1518" i="2"/>
  <c r="AB1518" i="2"/>
  <c r="AA1518" i="2"/>
  <c r="U1518" i="2"/>
  <c r="T1518" i="2"/>
  <c r="AC1517" i="2"/>
  <c r="AB1517" i="2"/>
  <c r="AA1517" i="2"/>
  <c r="U1517" i="2"/>
  <c r="T1517" i="2"/>
  <c r="AC1516" i="2"/>
  <c r="AB1516" i="2"/>
  <c r="AA1516" i="2"/>
  <c r="U1516" i="2"/>
  <c r="T1516" i="2"/>
  <c r="AC1515" i="2"/>
  <c r="AB1515" i="2"/>
  <c r="AA1515" i="2"/>
  <c r="U1515" i="2"/>
  <c r="X1515" i="2" s="1"/>
  <c r="T1515" i="2"/>
  <c r="AC1514" i="2"/>
  <c r="AB1514" i="2"/>
  <c r="AA1514" i="2"/>
  <c r="U1514" i="2"/>
  <c r="T1514" i="2"/>
  <c r="AC1513" i="2"/>
  <c r="AB1513" i="2"/>
  <c r="AA1513" i="2"/>
  <c r="U1513" i="2"/>
  <c r="W1513" i="2" s="1"/>
  <c r="T1513" i="2"/>
  <c r="AC1512" i="2"/>
  <c r="AB1512" i="2"/>
  <c r="AA1512" i="2"/>
  <c r="U1512" i="2"/>
  <c r="W1512" i="2" s="1"/>
  <c r="T1512" i="2"/>
  <c r="AC1511" i="2"/>
  <c r="AB1511" i="2"/>
  <c r="AA1511" i="2"/>
  <c r="U1511" i="2"/>
  <c r="Y1511" i="2" s="1"/>
  <c r="T1511" i="2"/>
  <c r="AC1510" i="2"/>
  <c r="AB1510" i="2"/>
  <c r="AA1510" i="2"/>
  <c r="U1510" i="2"/>
  <c r="AE1510" i="2" s="1"/>
  <c r="T1510" i="2"/>
  <c r="AC1509" i="2"/>
  <c r="AB1509" i="2"/>
  <c r="AA1509" i="2"/>
  <c r="U1509" i="2"/>
  <c r="X1509" i="2" s="1"/>
  <c r="T1509" i="2"/>
  <c r="AC1508" i="2"/>
  <c r="AB1508" i="2"/>
  <c r="AA1508" i="2"/>
  <c r="U1508" i="2"/>
  <c r="T1508" i="2"/>
  <c r="AC1507" i="2"/>
  <c r="AB1507" i="2"/>
  <c r="AA1507" i="2"/>
  <c r="U1507" i="2"/>
  <c r="X1507" i="2" s="1"/>
  <c r="T1507" i="2"/>
  <c r="AC1506" i="2"/>
  <c r="AB1506" i="2"/>
  <c r="AA1506" i="2"/>
  <c r="U1506" i="2"/>
  <c r="T1506" i="2"/>
  <c r="AC1505" i="2"/>
  <c r="AB1505" i="2"/>
  <c r="AA1505" i="2"/>
  <c r="U1505" i="2"/>
  <c r="X1505" i="2" s="1"/>
  <c r="T1505" i="2"/>
  <c r="AC1504" i="2"/>
  <c r="AB1504" i="2"/>
  <c r="AA1504" i="2"/>
  <c r="U1504" i="2"/>
  <c r="V1504" i="2" s="1"/>
  <c r="T1504" i="2"/>
  <c r="AC1503" i="2"/>
  <c r="AB1503" i="2"/>
  <c r="AA1503" i="2"/>
  <c r="U1503" i="2"/>
  <c r="T1503" i="2"/>
  <c r="AC1502" i="2"/>
  <c r="AB1502" i="2"/>
  <c r="AA1502" i="2"/>
  <c r="U1502" i="2"/>
  <c r="T1502" i="2"/>
  <c r="AC1501" i="2"/>
  <c r="AB1501" i="2"/>
  <c r="AA1501" i="2"/>
  <c r="U1501" i="2"/>
  <c r="X1501" i="2" s="1"/>
  <c r="T1501" i="2"/>
  <c r="AC1500" i="2"/>
  <c r="AB1500" i="2"/>
  <c r="AA1500" i="2"/>
  <c r="U1500" i="2"/>
  <c r="V1500" i="2" s="1"/>
  <c r="T1500" i="2"/>
  <c r="AC1499" i="2"/>
  <c r="AB1499" i="2"/>
  <c r="AA1499" i="2"/>
  <c r="U1499" i="2"/>
  <c r="X1499" i="2" s="1"/>
  <c r="T1499" i="2"/>
  <c r="AC1498" i="2"/>
  <c r="AB1498" i="2"/>
  <c r="AA1498" i="2"/>
  <c r="U1498" i="2"/>
  <c r="AE1498" i="2" s="1"/>
  <c r="T1498" i="2"/>
  <c r="AC1497" i="2"/>
  <c r="AB1497" i="2"/>
  <c r="AA1497" i="2"/>
  <c r="U1497" i="2"/>
  <c r="X1497" i="2" s="1"/>
  <c r="T1497" i="2"/>
  <c r="AC1496" i="2"/>
  <c r="AB1496" i="2"/>
  <c r="AA1496" i="2"/>
  <c r="U1496" i="2"/>
  <c r="X1496" i="2" s="1"/>
  <c r="T1496" i="2"/>
  <c r="AC1495" i="2"/>
  <c r="AB1495" i="2"/>
  <c r="AA1495" i="2"/>
  <c r="U1495" i="2"/>
  <c r="T1495" i="2"/>
  <c r="AC1494" i="2"/>
  <c r="AB1494" i="2"/>
  <c r="AA1494" i="2"/>
  <c r="U1494" i="2"/>
  <c r="T1494" i="2"/>
  <c r="AC1493" i="2"/>
  <c r="AB1493" i="2"/>
  <c r="AA1493" i="2"/>
  <c r="U1493" i="2"/>
  <c r="X1493" i="2" s="1"/>
  <c r="T1493" i="2"/>
  <c r="AC1492" i="2"/>
  <c r="AB1492" i="2"/>
  <c r="AA1492" i="2"/>
  <c r="U1492" i="2"/>
  <c r="T1492" i="2"/>
  <c r="AC1491" i="2"/>
  <c r="AB1491" i="2"/>
  <c r="AA1491" i="2"/>
  <c r="U1491" i="2"/>
  <c r="X1491" i="2" s="1"/>
  <c r="T1491" i="2"/>
  <c r="AC1490" i="2"/>
  <c r="AB1490" i="2"/>
  <c r="AA1490" i="2"/>
  <c r="U1490" i="2"/>
  <c r="T1490" i="2"/>
  <c r="AC1489" i="2"/>
  <c r="AB1489" i="2"/>
  <c r="AA1489" i="2"/>
  <c r="U1489" i="2"/>
  <c r="T1489" i="2"/>
  <c r="AC1488" i="2"/>
  <c r="AB1488" i="2"/>
  <c r="AA1488" i="2"/>
  <c r="U1488" i="2"/>
  <c r="T1488" i="2"/>
  <c r="AC1487" i="2"/>
  <c r="AB1487" i="2"/>
  <c r="AA1487" i="2"/>
  <c r="U1487" i="2"/>
  <c r="X1487" i="2" s="1"/>
  <c r="T1487" i="2"/>
  <c r="AC1486" i="2"/>
  <c r="AB1486" i="2"/>
  <c r="AA1486" i="2"/>
  <c r="U1486" i="2"/>
  <c r="AE1486" i="2" s="1"/>
  <c r="T1486" i="2"/>
  <c r="AC1485" i="2"/>
  <c r="AB1485" i="2"/>
  <c r="AA1485" i="2"/>
  <c r="U1485" i="2"/>
  <c r="V1485" i="2" s="1"/>
  <c r="T1485" i="2"/>
  <c r="AC1484" i="2"/>
  <c r="AB1484" i="2"/>
  <c r="AA1484" i="2"/>
  <c r="U1484" i="2"/>
  <c r="W1484" i="2" s="1"/>
  <c r="T1484" i="2"/>
  <c r="AC1483" i="2"/>
  <c r="AB1483" i="2"/>
  <c r="AA1483" i="2"/>
  <c r="U1483" i="2"/>
  <c r="T1483" i="2"/>
  <c r="AC1482" i="2"/>
  <c r="AB1482" i="2"/>
  <c r="AA1482" i="2"/>
  <c r="U1482" i="2"/>
  <c r="AE1482" i="2" s="1"/>
  <c r="T1482" i="2"/>
  <c r="AC1481" i="2"/>
  <c r="AB1481" i="2"/>
  <c r="AA1481" i="2"/>
  <c r="U1481" i="2"/>
  <c r="X1481" i="2" s="1"/>
  <c r="T1481" i="2"/>
  <c r="AC1480" i="2"/>
  <c r="AB1480" i="2"/>
  <c r="AA1480" i="2"/>
  <c r="U1480" i="2"/>
  <c r="T1480" i="2"/>
  <c r="AC1479" i="2"/>
  <c r="AB1479" i="2"/>
  <c r="AA1479" i="2"/>
  <c r="U1479" i="2"/>
  <c r="X1479" i="2" s="1"/>
  <c r="T1479" i="2"/>
  <c r="AC1478" i="2"/>
  <c r="AB1478" i="2"/>
  <c r="AA1478" i="2"/>
  <c r="U1478" i="2"/>
  <c r="T1478" i="2"/>
  <c r="AC1477" i="2"/>
  <c r="AB1477" i="2"/>
  <c r="AA1477" i="2"/>
  <c r="U1477" i="2"/>
  <c r="X1477" i="2" s="1"/>
  <c r="T1477" i="2"/>
  <c r="AC1476" i="2"/>
  <c r="AB1476" i="2"/>
  <c r="AA1476" i="2"/>
  <c r="U1476" i="2"/>
  <c r="T1476" i="2"/>
  <c r="AC1475" i="2"/>
  <c r="AB1475" i="2"/>
  <c r="AA1475" i="2"/>
  <c r="U1475" i="2"/>
  <c r="X1475" i="2" s="1"/>
  <c r="T1475" i="2"/>
  <c r="AC1474" i="2"/>
  <c r="AB1474" i="2"/>
  <c r="AA1474" i="2"/>
  <c r="U1474" i="2"/>
  <c r="T1474" i="2"/>
  <c r="AC1473" i="2"/>
  <c r="AB1473" i="2"/>
  <c r="AA1473" i="2"/>
  <c r="U1473" i="2"/>
  <c r="W1473" i="2" s="1"/>
  <c r="T1473" i="2"/>
  <c r="AC1472" i="2"/>
  <c r="AB1472" i="2"/>
  <c r="AA1472" i="2"/>
  <c r="U1472" i="2"/>
  <c r="Y1472" i="2" s="1"/>
  <c r="T1472" i="2"/>
  <c r="AC1471" i="2"/>
  <c r="AB1471" i="2"/>
  <c r="AA1471" i="2"/>
  <c r="U1471" i="2"/>
  <c r="X1471" i="2" s="1"/>
  <c r="T1471" i="2"/>
  <c r="AC1470" i="2"/>
  <c r="AB1470" i="2"/>
  <c r="AA1470" i="2"/>
  <c r="U1470" i="2"/>
  <c r="T1470" i="2"/>
  <c r="AC1469" i="2"/>
  <c r="AB1469" i="2"/>
  <c r="AA1469" i="2"/>
  <c r="U1469" i="2"/>
  <c r="T1469" i="2"/>
  <c r="AC1468" i="2"/>
  <c r="AB1468" i="2"/>
  <c r="AA1468" i="2"/>
  <c r="U1468" i="2"/>
  <c r="W1468" i="2" s="1"/>
  <c r="T1468" i="2"/>
  <c r="AC1467" i="2"/>
  <c r="AB1467" i="2"/>
  <c r="AA1467" i="2"/>
  <c r="U1467" i="2"/>
  <c r="T1467" i="2"/>
  <c r="AC1466" i="2"/>
  <c r="AB1466" i="2"/>
  <c r="AA1466" i="2"/>
  <c r="U1466" i="2"/>
  <c r="T1466" i="2"/>
  <c r="AC1465" i="2"/>
  <c r="AB1465" i="2"/>
  <c r="AA1465" i="2"/>
  <c r="U1465" i="2"/>
  <c r="X1465" i="2" s="1"/>
  <c r="T1465" i="2"/>
  <c r="AC1464" i="2"/>
  <c r="AB1464" i="2"/>
  <c r="AA1464" i="2"/>
  <c r="U1464" i="2"/>
  <c r="T1464" i="2"/>
  <c r="AC1463" i="2"/>
  <c r="AB1463" i="2"/>
  <c r="AA1463" i="2"/>
  <c r="U1463" i="2"/>
  <c r="T1463" i="2"/>
  <c r="AC1462" i="2"/>
  <c r="AB1462" i="2"/>
  <c r="AA1462" i="2"/>
  <c r="U1462" i="2"/>
  <c r="AE1462" i="2" s="1"/>
  <c r="T1462" i="2"/>
  <c r="AC1461" i="2"/>
  <c r="AB1461" i="2"/>
  <c r="AA1461" i="2"/>
  <c r="U1461" i="2"/>
  <c r="V1461" i="2" s="1"/>
  <c r="T1461" i="2"/>
  <c r="AC1460" i="2"/>
  <c r="AB1460" i="2"/>
  <c r="AA1460" i="2"/>
  <c r="U1460" i="2"/>
  <c r="T1460" i="2"/>
  <c r="AC1459" i="2"/>
  <c r="AB1459" i="2"/>
  <c r="AA1459" i="2"/>
  <c r="U1459" i="2"/>
  <c r="X1459" i="2" s="1"/>
  <c r="T1459" i="2"/>
  <c r="AC1458" i="2"/>
  <c r="AB1458" i="2"/>
  <c r="AA1458" i="2"/>
  <c r="U1458" i="2"/>
  <c r="AE1458" i="2" s="1"/>
  <c r="T1458" i="2"/>
  <c r="AC1457" i="2"/>
  <c r="AB1457" i="2"/>
  <c r="AA1457" i="2"/>
  <c r="U1457" i="2"/>
  <c r="T1457" i="2"/>
  <c r="AC1456" i="2"/>
  <c r="AB1456" i="2"/>
  <c r="AA1456" i="2"/>
  <c r="U1456" i="2"/>
  <c r="Y1456" i="2" s="1"/>
  <c r="Z1456" i="2" s="1"/>
  <c r="T1456" i="2"/>
  <c r="AC1455" i="2"/>
  <c r="AB1455" i="2"/>
  <c r="AA1455" i="2"/>
  <c r="U1455" i="2"/>
  <c r="X1455" i="2" s="1"/>
  <c r="T1455" i="2"/>
  <c r="AC1454" i="2"/>
  <c r="AB1454" i="2"/>
  <c r="AA1454" i="2"/>
  <c r="U1454" i="2"/>
  <c r="AE1454" i="2" s="1"/>
  <c r="T1454" i="2"/>
  <c r="AC1453" i="2"/>
  <c r="AB1453" i="2"/>
  <c r="AA1453" i="2"/>
  <c r="U1453" i="2"/>
  <c r="T1453" i="2"/>
  <c r="AC1452" i="2"/>
  <c r="AB1452" i="2"/>
  <c r="AA1452" i="2"/>
  <c r="U1452" i="2"/>
  <c r="V1452" i="2" s="1"/>
  <c r="T1452" i="2"/>
  <c r="AC1451" i="2"/>
  <c r="AB1451" i="2"/>
  <c r="AA1451" i="2"/>
  <c r="U1451" i="2"/>
  <c r="T1451" i="2"/>
  <c r="AC1450" i="2"/>
  <c r="AB1450" i="2"/>
  <c r="AA1450" i="2"/>
  <c r="U1450" i="2"/>
  <c r="T1450" i="2"/>
  <c r="AC1449" i="2"/>
  <c r="AB1449" i="2"/>
  <c r="AA1449" i="2"/>
  <c r="U1449" i="2"/>
  <c r="X1449" i="2" s="1"/>
  <c r="T1449" i="2"/>
  <c r="AC1448" i="2"/>
  <c r="AB1448" i="2"/>
  <c r="AA1448" i="2"/>
  <c r="U1448" i="2"/>
  <c r="V1448" i="2" s="1"/>
  <c r="T1448" i="2"/>
  <c r="AC1447" i="2"/>
  <c r="AB1447" i="2"/>
  <c r="AA1447" i="2"/>
  <c r="U1447" i="2"/>
  <c r="X1447" i="2" s="1"/>
  <c r="T1447" i="2"/>
  <c r="AC1446" i="2"/>
  <c r="AB1446" i="2"/>
  <c r="AA1446" i="2"/>
  <c r="U1446" i="2"/>
  <c r="AE1446" i="2" s="1"/>
  <c r="T1446" i="2"/>
  <c r="AC1445" i="2"/>
  <c r="AB1445" i="2"/>
  <c r="AA1445" i="2"/>
  <c r="U1445" i="2"/>
  <c r="Y1445" i="2" s="1"/>
  <c r="T1445" i="2"/>
  <c r="AC1444" i="2"/>
  <c r="AB1444" i="2"/>
  <c r="AA1444" i="2"/>
  <c r="U1444" i="2"/>
  <c r="T1444" i="2"/>
  <c r="AC1443" i="2"/>
  <c r="AB1443" i="2"/>
  <c r="AA1443" i="2"/>
  <c r="U1443" i="2"/>
  <c r="V1443" i="2" s="1"/>
  <c r="T1443" i="2"/>
  <c r="AC1442" i="2"/>
  <c r="AB1442" i="2"/>
  <c r="AA1442" i="2"/>
  <c r="U1442" i="2"/>
  <c r="W1442" i="2" s="1"/>
  <c r="T1442" i="2"/>
  <c r="AC1441" i="2"/>
  <c r="AB1441" i="2"/>
  <c r="AA1441" i="2"/>
  <c r="U1441" i="2"/>
  <c r="AE1441" i="2" s="1"/>
  <c r="T1441" i="2"/>
  <c r="AC1440" i="2"/>
  <c r="AB1440" i="2"/>
  <c r="AA1440" i="2"/>
  <c r="U1440" i="2"/>
  <c r="W1440" i="2" s="1"/>
  <c r="T1440" i="2"/>
  <c r="AC1439" i="2"/>
  <c r="AB1439" i="2"/>
  <c r="AA1439" i="2"/>
  <c r="U1439" i="2"/>
  <c r="AE1439" i="2" s="1"/>
  <c r="T1439" i="2"/>
  <c r="AC1438" i="2"/>
  <c r="AB1438" i="2"/>
  <c r="AA1438" i="2"/>
  <c r="V1438" i="2"/>
  <c r="U1438" i="2"/>
  <c r="AE1438" i="2" s="1"/>
  <c r="T1438" i="2"/>
  <c r="AC1437" i="2"/>
  <c r="AB1437" i="2"/>
  <c r="AA1437" i="2"/>
  <c r="U1437" i="2"/>
  <c r="AE1437" i="2" s="1"/>
  <c r="T1437" i="2"/>
  <c r="AC1436" i="2"/>
  <c r="AB1436" i="2"/>
  <c r="AA1436" i="2"/>
  <c r="U1436" i="2"/>
  <c r="W1436" i="2" s="1"/>
  <c r="T1436" i="2"/>
  <c r="AC1435" i="2"/>
  <c r="AB1435" i="2"/>
  <c r="AA1435" i="2"/>
  <c r="U1435" i="2"/>
  <c r="T1435" i="2"/>
  <c r="AC1434" i="2"/>
  <c r="AB1434" i="2"/>
  <c r="AA1434" i="2"/>
  <c r="U1434" i="2"/>
  <c r="T1434" i="2"/>
  <c r="AC1433" i="2"/>
  <c r="AB1433" i="2"/>
  <c r="AA1433" i="2"/>
  <c r="U1433" i="2"/>
  <c r="AE1433" i="2" s="1"/>
  <c r="T1433" i="2"/>
  <c r="AC1432" i="2"/>
  <c r="AB1432" i="2"/>
  <c r="AA1432" i="2"/>
  <c r="U1432" i="2"/>
  <c r="W1432" i="2" s="1"/>
  <c r="T1432" i="2"/>
  <c r="AC1431" i="2"/>
  <c r="AB1431" i="2"/>
  <c r="AA1431" i="2"/>
  <c r="U1431" i="2"/>
  <c r="X1431" i="2" s="1"/>
  <c r="Y1431" i="2" s="1"/>
  <c r="T1431" i="2"/>
  <c r="AC1430" i="2"/>
  <c r="AB1430" i="2"/>
  <c r="AA1430" i="2"/>
  <c r="U1430" i="2"/>
  <c r="V1430" i="2" s="1"/>
  <c r="T1430" i="2"/>
  <c r="AC1429" i="2"/>
  <c r="AB1429" i="2"/>
  <c r="AA1429" i="2"/>
  <c r="U1429" i="2"/>
  <c r="AE1429" i="2" s="1"/>
  <c r="T1429" i="2"/>
  <c r="AC1428" i="2"/>
  <c r="AB1428" i="2"/>
  <c r="AA1428" i="2"/>
  <c r="U1428" i="2"/>
  <c r="W1428" i="2" s="1"/>
  <c r="T1428" i="2"/>
  <c r="AC1427" i="2"/>
  <c r="AB1427" i="2"/>
  <c r="AA1427" i="2"/>
  <c r="U1427" i="2"/>
  <c r="V1427" i="2" s="1"/>
  <c r="T1427" i="2"/>
  <c r="AC1426" i="2"/>
  <c r="AB1426" i="2"/>
  <c r="AA1426" i="2"/>
  <c r="U1426" i="2"/>
  <c r="AE1426" i="2" s="1"/>
  <c r="T1426" i="2"/>
  <c r="AC1425" i="2"/>
  <c r="AB1425" i="2"/>
  <c r="AA1425" i="2"/>
  <c r="U1425" i="2"/>
  <c r="T1425" i="2"/>
  <c r="AC1424" i="2"/>
  <c r="AB1424" i="2"/>
  <c r="AA1424" i="2"/>
  <c r="U1424" i="2"/>
  <c r="W1424" i="2" s="1"/>
  <c r="T1424" i="2"/>
  <c r="AC1423" i="2"/>
  <c r="AB1423" i="2"/>
  <c r="AA1423" i="2"/>
  <c r="U1423" i="2"/>
  <c r="T1423" i="2"/>
  <c r="AC1422" i="2"/>
  <c r="AB1422" i="2"/>
  <c r="AA1422" i="2"/>
  <c r="U1422" i="2"/>
  <c r="T1422" i="2"/>
  <c r="AC1421" i="2"/>
  <c r="AB1421" i="2"/>
  <c r="AA1421" i="2"/>
  <c r="U1421" i="2"/>
  <c r="AE1421" i="2" s="1"/>
  <c r="T1421" i="2"/>
  <c r="AC1420" i="2"/>
  <c r="AB1420" i="2"/>
  <c r="AA1420" i="2"/>
  <c r="U1420" i="2"/>
  <c r="W1420" i="2" s="1"/>
  <c r="T1420" i="2"/>
  <c r="AC1419" i="2"/>
  <c r="AB1419" i="2"/>
  <c r="AA1419" i="2"/>
  <c r="U1419" i="2"/>
  <c r="AE1419" i="2" s="1"/>
  <c r="T1419" i="2"/>
  <c r="AC1418" i="2"/>
  <c r="AB1418" i="2"/>
  <c r="AA1418" i="2"/>
  <c r="U1418" i="2"/>
  <c r="T1418" i="2"/>
  <c r="AC1417" i="2"/>
  <c r="AB1417" i="2"/>
  <c r="AA1417" i="2"/>
  <c r="U1417" i="2"/>
  <c r="T1417" i="2"/>
  <c r="AC1416" i="2"/>
  <c r="AB1416" i="2"/>
  <c r="AA1416" i="2"/>
  <c r="U1416" i="2"/>
  <c r="W1416" i="2" s="1"/>
  <c r="T1416" i="2"/>
  <c r="AC1415" i="2"/>
  <c r="AB1415" i="2"/>
  <c r="AA1415" i="2"/>
  <c r="U1415" i="2"/>
  <c r="AE1415" i="2" s="1"/>
  <c r="T1415" i="2"/>
  <c r="AC1414" i="2"/>
  <c r="AB1414" i="2"/>
  <c r="AA1414" i="2"/>
  <c r="U1414" i="2"/>
  <c r="T1414" i="2"/>
  <c r="AC1413" i="2"/>
  <c r="AB1413" i="2"/>
  <c r="AA1413" i="2"/>
  <c r="U1413" i="2"/>
  <c r="T1413" i="2"/>
  <c r="AC1412" i="2"/>
  <c r="AB1412" i="2"/>
  <c r="AA1412" i="2"/>
  <c r="U1412" i="2"/>
  <c r="W1412" i="2" s="1"/>
  <c r="T1412" i="2"/>
  <c r="AC1411" i="2"/>
  <c r="AB1411" i="2"/>
  <c r="AA1411" i="2"/>
  <c r="U1411" i="2"/>
  <c r="T1411" i="2"/>
  <c r="AC1410" i="2"/>
  <c r="AB1410" i="2"/>
  <c r="AA1410" i="2"/>
  <c r="U1410" i="2"/>
  <c r="T1410" i="2"/>
  <c r="AC1409" i="2"/>
  <c r="AB1409" i="2"/>
  <c r="AA1409" i="2"/>
  <c r="U1409" i="2"/>
  <c r="AE1409" i="2" s="1"/>
  <c r="T1409" i="2"/>
  <c r="AC1408" i="2"/>
  <c r="AB1408" i="2"/>
  <c r="AA1408" i="2"/>
  <c r="U1408" i="2"/>
  <c r="W1408" i="2" s="1"/>
  <c r="T1408" i="2"/>
  <c r="AC1407" i="2"/>
  <c r="AB1407" i="2"/>
  <c r="AA1407" i="2"/>
  <c r="U1407" i="2"/>
  <c r="W1407" i="2" s="1"/>
  <c r="T1407" i="2"/>
  <c r="AC1406" i="2"/>
  <c r="AB1406" i="2"/>
  <c r="AA1406" i="2"/>
  <c r="U1406" i="2"/>
  <c r="V1406" i="2" s="1"/>
  <c r="T1406" i="2"/>
  <c r="AC1405" i="2"/>
  <c r="AB1405" i="2"/>
  <c r="AA1405" i="2"/>
  <c r="U1405" i="2"/>
  <c r="AE1405" i="2" s="1"/>
  <c r="T1405" i="2"/>
  <c r="AC1404" i="2"/>
  <c r="AB1404" i="2"/>
  <c r="AA1404" i="2"/>
  <c r="U1404" i="2"/>
  <c r="W1404" i="2" s="1"/>
  <c r="T1404" i="2"/>
  <c r="AC1403" i="2"/>
  <c r="AB1403" i="2"/>
  <c r="AA1403" i="2"/>
  <c r="U1403" i="2"/>
  <c r="T1403" i="2"/>
  <c r="AC1402" i="2"/>
  <c r="AB1402" i="2"/>
  <c r="AA1402" i="2"/>
  <c r="U1402" i="2"/>
  <c r="V1402" i="2" s="1"/>
  <c r="T1402" i="2"/>
  <c r="AC1401" i="2"/>
  <c r="AB1401" i="2"/>
  <c r="AA1401" i="2"/>
  <c r="U1401" i="2"/>
  <c r="AE1401" i="2" s="1"/>
  <c r="T1401" i="2"/>
  <c r="AC1400" i="2"/>
  <c r="AB1400" i="2"/>
  <c r="AA1400" i="2"/>
  <c r="U1400" i="2"/>
  <c r="W1400" i="2" s="1"/>
  <c r="T1400" i="2"/>
  <c r="AC1399" i="2"/>
  <c r="AB1399" i="2"/>
  <c r="AA1399" i="2"/>
  <c r="U1399" i="2"/>
  <c r="W1399" i="2" s="1"/>
  <c r="T1399" i="2"/>
  <c r="AC1398" i="2"/>
  <c r="AB1398" i="2"/>
  <c r="AA1398" i="2"/>
  <c r="U1398" i="2"/>
  <c r="T1398" i="2"/>
  <c r="AC1397" i="2"/>
  <c r="AB1397" i="2"/>
  <c r="AA1397" i="2"/>
  <c r="U1397" i="2"/>
  <c r="T1397" i="2"/>
  <c r="AC1396" i="2"/>
  <c r="AB1396" i="2"/>
  <c r="AA1396" i="2"/>
  <c r="U1396" i="2"/>
  <c r="T1396" i="2"/>
  <c r="AC1395" i="2"/>
  <c r="AB1395" i="2"/>
  <c r="AA1395" i="2"/>
  <c r="U1395" i="2"/>
  <c r="W1395" i="2" s="1"/>
  <c r="T1395" i="2"/>
  <c r="AC1394" i="2"/>
  <c r="AB1394" i="2"/>
  <c r="AA1394" i="2"/>
  <c r="U1394" i="2"/>
  <c r="AE1394" i="2" s="1"/>
  <c r="T1394" i="2"/>
  <c r="AC1393" i="2"/>
  <c r="AB1393" i="2"/>
  <c r="AA1393" i="2"/>
  <c r="U1393" i="2"/>
  <c r="T1393" i="2"/>
  <c r="AC1392" i="2"/>
  <c r="AB1392" i="2"/>
  <c r="AA1392" i="2"/>
  <c r="U1392" i="2"/>
  <c r="Y1392" i="2" s="1"/>
  <c r="T1392" i="2"/>
  <c r="AC1391" i="2"/>
  <c r="AB1391" i="2"/>
  <c r="AA1391" i="2"/>
  <c r="U1391" i="2"/>
  <c r="AE1391" i="2" s="1"/>
  <c r="T1391" i="2"/>
  <c r="AC1390" i="2"/>
  <c r="AB1390" i="2"/>
  <c r="AA1390" i="2"/>
  <c r="U1390" i="2"/>
  <c r="V1390" i="2" s="1"/>
  <c r="T1390" i="2"/>
  <c r="AC1389" i="2"/>
  <c r="AB1389" i="2"/>
  <c r="AA1389" i="2"/>
  <c r="U1389" i="2"/>
  <c r="V1389" i="2" s="1"/>
  <c r="T1389" i="2"/>
  <c r="AC1388" i="2"/>
  <c r="AB1388" i="2"/>
  <c r="AA1388" i="2"/>
  <c r="U1388" i="2"/>
  <c r="T1388" i="2"/>
  <c r="AC1387" i="2"/>
  <c r="AB1387" i="2"/>
  <c r="AA1387" i="2"/>
  <c r="U1387" i="2"/>
  <c r="T1387" i="2"/>
  <c r="AC1386" i="2"/>
  <c r="AB1386" i="2"/>
  <c r="AA1386" i="2"/>
  <c r="U1386" i="2"/>
  <c r="AE1386" i="2" s="1"/>
  <c r="T1386" i="2"/>
  <c r="AC1385" i="2"/>
  <c r="AB1385" i="2"/>
  <c r="AA1385" i="2"/>
  <c r="U1385" i="2"/>
  <c r="X1385" i="2" s="1"/>
  <c r="Y1385" i="2" s="1"/>
  <c r="T1385" i="2"/>
  <c r="AC1384" i="2"/>
  <c r="AB1384" i="2"/>
  <c r="AA1384" i="2"/>
  <c r="U1384" i="2"/>
  <c r="T1384" i="2"/>
  <c r="AE1383" i="2"/>
  <c r="AC1383" i="2"/>
  <c r="AB1383" i="2"/>
  <c r="AA1383" i="2"/>
  <c r="U1383" i="2"/>
  <c r="W1383" i="2" s="1"/>
  <c r="T1383" i="2"/>
  <c r="AC1382" i="2"/>
  <c r="AB1382" i="2"/>
  <c r="AA1382" i="2"/>
  <c r="U1382" i="2"/>
  <c r="AE1382" i="2" s="1"/>
  <c r="T1382" i="2"/>
  <c r="AC1381" i="2"/>
  <c r="AB1381" i="2"/>
  <c r="AA1381" i="2"/>
  <c r="U1381" i="2"/>
  <c r="T1381" i="2"/>
  <c r="AC1380" i="2"/>
  <c r="AB1380" i="2"/>
  <c r="AA1380" i="2"/>
  <c r="U1380" i="2"/>
  <c r="T1380" i="2"/>
  <c r="AC1379" i="2"/>
  <c r="AB1379" i="2"/>
  <c r="AA1379" i="2"/>
  <c r="U1379" i="2"/>
  <c r="AE1379" i="2" s="1"/>
  <c r="T1379" i="2"/>
  <c r="AC1378" i="2"/>
  <c r="AB1378" i="2"/>
  <c r="AA1378" i="2"/>
  <c r="U1378" i="2"/>
  <c r="AE1378" i="2" s="1"/>
  <c r="T1378" i="2"/>
  <c r="AC1377" i="2"/>
  <c r="AB1377" i="2"/>
  <c r="AA1377" i="2"/>
  <c r="U1377" i="2"/>
  <c r="V1377" i="2" s="1"/>
  <c r="T1377" i="2"/>
  <c r="AC1376" i="2"/>
  <c r="AB1376" i="2"/>
  <c r="AA1376" i="2"/>
  <c r="U1376" i="2"/>
  <c r="Y1376" i="2" s="1"/>
  <c r="T1376" i="2"/>
  <c r="AC1375" i="2"/>
  <c r="AB1375" i="2"/>
  <c r="AA1375" i="2"/>
  <c r="U1375" i="2"/>
  <c r="AE1375" i="2" s="1"/>
  <c r="T1375" i="2"/>
  <c r="AC1374" i="2"/>
  <c r="AB1374" i="2"/>
  <c r="AA1374" i="2"/>
  <c r="U1374" i="2"/>
  <c r="T1374" i="2"/>
  <c r="AC1373" i="2"/>
  <c r="AB1373" i="2"/>
  <c r="AA1373" i="2"/>
  <c r="U1373" i="2"/>
  <c r="V1373" i="2" s="1"/>
  <c r="T1373" i="2"/>
  <c r="AC1372" i="2"/>
  <c r="AB1372" i="2"/>
  <c r="AA1372" i="2"/>
  <c r="U1372" i="2"/>
  <c r="T1372" i="2"/>
  <c r="AC1371" i="2"/>
  <c r="AB1371" i="2"/>
  <c r="AA1371" i="2"/>
  <c r="U1371" i="2"/>
  <c r="W1371" i="2" s="1"/>
  <c r="T1371" i="2"/>
  <c r="AC1370" i="2"/>
  <c r="AB1370" i="2"/>
  <c r="AA1370" i="2"/>
  <c r="U1370" i="2"/>
  <c r="AE1370" i="2" s="1"/>
  <c r="T1370" i="2"/>
  <c r="AC1369" i="2"/>
  <c r="AB1369" i="2"/>
  <c r="AA1369" i="2"/>
  <c r="U1369" i="2"/>
  <c r="T1369" i="2"/>
  <c r="AC1368" i="2"/>
  <c r="AB1368" i="2"/>
  <c r="AA1368" i="2"/>
  <c r="U1368" i="2"/>
  <c r="X1368" i="2" s="1"/>
  <c r="Y1368" i="2" s="1"/>
  <c r="T1368" i="2"/>
  <c r="AC1367" i="2"/>
  <c r="AB1367" i="2"/>
  <c r="AA1367" i="2"/>
  <c r="U1367" i="2"/>
  <c r="Y1367" i="2" s="1"/>
  <c r="T1367" i="2"/>
  <c r="AC1366" i="2"/>
  <c r="AB1366" i="2"/>
  <c r="AA1366" i="2"/>
  <c r="U1366" i="2"/>
  <c r="V1366" i="2" s="1"/>
  <c r="T1366" i="2"/>
  <c r="AC1365" i="2"/>
  <c r="AB1365" i="2"/>
  <c r="AA1365" i="2"/>
  <c r="U1365" i="2"/>
  <c r="X1365" i="2" s="1"/>
  <c r="Y1365" i="2" s="1"/>
  <c r="T1365" i="2"/>
  <c r="AC1364" i="2"/>
  <c r="AB1364" i="2"/>
  <c r="AA1364" i="2"/>
  <c r="U1364" i="2"/>
  <c r="T1364" i="2"/>
  <c r="AC1363" i="2"/>
  <c r="AB1363" i="2"/>
  <c r="AA1363" i="2"/>
  <c r="U1363" i="2"/>
  <c r="W1363" i="2" s="1"/>
  <c r="T1363" i="2"/>
  <c r="AC1362" i="2"/>
  <c r="AB1362" i="2"/>
  <c r="AA1362" i="2"/>
  <c r="U1362" i="2"/>
  <c r="AE1362" i="2" s="1"/>
  <c r="T1362" i="2"/>
  <c r="AC1361" i="2"/>
  <c r="AB1361" i="2"/>
  <c r="AA1361" i="2"/>
  <c r="U1361" i="2"/>
  <c r="T1361" i="2"/>
  <c r="AC1360" i="2"/>
  <c r="AB1360" i="2"/>
  <c r="AA1360" i="2"/>
  <c r="U1360" i="2"/>
  <c r="X1360" i="2" s="1"/>
  <c r="T1360" i="2"/>
  <c r="AC1359" i="2"/>
  <c r="AB1359" i="2"/>
  <c r="AA1359" i="2"/>
  <c r="U1359" i="2"/>
  <c r="T1359" i="2"/>
  <c r="AC1358" i="2"/>
  <c r="AB1358" i="2"/>
  <c r="AA1358" i="2"/>
  <c r="U1358" i="2"/>
  <c r="T1358" i="2"/>
  <c r="AC1357" i="2"/>
  <c r="AB1357" i="2"/>
  <c r="AA1357" i="2"/>
  <c r="U1357" i="2"/>
  <c r="AE1357" i="2" s="1"/>
  <c r="T1357" i="2"/>
  <c r="AC1356" i="2"/>
  <c r="AB1356" i="2"/>
  <c r="AA1356" i="2"/>
  <c r="U1356" i="2"/>
  <c r="V1356" i="2" s="1"/>
  <c r="T1356" i="2"/>
  <c r="AC1355" i="2"/>
  <c r="AB1355" i="2"/>
  <c r="AA1355" i="2"/>
  <c r="U1355" i="2"/>
  <c r="AE1355" i="2" s="1"/>
  <c r="T1355" i="2"/>
  <c r="AC1354" i="2"/>
  <c r="AB1354" i="2"/>
  <c r="AA1354" i="2"/>
  <c r="U1354" i="2"/>
  <c r="AE1354" i="2" s="1"/>
  <c r="T1354" i="2"/>
  <c r="AC1353" i="2"/>
  <c r="AB1353" i="2"/>
  <c r="AA1353" i="2"/>
  <c r="U1353" i="2"/>
  <c r="AE1353" i="2" s="1"/>
  <c r="T1353" i="2"/>
  <c r="AC1352" i="2"/>
  <c r="AB1352" i="2"/>
  <c r="AA1352" i="2"/>
  <c r="U1352" i="2"/>
  <c r="T1352" i="2"/>
  <c r="AC1351" i="2"/>
  <c r="AB1351" i="2"/>
  <c r="AA1351" i="2"/>
  <c r="U1351" i="2"/>
  <c r="T1351" i="2"/>
  <c r="AC1350" i="2"/>
  <c r="AB1350" i="2"/>
  <c r="AA1350" i="2"/>
  <c r="U1350" i="2"/>
  <c r="V1350" i="2" s="1"/>
  <c r="T1350" i="2"/>
  <c r="AC1349" i="2"/>
  <c r="AB1349" i="2"/>
  <c r="AA1349" i="2"/>
  <c r="X1349" i="2"/>
  <c r="U1349" i="2"/>
  <c r="AE1349" i="2" s="1"/>
  <c r="T1349" i="2"/>
  <c r="AC1348" i="2"/>
  <c r="AB1348" i="2"/>
  <c r="AA1348" i="2"/>
  <c r="U1348" i="2"/>
  <c r="X1348" i="2" s="1"/>
  <c r="T1348" i="2"/>
  <c r="AC1347" i="2"/>
  <c r="AB1347" i="2"/>
  <c r="AA1347" i="2"/>
  <c r="U1347" i="2"/>
  <c r="T1347" i="2"/>
  <c r="AC1346" i="2"/>
  <c r="AB1346" i="2"/>
  <c r="AA1346" i="2"/>
  <c r="U1346" i="2"/>
  <c r="V1346" i="2" s="1"/>
  <c r="T1346" i="2"/>
  <c r="AC1345" i="2"/>
  <c r="AB1345" i="2"/>
  <c r="AA1345" i="2"/>
  <c r="U1345" i="2"/>
  <c r="V1345" i="2" s="1"/>
  <c r="T1345" i="2"/>
  <c r="AC1344" i="2"/>
  <c r="AB1344" i="2"/>
  <c r="AA1344" i="2"/>
  <c r="U1344" i="2"/>
  <c r="V1344" i="2" s="1"/>
  <c r="T1344" i="2"/>
  <c r="AC1343" i="2"/>
  <c r="AB1343" i="2"/>
  <c r="AA1343" i="2"/>
  <c r="U1343" i="2"/>
  <c r="T1343" i="2"/>
  <c r="AC1342" i="2"/>
  <c r="AB1342" i="2"/>
  <c r="AA1342" i="2"/>
  <c r="U1342" i="2"/>
  <c r="AE1342" i="2" s="1"/>
  <c r="T1342" i="2"/>
  <c r="AC1341" i="2"/>
  <c r="AB1341" i="2"/>
  <c r="AA1341" i="2"/>
  <c r="U1341" i="2"/>
  <c r="T1341" i="2"/>
  <c r="AC1340" i="2"/>
  <c r="AB1340" i="2"/>
  <c r="AA1340" i="2"/>
  <c r="U1340" i="2"/>
  <c r="V1340" i="2" s="1"/>
  <c r="T1340" i="2"/>
  <c r="AC1339" i="2"/>
  <c r="AB1339" i="2"/>
  <c r="AA1339" i="2"/>
  <c r="U1339" i="2"/>
  <c r="T1339" i="2"/>
  <c r="AC1338" i="2"/>
  <c r="AB1338" i="2"/>
  <c r="AA1338" i="2"/>
  <c r="U1338" i="2"/>
  <c r="AE1338" i="2" s="1"/>
  <c r="T1338" i="2"/>
  <c r="AC1337" i="2"/>
  <c r="AB1337" i="2"/>
  <c r="AA1337" i="2"/>
  <c r="U1337" i="2"/>
  <c r="AE1337" i="2" s="1"/>
  <c r="T1337" i="2"/>
  <c r="AC1336" i="2"/>
  <c r="AB1336" i="2"/>
  <c r="AA1336" i="2"/>
  <c r="U1336" i="2"/>
  <c r="T1336" i="2"/>
  <c r="AC1335" i="2"/>
  <c r="AB1335" i="2"/>
  <c r="AA1335" i="2"/>
  <c r="U1335" i="2"/>
  <c r="W1335" i="2" s="1"/>
  <c r="T1335" i="2"/>
  <c r="AC1334" i="2"/>
  <c r="AB1334" i="2"/>
  <c r="AA1334" i="2"/>
  <c r="U1334" i="2"/>
  <c r="AE1334" i="2" s="1"/>
  <c r="T1334" i="2"/>
  <c r="AC1333" i="2"/>
  <c r="AB1333" i="2"/>
  <c r="AA1333" i="2"/>
  <c r="U1333" i="2"/>
  <c r="T1333" i="2"/>
  <c r="AC1332" i="2"/>
  <c r="AB1332" i="2"/>
  <c r="AA1332" i="2"/>
  <c r="U1332" i="2"/>
  <c r="V1332" i="2" s="1"/>
  <c r="T1332" i="2"/>
  <c r="AC1331" i="2"/>
  <c r="AB1331" i="2"/>
  <c r="AA1331" i="2"/>
  <c r="U1331" i="2"/>
  <c r="X1331" i="2" s="1"/>
  <c r="T1331" i="2"/>
  <c r="AC1330" i="2"/>
  <c r="AB1330" i="2"/>
  <c r="AA1330" i="2"/>
  <c r="U1330" i="2"/>
  <c r="W1330" i="2" s="1"/>
  <c r="T1330" i="2"/>
  <c r="AC1329" i="2"/>
  <c r="AB1329" i="2"/>
  <c r="AA1329" i="2"/>
  <c r="U1329" i="2"/>
  <c r="Y1329" i="2" s="1"/>
  <c r="T1329" i="2"/>
  <c r="AC1328" i="2"/>
  <c r="AB1328" i="2"/>
  <c r="AA1328" i="2"/>
  <c r="U1328" i="2"/>
  <c r="AE1328" i="2" s="1"/>
  <c r="T1328" i="2"/>
  <c r="AC1327" i="2"/>
  <c r="AB1327" i="2"/>
  <c r="AA1327" i="2"/>
  <c r="U1327" i="2"/>
  <c r="V1327" i="2" s="1"/>
  <c r="T1327" i="2"/>
  <c r="AC1326" i="2"/>
  <c r="AB1326" i="2"/>
  <c r="AA1326" i="2"/>
  <c r="U1326" i="2"/>
  <c r="T1326" i="2"/>
  <c r="AC1325" i="2"/>
  <c r="AB1325" i="2"/>
  <c r="AA1325" i="2"/>
  <c r="U1325" i="2"/>
  <c r="V1325" i="2" s="1"/>
  <c r="T1325" i="2"/>
  <c r="AC1324" i="2"/>
  <c r="AB1324" i="2"/>
  <c r="AA1324" i="2"/>
  <c r="U1324" i="2"/>
  <c r="X1324" i="2" s="1"/>
  <c r="T1324" i="2"/>
  <c r="AC1323" i="2"/>
  <c r="AB1323" i="2"/>
  <c r="AA1323" i="2"/>
  <c r="U1323" i="2"/>
  <c r="T1323" i="2"/>
  <c r="AC1322" i="2"/>
  <c r="AB1322" i="2"/>
  <c r="AA1322" i="2"/>
  <c r="U1322" i="2"/>
  <c r="T1322" i="2"/>
  <c r="AC1321" i="2"/>
  <c r="AB1321" i="2"/>
  <c r="AA1321" i="2"/>
  <c r="U1321" i="2"/>
  <c r="T1321" i="2"/>
  <c r="AC1320" i="2"/>
  <c r="AB1320" i="2"/>
  <c r="AA1320" i="2"/>
  <c r="U1320" i="2"/>
  <c r="X1320" i="2" s="1"/>
  <c r="T1320" i="2"/>
  <c r="AC1319" i="2"/>
  <c r="AB1319" i="2"/>
  <c r="AA1319" i="2"/>
  <c r="U1319" i="2"/>
  <c r="T1319" i="2"/>
  <c r="AC1318" i="2"/>
  <c r="AB1318" i="2"/>
  <c r="AA1318" i="2"/>
  <c r="U1318" i="2"/>
  <c r="V1318" i="2" s="1"/>
  <c r="T1318" i="2"/>
  <c r="AC1317" i="2"/>
  <c r="AB1317" i="2"/>
  <c r="AA1317" i="2"/>
  <c r="U1317" i="2"/>
  <c r="T1317" i="2"/>
  <c r="AC1316" i="2"/>
  <c r="AB1316" i="2"/>
  <c r="AA1316" i="2"/>
  <c r="U1316" i="2"/>
  <c r="W1316" i="2" s="1"/>
  <c r="T1316" i="2"/>
  <c r="AC1315" i="2"/>
  <c r="AB1315" i="2"/>
  <c r="AA1315" i="2"/>
  <c r="U1315" i="2"/>
  <c r="AE1315" i="2" s="1"/>
  <c r="T1315" i="2"/>
  <c r="AC1314" i="2"/>
  <c r="AB1314" i="2"/>
  <c r="AA1314" i="2"/>
  <c r="U1314" i="2"/>
  <c r="W1314" i="2" s="1"/>
  <c r="T1314" i="2"/>
  <c r="AC1313" i="2"/>
  <c r="AB1313" i="2"/>
  <c r="AA1313" i="2"/>
  <c r="U1313" i="2"/>
  <c r="T1313" i="2"/>
  <c r="AC1312" i="2"/>
  <c r="AB1312" i="2"/>
  <c r="AA1312" i="2"/>
  <c r="U1312" i="2"/>
  <c r="T1312" i="2"/>
  <c r="AC1311" i="2"/>
  <c r="AB1311" i="2"/>
  <c r="AA1311" i="2"/>
  <c r="U1311" i="2"/>
  <c r="X1311" i="2" s="1"/>
  <c r="Y1311" i="2" s="1"/>
  <c r="Z1311" i="2" s="1"/>
  <c r="T1311" i="2"/>
  <c r="AC1310" i="2"/>
  <c r="AB1310" i="2"/>
  <c r="AA1310" i="2"/>
  <c r="U1310" i="2"/>
  <c r="T1310" i="2"/>
  <c r="AC1309" i="2"/>
  <c r="AB1309" i="2"/>
  <c r="AA1309" i="2"/>
  <c r="U1309" i="2"/>
  <c r="T1309" i="2"/>
  <c r="AC1308" i="2"/>
  <c r="AB1308" i="2"/>
  <c r="AA1308" i="2"/>
  <c r="U1308" i="2"/>
  <c r="W1308" i="2" s="1"/>
  <c r="T1308" i="2"/>
  <c r="AC1307" i="2"/>
  <c r="AB1307" i="2"/>
  <c r="AA1307" i="2"/>
  <c r="U1307" i="2"/>
  <c r="T1307" i="2"/>
  <c r="AC1306" i="2"/>
  <c r="AB1306" i="2"/>
  <c r="AA1306" i="2"/>
  <c r="U1306" i="2"/>
  <c r="V1306" i="2" s="1"/>
  <c r="T1306" i="2"/>
  <c r="AC1305" i="2"/>
  <c r="AB1305" i="2"/>
  <c r="AA1305" i="2"/>
  <c r="U1305" i="2"/>
  <c r="T1305" i="2"/>
  <c r="AC1304" i="2"/>
  <c r="AB1304" i="2"/>
  <c r="AA1304" i="2"/>
  <c r="U1304" i="2"/>
  <c r="W1304" i="2" s="1"/>
  <c r="T1304" i="2"/>
  <c r="AC1303" i="2"/>
  <c r="AB1303" i="2"/>
  <c r="AA1303" i="2"/>
  <c r="U1303" i="2"/>
  <c r="X1303" i="2" s="1"/>
  <c r="Y1303" i="2" s="1"/>
  <c r="Z1303" i="2" s="1"/>
  <c r="T1303" i="2"/>
  <c r="AC1302" i="2"/>
  <c r="AB1302" i="2"/>
  <c r="AA1302" i="2"/>
  <c r="U1302" i="2"/>
  <c r="W1302" i="2" s="1"/>
  <c r="T1302" i="2"/>
  <c r="AC1301" i="2"/>
  <c r="AB1301" i="2"/>
  <c r="AA1301" i="2"/>
  <c r="U1301" i="2"/>
  <c r="T1301" i="2"/>
  <c r="AC1300" i="2"/>
  <c r="AB1300" i="2"/>
  <c r="AA1300" i="2"/>
  <c r="U1300" i="2"/>
  <c r="T1300" i="2"/>
  <c r="AC1299" i="2"/>
  <c r="AB1299" i="2"/>
  <c r="AA1299" i="2"/>
  <c r="U1299" i="2"/>
  <c r="AE1299" i="2" s="1"/>
  <c r="T1299" i="2"/>
  <c r="AC1298" i="2"/>
  <c r="AB1298" i="2"/>
  <c r="AA1298" i="2"/>
  <c r="U1298" i="2"/>
  <c r="W1298" i="2" s="1"/>
  <c r="T1298" i="2"/>
  <c r="AC1297" i="2"/>
  <c r="AB1297" i="2"/>
  <c r="AA1297" i="2"/>
  <c r="U1297" i="2"/>
  <c r="T1297" i="2"/>
  <c r="AC1296" i="2"/>
  <c r="AB1296" i="2"/>
  <c r="AA1296" i="2"/>
  <c r="U1296" i="2"/>
  <c r="T1296" i="2"/>
  <c r="AC1295" i="2"/>
  <c r="AB1295" i="2"/>
  <c r="AA1295" i="2"/>
  <c r="U1295" i="2"/>
  <c r="T1295" i="2"/>
  <c r="AC1294" i="2"/>
  <c r="AB1294" i="2"/>
  <c r="AA1294" i="2"/>
  <c r="U1294" i="2"/>
  <c r="T1294" i="2"/>
  <c r="AC1293" i="2"/>
  <c r="AB1293" i="2"/>
  <c r="AA1293" i="2"/>
  <c r="U1293" i="2"/>
  <c r="T1293" i="2"/>
  <c r="AC1292" i="2"/>
  <c r="AB1292" i="2"/>
  <c r="AA1292" i="2"/>
  <c r="U1292" i="2"/>
  <c r="T1292" i="2"/>
  <c r="AC1291" i="2"/>
  <c r="AB1291" i="2"/>
  <c r="AA1291" i="2"/>
  <c r="X1291" i="2"/>
  <c r="Y1291" i="2" s="1"/>
  <c r="Z1291" i="2" s="1"/>
  <c r="U1291" i="2"/>
  <c r="W1291" i="2" s="1"/>
  <c r="T1291" i="2"/>
  <c r="AC1290" i="2"/>
  <c r="AB1290" i="2"/>
  <c r="AA1290" i="2"/>
  <c r="U1290" i="2"/>
  <c r="T1290" i="2"/>
  <c r="AC1289" i="2"/>
  <c r="AB1289" i="2"/>
  <c r="AA1289" i="2"/>
  <c r="U1289" i="2"/>
  <c r="T1289" i="2"/>
  <c r="AC1288" i="2"/>
  <c r="AB1288" i="2"/>
  <c r="AA1288" i="2"/>
  <c r="U1288" i="2"/>
  <c r="W1288" i="2" s="1"/>
  <c r="T1288" i="2"/>
  <c r="AC1287" i="2"/>
  <c r="AB1287" i="2"/>
  <c r="AA1287" i="2"/>
  <c r="U1287" i="2"/>
  <c r="T1287" i="2"/>
  <c r="AC1286" i="2"/>
  <c r="AB1286" i="2"/>
  <c r="AA1286" i="2"/>
  <c r="U1286" i="2"/>
  <c r="W1286" i="2" s="1"/>
  <c r="T1286" i="2"/>
  <c r="AC1285" i="2"/>
  <c r="AB1285" i="2"/>
  <c r="AA1285" i="2"/>
  <c r="U1285" i="2"/>
  <c r="T1285" i="2"/>
  <c r="AC1284" i="2"/>
  <c r="AB1284" i="2"/>
  <c r="AA1284" i="2"/>
  <c r="U1284" i="2"/>
  <c r="T1284" i="2"/>
  <c r="AC1283" i="2"/>
  <c r="AB1283" i="2"/>
  <c r="AA1283" i="2"/>
  <c r="U1283" i="2"/>
  <c r="X1283" i="2" s="1"/>
  <c r="Y1283" i="2" s="1"/>
  <c r="Z1283" i="2" s="1"/>
  <c r="T1283" i="2"/>
  <c r="AC1282" i="2"/>
  <c r="AB1282" i="2"/>
  <c r="AA1282" i="2"/>
  <c r="U1282" i="2"/>
  <c r="T1282" i="2"/>
  <c r="AC1281" i="2"/>
  <c r="AB1281" i="2"/>
  <c r="AA1281" i="2"/>
  <c r="U1281" i="2"/>
  <c r="T1281" i="2"/>
  <c r="AC1280" i="2"/>
  <c r="AB1280" i="2"/>
  <c r="AA1280" i="2"/>
  <c r="U1280" i="2"/>
  <c r="X1280" i="2" s="1"/>
  <c r="T1280" i="2"/>
  <c r="AC1279" i="2"/>
  <c r="AB1279" i="2"/>
  <c r="AA1279" i="2"/>
  <c r="U1279" i="2"/>
  <c r="W1279" i="2" s="1"/>
  <c r="T1279" i="2"/>
  <c r="AC1278" i="2"/>
  <c r="AB1278" i="2"/>
  <c r="AA1278" i="2"/>
  <c r="U1278" i="2"/>
  <c r="T1278" i="2"/>
  <c r="AC1277" i="2"/>
  <c r="AB1277" i="2"/>
  <c r="AA1277" i="2"/>
  <c r="U1277" i="2"/>
  <c r="T1277" i="2"/>
  <c r="AC1276" i="2"/>
  <c r="AB1276" i="2"/>
  <c r="AA1276" i="2"/>
  <c r="U1276" i="2"/>
  <c r="X1276" i="2" s="1"/>
  <c r="T1276" i="2"/>
  <c r="AC1275" i="2"/>
  <c r="AB1275" i="2"/>
  <c r="AA1275" i="2"/>
  <c r="V1275" i="2"/>
  <c r="U1275" i="2"/>
  <c r="W1275" i="2" s="1"/>
  <c r="T1275" i="2"/>
  <c r="AC1274" i="2"/>
  <c r="AB1274" i="2"/>
  <c r="AA1274" i="2"/>
  <c r="U1274" i="2"/>
  <c r="W1274" i="2" s="1"/>
  <c r="T1274" i="2"/>
  <c r="AC1273" i="2"/>
  <c r="AB1273" i="2"/>
  <c r="AA1273" i="2"/>
  <c r="U1273" i="2"/>
  <c r="T1273" i="2"/>
  <c r="AC1272" i="2"/>
  <c r="AB1272" i="2"/>
  <c r="AA1272" i="2"/>
  <c r="U1272" i="2"/>
  <c r="T1272" i="2"/>
  <c r="AC1271" i="2"/>
  <c r="AB1271" i="2"/>
  <c r="AA1271" i="2"/>
  <c r="U1271" i="2"/>
  <c r="T1271" i="2"/>
  <c r="AC1270" i="2"/>
  <c r="AB1270" i="2"/>
  <c r="AA1270" i="2"/>
  <c r="U1270" i="2"/>
  <c r="V1270" i="2" s="1"/>
  <c r="T1270" i="2"/>
  <c r="AC1269" i="2"/>
  <c r="AB1269" i="2"/>
  <c r="AA1269" i="2"/>
  <c r="U1269" i="2"/>
  <c r="T1269" i="2"/>
  <c r="AC1268" i="2"/>
  <c r="AB1268" i="2"/>
  <c r="AA1268" i="2"/>
  <c r="U1268" i="2"/>
  <c r="X1268" i="2" s="1"/>
  <c r="T1268" i="2"/>
  <c r="AC1267" i="2"/>
  <c r="AB1267" i="2"/>
  <c r="AA1267" i="2"/>
  <c r="U1267" i="2"/>
  <c r="T1267" i="2"/>
  <c r="AC1266" i="2"/>
  <c r="AB1266" i="2"/>
  <c r="AA1266" i="2"/>
  <c r="U1266" i="2"/>
  <c r="V1266" i="2" s="1"/>
  <c r="T1266" i="2"/>
  <c r="AC1265" i="2"/>
  <c r="AB1265" i="2"/>
  <c r="AA1265" i="2"/>
  <c r="U1265" i="2"/>
  <c r="T1265" i="2"/>
  <c r="AC1264" i="2"/>
  <c r="AB1264" i="2"/>
  <c r="AA1264" i="2"/>
  <c r="U1264" i="2"/>
  <c r="W1264" i="2" s="1"/>
  <c r="T1264" i="2"/>
  <c r="AC1263" i="2"/>
  <c r="AB1263" i="2"/>
  <c r="AA1263" i="2"/>
  <c r="U1263" i="2"/>
  <c r="W1263" i="2" s="1"/>
  <c r="T1263" i="2"/>
  <c r="AC1262" i="2"/>
  <c r="AB1262" i="2"/>
  <c r="AA1262" i="2"/>
  <c r="U1262" i="2"/>
  <c r="W1262" i="2" s="1"/>
  <c r="T1262" i="2"/>
  <c r="AC1261" i="2"/>
  <c r="AB1261" i="2"/>
  <c r="AA1261" i="2"/>
  <c r="U1261" i="2"/>
  <c r="T1261" i="2"/>
  <c r="AC1260" i="2"/>
  <c r="AB1260" i="2"/>
  <c r="AA1260" i="2"/>
  <c r="U1260" i="2"/>
  <c r="X1260" i="2" s="1"/>
  <c r="T1260" i="2"/>
  <c r="AC1259" i="2"/>
  <c r="AB1259" i="2"/>
  <c r="AA1259" i="2"/>
  <c r="U1259" i="2"/>
  <c r="T1259" i="2"/>
  <c r="AC1258" i="2"/>
  <c r="AB1258" i="2"/>
  <c r="AA1258" i="2"/>
  <c r="U1258" i="2"/>
  <c r="W1258" i="2" s="1"/>
  <c r="T1258" i="2"/>
  <c r="AC1257" i="2"/>
  <c r="AB1257" i="2"/>
  <c r="AA1257" i="2"/>
  <c r="U1257" i="2"/>
  <c r="AE1257" i="2" s="1"/>
  <c r="T1257" i="2"/>
  <c r="AC1256" i="2"/>
  <c r="AB1256" i="2"/>
  <c r="AA1256" i="2"/>
  <c r="U1256" i="2"/>
  <c r="X1256" i="2" s="1"/>
  <c r="T1256" i="2"/>
  <c r="AC1255" i="2"/>
  <c r="AB1255" i="2"/>
  <c r="AA1255" i="2"/>
  <c r="U1255" i="2"/>
  <c r="AE1255" i="2" s="1"/>
  <c r="T1255" i="2"/>
  <c r="AC1254" i="2"/>
  <c r="AB1254" i="2"/>
  <c r="AA1254" i="2"/>
  <c r="U1254" i="2"/>
  <c r="W1254" i="2" s="1"/>
  <c r="T1254" i="2"/>
  <c r="AC1253" i="2"/>
  <c r="AB1253" i="2"/>
  <c r="AA1253" i="2"/>
  <c r="U1253" i="2"/>
  <c r="AE1253" i="2" s="1"/>
  <c r="T1253" i="2"/>
  <c r="AC1252" i="2"/>
  <c r="AB1252" i="2"/>
  <c r="AA1252" i="2"/>
  <c r="U1252" i="2"/>
  <c r="V1252" i="2" s="1"/>
  <c r="T1252" i="2"/>
  <c r="AC1251" i="2"/>
  <c r="AB1251" i="2"/>
  <c r="AA1251" i="2"/>
  <c r="U1251" i="2"/>
  <c r="AE1251" i="2" s="1"/>
  <c r="T1251" i="2"/>
  <c r="AC1250" i="2"/>
  <c r="AB1250" i="2"/>
  <c r="AA1250" i="2"/>
  <c r="U1250" i="2"/>
  <c r="V1250" i="2" s="1"/>
  <c r="T1250" i="2"/>
  <c r="AC1249" i="2"/>
  <c r="AB1249" i="2"/>
  <c r="AA1249" i="2"/>
  <c r="U1249" i="2"/>
  <c r="T1249" i="2"/>
  <c r="AC1248" i="2"/>
  <c r="AB1248" i="2"/>
  <c r="AA1248" i="2"/>
  <c r="U1248" i="2"/>
  <c r="V1248" i="2" s="1"/>
  <c r="T1248" i="2"/>
  <c r="AC1247" i="2"/>
  <c r="AB1247" i="2"/>
  <c r="AA1247" i="2"/>
  <c r="U1247" i="2"/>
  <c r="AE1247" i="2" s="1"/>
  <c r="T1247" i="2"/>
  <c r="AC1246" i="2"/>
  <c r="AB1246" i="2"/>
  <c r="AA1246" i="2"/>
  <c r="U1246" i="2"/>
  <c r="W1246" i="2" s="1"/>
  <c r="T1246" i="2"/>
  <c r="AC1245" i="2"/>
  <c r="AB1245" i="2"/>
  <c r="AA1245" i="2"/>
  <c r="U1245" i="2"/>
  <c r="T1245" i="2"/>
  <c r="AC1244" i="2"/>
  <c r="AB1244" i="2"/>
  <c r="AA1244" i="2"/>
  <c r="U1244" i="2"/>
  <c r="T1244" i="2"/>
  <c r="AC1243" i="2"/>
  <c r="AB1243" i="2"/>
  <c r="AA1243" i="2"/>
  <c r="U1243" i="2"/>
  <c r="AE1243" i="2" s="1"/>
  <c r="T1243" i="2"/>
  <c r="AC1242" i="2"/>
  <c r="AB1242" i="2"/>
  <c r="AA1242" i="2"/>
  <c r="U1242" i="2"/>
  <c r="V1242" i="2" s="1"/>
  <c r="T1242" i="2"/>
  <c r="AC1241" i="2"/>
  <c r="AB1241" i="2"/>
  <c r="AA1241" i="2"/>
  <c r="U1241" i="2"/>
  <c r="AE1241" i="2" s="1"/>
  <c r="T1241" i="2"/>
  <c r="AC1240" i="2"/>
  <c r="AB1240" i="2"/>
  <c r="AA1240" i="2"/>
  <c r="U1240" i="2"/>
  <c r="T1240" i="2"/>
  <c r="AC1239" i="2"/>
  <c r="AB1239" i="2"/>
  <c r="AA1239" i="2"/>
  <c r="U1239" i="2"/>
  <c r="V1239" i="2" s="1"/>
  <c r="T1239" i="2"/>
  <c r="AC1238" i="2"/>
  <c r="AB1238" i="2"/>
  <c r="AA1238" i="2"/>
  <c r="U1238" i="2"/>
  <c r="W1238" i="2" s="1"/>
  <c r="T1238" i="2"/>
  <c r="AC1237" i="2"/>
  <c r="AB1237" i="2"/>
  <c r="AA1237" i="2"/>
  <c r="U1237" i="2"/>
  <c r="X1237" i="2" s="1"/>
  <c r="T1237" i="2"/>
  <c r="AC1236" i="2"/>
  <c r="AB1236" i="2"/>
  <c r="AA1236" i="2"/>
  <c r="U1236" i="2"/>
  <c r="W1236" i="2" s="1"/>
  <c r="T1236" i="2"/>
  <c r="AC1235" i="2"/>
  <c r="AB1235" i="2"/>
  <c r="AA1235" i="2"/>
  <c r="U1235" i="2"/>
  <c r="T1235" i="2"/>
  <c r="AC1234" i="2"/>
  <c r="AB1234" i="2"/>
  <c r="AA1234" i="2"/>
  <c r="U1234" i="2"/>
  <c r="W1234" i="2" s="1"/>
  <c r="T1234" i="2"/>
  <c r="AC1233" i="2"/>
  <c r="AB1233" i="2"/>
  <c r="AA1233" i="2"/>
  <c r="U1233" i="2"/>
  <c r="AE1233" i="2" s="1"/>
  <c r="T1233" i="2"/>
  <c r="AC1232" i="2"/>
  <c r="AB1232" i="2"/>
  <c r="AA1232" i="2"/>
  <c r="U1232" i="2"/>
  <c r="T1232" i="2"/>
  <c r="AC1231" i="2"/>
  <c r="AB1231" i="2"/>
  <c r="AA1231" i="2"/>
  <c r="U1231" i="2"/>
  <c r="V1231" i="2" s="1"/>
  <c r="T1231" i="2"/>
  <c r="AC1230" i="2"/>
  <c r="AB1230" i="2"/>
  <c r="AA1230" i="2"/>
  <c r="U1230" i="2"/>
  <c r="V1230" i="2" s="1"/>
  <c r="T1230" i="2"/>
  <c r="AC1229" i="2"/>
  <c r="AB1229" i="2"/>
  <c r="AA1229" i="2"/>
  <c r="U1229" i="2"/>
  <c r="AE1229" i="2" s="1"/>
  <c r="T1229" i="2"/>
  <c r="AC1228" i="2"/>
  <c r="AB1228" i="2"/>
  <c r="AA1228" i="2"/>
  <c r="U1228" i="2"/>
  <c r="V1228" i="2" s="1"/>
  <c r="T1228" i="2"/>
  <c r="AC1227" i="2"/>
  <c r="AB1227" i="2"/>
  <c r="AA1227" i="2"/>
  <c r="U1227" i="2"/>
  <c r="AE1227" i="2" s="1"/>
  <c r="T1227" i="2"/>
  <c r="AC1226" i="2"/>
  <c r="AB1226" i="2"/>
  <c r="AA1226" i="2"/>
  <c r="U1226" i="2"/>
  <c r="T1226" i="2"/>
  <c r="AC1225" i="2"/>
  <c r="AB1225" i="2"/>
  <c r="AA1225" i="2"/>
  <c r="U1225" i="2"/>
  <c r="X1225" i="2" s="1"/>
  <c r="T1225" i="2"/>
  <c r="AC1224" i="2"/>
  <c r="AB1224" i="2"/>
  <c r="AA1224" i="2"/>
  <c r="U1224" i="2"/>
  <c r="T1224" i="2"/>
  <c r="AC1223" i="2"/>
  <c r="AB1223" i="2"/>
  <c r="AA1223" i="2"/>
  <c r="U1223" i="2"/>
  <c r="T1223" i="2"/>
  <c r="AC1222" i="2"/>
  <c r="AB1222" i="2"/>
  <c r="AA1222" i="2"/>
  <c r="U1222" i="2"/>
  <c r="T1222" i="2"/>
  <c r="AC1221" i="2"/>
  <c r="AB1221" i="2"/>
  <c r="AA1221" i="2"/>
  <c r="U1221" i="2"/>
  <c r="AE1221" i="2" s="1"/>
  <c r="T1221" i="2"/>
  <c r="AC1220" i="2"/>
  <c r="AB1220" i="2"/>
  <c r="AA1220" i="2"/>
  <c r="U1220" i="2"/>
  <c r="T1220" i="2"/>
  <c r="AC1219" i="2"/>
  <c r="AB1219" i="2"/>
  <c r="AA1219" i="2"/>
  <c r="U1219" i="2"/>
  <c r="T1219" i="2"/>
  <c r="AC1218" i="2"/>
  <c r="AB1218" i="2"/>
  <c r="AA1218" i="2"/>
  <c r="U1218" i="2"/>
  <c r="X1218" i="2" s="1"/>
  <c r="T1218" i="2"/>
  <c r="AC1217" i="2"/>
  <c r="AB1217" i="2"/>
  <c r="AA1217" i="2"/>
  <c r="U1217" i="2"/>
  <c r="T1217" i="2"/>
  <c r="AC1216" i="2"/>
  <c r="AB1216" i="2"/>
  <c r="AA1216" i="2"/>
  <c r="U1216" i="2"/>
  <c r="T1216" i="2"/>
  <c r="AC1215" i="2"/>
  <c r="AB1215" i="2"/>
  <c r="AA1215" i="2"/>
  <c r="U1215" i="2"/>
  <c r="V1215" i="2" s="1"/>
  <c r="T1215" i="2"/>
  <c r="AC1214" i="2"/>
  <c r="AB1214" i="2"/>
  <c r="AA1214" i="2"/>
  <c r="U1214" i="2"/>
  <c r="X1214" i="2" s="1"/>
  <c r="Y1214" i="2" s="1"/>
  <c r="Z1214" i="2" s="1"/>
  <c r="T1214" i="2"/>
  <c r="AC1213" i="2"/>
  <c r="AB1213" i="2"/>
  <c r="AA1213" i="2"/>
  <c r="U1213" i="2"/>
  <c r="T1213" i="2"/>
  <c r="AC1212" i="2"/>
  <c r="AB1212" i="2"/>
  <c r="AA1212" i="2"/>
  <c r="U1212" i="2"/>
  <c r="AE1212" i="2" s="1"/>
  <c r="T1212" i="2"/>
  <c r="AC1211" i="2"/>
  <c r="AB1211" i="2"/>
  <c r="AA1211" i="2"/>
  <c r="U1211" i="2"/>
  <c r="AE1211" i="2" s="1"/>
  <c r="T1211" i="2"/>
  <c r="AC1210" i="2"/>
  <c r="AB1210" i="2"/>
  <c r="AA1210" i="2"/>
  <c r="U1210" i="2"/>
  <c r="T1210" i="2"/>
  <c r="AC1209" i="2"/>
  <c r="AB1209" i="2"/>
  <c r="AA1209" i="2"/>
  <c r="U1209" i="2"/>
  <c r="T1209" i="2"/>
  <c r="AC1208" i="2"/>
  <c r="AB1208" i="2"/>
  <c r="AA1208" i="2"/>
  <c r="U1208" i="2"/>
  <c r="AE1208" i="2" s="1"/>
  <c r="T1208" i="2"/>
  <c r="AC1207" i="2"/>
  <c r="AB1207" i="2"/>
  <c r="AA1207" i="2"/>
  <c r="U1207" i="2"/>
  <c r="AE1207" i="2" s="1"/>
  <c r="T1207" i="2"/>
  <c r="AC1206" i="2"/>
  <c r="AB1206" i="2"/>
  <c r="AA1206" i="2"/>
  <c r="U1206" i="2"/>
  <c r="T1206" i="2"/>
  <c r="AC1205" i="2"/>
  <c r="AB1205" i="2"/>
  <c r="AA1205" i="2"/>
  <c r="U1205" i="2"/>
  <c r="W1205" i="2" s="1"/>
  <c r="T1205" i="2"/>
  <c r="AC1204" i="2"/>
  <c r="AB1204" i="2"/>
  <c r="AA1204" i="2"/>
  <c r="U1204" i="2"/>
  <c r="AE1204" i="2" s="1"/>
  <c r="T1204" i="2"/>
  <c r="AC1203" i="2"/>
  <c r="AB1203" i="2"/>
  <c r="AA1203" i="2"/>
  <c r="U1203" i="2"/>
  <c r="X1203" i="2" s="1"/>
  <c r="T1203" i="2"/>
  <c r="AC1202" i="2"/>
  <c r="AB1202" i="2"/>
  <c r="AA1202" i="2"/>
  <c r="U1202" i="2"/>
  <c r="T1202" i="2"/>
  <c r="AC1201" i="2"/>
  <c r="AB1201" i="2"/>
  <c r="AA1201" i="2"/>
  <c r="U1201" i="2"/>
  <c r="T1201" i="2"/>
  <c r="AC1200" i="2"/>
  <c r="AB1200" i="2"/>
  <c r="AA1200" i="2"/>
  <c r="U1200" i="2"/>
  <c r="AE1200" i="2" s="1"/>
  <c r="T1200" i="2"/>
  <c r="AC1199" i="2"/>
  <c r="AB1199" i="2"/>
  <c r="AA1199" i="2"/>
  <c r="U1199" i="2"/>
  <c r="T1199" i="2"/>
  <c r="AC1198" i="2"/>
  <c r="AB1198" i="2"/>
  <c r="AA1198" i="2"/>
  <c r="U1198" i="2"/>
  <c r="T1198" i="2"/>
  <c r="AD1198" i="2" s="1"/>
  <c r="AC1197" i="2"/>
  <c r="AB1197" i="2"/>
  <c r="AA1197" i="2"/>
  <c r="U1197" i="2"/>
  <c r="W1197" i="2" s="1"/>
  <c r="T1197" i="2"/>
  <c r="AC1196" i="2"/>
  <c r="AB1196" i="2"/>
  <c r="AA1196" i="2"/>
  <c r="U1196" i="2"/>
  <c r="AE1196" i="2" s="1"/>
  <c r="T1196" i="2"/>
  <c r="AC1195" i="2"/>
  <c r="AB1195" i="2"/>
  <c r="AA1195" i="2"/>
  <c r="U1195" i="2"/>
  <c r="AE1195" i="2" s="1"/>
  <c r="T1195" i="2"/>
  <c r="AC1194" i="2"/>
  <c r="AB1194" i="2"/>
  <c r="AA1194" i="2"/>
  <c r="U1194" i="2"/>
  <c r="T1194" i="2"/>
  <c r="AC1193" i="2"/>
  <c r="AB1193" i="2"/>
  <c r="AA1193" i="2"/>
  <c r="U1193" i="2"/>
  <c r="X1193" i="2" s="1"/>
  <c r="T1193" i="2"/>
  <c r="AC1192" i="2"/>
  <c r="AB1192" i="2"/>
  <c r="AA1192" i="2"/>
  <c r="U1192" i="2"/>
  <c r="T1192" i="2"/>
  <c r="AC1191" i="2"/>
  <c r="AB1191" i="2"/>
  <c r="AA1191" i="2"/>
  <c r="U1191" i="2"/>
  <c r="W1191" i="2" s="1"/>
  <c r="T1191" i="2"/>
  <c r="AC1190" i="2"/>
  <c r="AB1190" i="2"/>
  <c r="AA1190" i="2"/>
  <c r="U1190" i="2"/>
  <c r="T1190" i="2"/>
  <c r="AC1189" i="2"/>
  <c r="AB1189" i="2"/>
  <c r="AA1189" i="2"/>
  <c r="U1189" i="2"/>
  <c r="X1189" i="2" s="1"/>
  <c r="T1189" i="2"/>
  <c r="AC1188" i="2"/>
  <c r="AB1188" i="2"/>
  <c r="AA1188" i="2"/>
  <c r="U1188" i="2"/>
  <c r="T1188" i="2"/>
  <c r="AC1187" i="2"/>
  <c r="AB1187" i="2"/>
  <c r="AA1187" i="2"/>
  <c r="U1187" i="2"/>
  <c r="T1187" i="2"/>
  <c r="AC1186" i="2"/>
  <c r="AB1186" i="2"/>
  <c r="AA1186" i="2"/>
  <c r="U1186" i="2"/>
  <c r="W1186" i="2" s="1"/>
  <c r="T1186" i="2"/>
  <c r="AC1185" i="2"/>
  <c r="AB1185" i="2"/>
  <c r="AA1185" i="2"/>
  <c r="U1185" i="2"/>
  <c r="X1185" i="2" s="1"/>
  <c r="T1185" i="2"/>
  <c r="AC1184" i="2"/>
  <c r="AB1184" i="2"/>
  <c r="AA1184" i="2"/>
  <c r="U1184" i="2"/>
  <c r="AE1184" i="2" s="1"/>
  <c r="T1184" i="2"/>
  <c r="AC1183" i="2"/>
  <c r="AB1183" i="2"/>
  <c r="AA1183" i="2"/>
  <c r="U1183" i="2"/>
  <c r="T1183" i="2"/>
  <c r="AC1182" i="2"/>
  <c r="AB1182" i="2"/>
  <c r="AA1182" i="2"/>
  <c r="U1182" i="2"/>
  <c r="W1182" i="2" s="1"/>
  <c r="T1182" i="2"/>
  <c r="AC1181" i="2"/>
  <c r="AB1181" i="2"/>
  <c r="AA1181" i="2"/>
  <c r="U1181" i="2"/>
  <c r="T1181" i="2"/>
  <c r="AC1180" i="2"/>
  <c r="AB1180" i="2"/>
  <c r="AA1180" i="2"/>
  <c r="U1180" i="2"/>
  <c r="AE1180" i="2" s="1"/>
  <c r="T1180" i="2"/>
  <c r="AC1179" i="2"/>
  <c r="AB1179" i="2"/>
  <c r="AA1179" i="2"/>
  <c r="U1179" i="2"/>
  <c r="X1179" i="2" s="1"/>
  <c r="T1179" i="2"/>
  <c r="AC1178" i="2"/>
  <c r="AB1178" i="2"/>
  <c r="AA1178" i="2"/>
  <c r="U1178" i="2"/>
  <c r="T1178" i="2"/>
  <c r="AC1177" i="2"/>
  <c r="AB1177" i="2"/>
  <c r="AA1177" i="2"/>
  <c r="U1177" i="2"/>
  <c r="T1177" i="2"/>
  <c r="AC1176" i="2"/>
  <c r="AB1176" i="2"/>
  <c r="AA1176" i="2"/>
  <c r="U1176" i="2"/>
  <c r="AE1176" i="2" s="1"/>
  <c r="T1176" i="2"/>
  <c r="AC1175" i="2"/>
  <c r="AB1175" i="2"/>
  <c r="AA1175" i="2"/>
  <c r="U1175" i="2"/>
  <c r="AE1175" i="2" s="1"/>
  <c r="T1175" i="2"/>
  <c r="AC1174" i="2"/>
  <c r="AB1174" i="2"/>
  <c r="AA1174" i="2"/>
  <c r="U1174" i="2"/>
  <c r="T1174" i="2"/>
  <c r="AC1173" i="2"/>
  <c r="AB1173" i="2"/>
  <c r="AA1173" i="2"/>
  <c r="U1173" i="2"/>
  <c r="Y1173" i="2" s="1"/>
  <c r="T1173" i="2"/>
  <c r="AC1172" i="2"/>
  <c r="AB1172" i="2"/>
  <c r="AA1172" i="2"/>
  <c r="U1172" i="2"/>
  <c r="V1172" i="2" s="1"/>
  <c r="T1172" i="2"/>
  <c r="AC1171" i="2"/>
  <c r="AB1171" i="2"/>
  <c r="AA1171" i="2"/>
  <c r="U1171" i="2"/>
  <c r="V1171" i="2" s="1"/>
  <c r="T1171" i="2"/>
  <c r="AC1170" i="2"/>
  <c r="AB1170" i="2"/>
  <c r="AA1170" i="2"/>
  <c r="U1170" i="2"/>
  <c r="Y1170" i="2" s="1"/>
  <c r="T1170" i="2"/>
  <c r="AC1169" i="2"/>
  <c r="AB1169" i="2"/>
  <c r="AA1169" i="2"/>
  <c r="U1169" i="2"/>
  <c r="T1169" i="2"/>
  <c r="AC1168" i="2"/>
  <c r="AB1168" i="2"/>
  <c r="AA1168" i="2"/>
  <c r="U1168" i="2"/>
  <c r="AE1168" i="2" s="1"/>
  <c r="T1168" i="2"/>
  <c r="AC1167" i="2"/>
  <c r="AB1167" i="2"/>
  <c r="AA1167" i="2"/>
  <c r="U1167" i="2"/>
  <c r="T1167" i="2"/>
  <c r="AC1166" i="2"/>
  <c r="AB1166" i="2"/>
  <c r="AA1166" i="2"/>
  <c r="U1166" i="2"/>
  <c r="W1166" i="2" s="1"/>
  <c r="T1166" i="2"/>
  <c r="AC1165" i="2"/>
  <c r="AB1165" i="2"/>
  <c r="AA1165" i="2"/>
  <c r="U1165" i="2"/>
  <c r="AE1165" i="2" s="1"/>
  <c r="T1165" i="2"/>
  <c r="AC1164" i="2"/>
  <c r="AB1164" i="2"/>
  <c r="AA1164" i="2"/>
  <c r="U1164" i="2"/>
  <c r="V1164" i="2" s="1"/>
  <c r="T1164" i="2"/>
  <c r="AC1163" i="2"/>
  <c r="AB1163" i="2"/>
  <c r="AA1163" i="2"/>
  <c r="U1163" i="2"/>
  <c r="T1163" i="2"/>
  <c r="AC1162" i="2"/>
  <c r="AB1162" i="2"/>
  <c r="AA1162" i="2"/>
  <c r="U1162" i="2"/>
  <c r="W1162" i="2" s="1"/>
  <c r="T1162" i="2"/>
  <c r="AC1161" i="2"/>
  <c r="AB1161" i="2"/>
  <c r="AA1161" i="2"/>
  <c r="U1161" i="2"/>
  <c r="Y1161" i="2" s="1"/>
  <c r="T1161" i="2"/>
  <c r="AC1160" i="2"/>
  <c r="AB1160" i="2"/>
  <c r="AA1160" i="2"/>
  <c r="U1160" i="2"/>
  <c r="AE1160" i="2" s="1"/>
  <c r="T1160" i="2"/>
  <c r="AC1159" i="2"/>
  <c r="AB1159" i="2"/>
  <c r="AA1159" i="2"/>
  <c r="U1159" i="2"/>
  <c r="X1159" i="2" s="1"/>
  <c r="T1159" i="2"/>
  <c r="AC1158" i="2"/>
  <c r="AB1158" i="2"/>
  <c r="AA1158" i="2"/>
  <c r="U1158" i="2"/>
  <c r="W1158" i="2" s="1"/>
  <c r="T1158" i="2"/>
  <c r="AC1157" i="2"/>
  <c r="AB1157" i="2"/>
  <c r="AA1157" i="2"/>
  <c r="U1157" i="2"/>
  <c r="AE1157" i="2" s="1"/>
  <c r="T1157" i="2"/>
  <c r="AD1157" i="2" s="1"/>
  <c r="AC1156" i="2"/>
  <c r="AB1156" i="2"/>
  <c r="AA1156" i="2"/>
  <c r="U1156" i="2"/>
  <c r="T1156" i="2"/>
  <c r="AC1155" i="2"/>
  <c r="AB1155" i="2"/>
  <c r="AA1155" i="2"/>
  <c r="Y1155" i="2"/>
  <c r="U1155" i="2"/>
  <c r="AE1155" i="2" s="1"/>
  <c r="T1155" i="2"/>
  <c r="AC1154" i="2"/>
  <c r="AB1154" i="2"/>
  <c r="AA1154" i="2"/>
  <c r="U1154" i="2"/>
  <c r="W1154" i="2" s="1"/>
  <c r="T1154" i="2"/>
  <c r="AC1153" i="2"/>
  <c r="AB1153" i="2"/>
  <c r="AA1153" i="2"/>
  <c r="U1153" i="2"/>
  <c r="AE1153" i="2" s="1"/>
  <c r="T1153" i="2"/>
  <c r="AC1152" i="2"/>
  <c r="AB1152" i="2"/>
  <c r="AA1152" i="2"/>
  <c r="U1152" i="2"/>
  <c r="AE1152" i="2" s="1"/>
  <c r="T1152" i="2"/>
  <c r="AC1151" i="2"/>
  <c r="AB1151" i="2"/>
  <c r="AA1151" i="2"/>
  <c r="U1151" i="2"/>
  <c r="AE1151" i="2" s="1"/>
  <c r="T1151" i="2"/>
  <c r="AC1150" i="2"/>
  <c r="AB1150" i="2"/>
  <c r="AA1150" i="2"/>
  <c r="U1150" i="2"/>
  <c r="W1150" i="2" s="1"/>
  <c r="T1150" i="2"/>
  <c r="AC1149" i="2"/>
  <c r="AB1149" i="2"/>
  <c r="AA1149" i="2"/>
  <c r="U1149" i="2"/>
  <c r="AE1149" i="2" s="1"/>
  <c r="T1149" i="2"/>
  <c r="AC1148" i="2"/>
  <c r="AB1148" i="2"/>
  <c r="AA1148" i="2"/>
  <c r="U1148" i="2"/>
  <c r="V1148" i="2" s="1"/>
  <c r="T1148" i="2"/>
  <c r="AC1147" i="2"/>
  <c r="AB1147" i="2"/>
  <c r="AA1147" i="2"/>
  <c r="U1147" i="2"/>
  <c r="AE1147" i="2" s="1"/>
  <c r="T1147" i="2"/>
  <c r="AC1146" i="2"/>
  <c r="AB1146" i="2"/>
  <c r="AA1146" i="2"/>
  <c r="U1146" i="2"/>
  <c r="W1146" i="2" s="1"/>
  <c r="T1146" i="2"/>
  <c r="AC1145" i="2"/>
  <c r="AB1145" i="2"/>
  <c r="AA1145" i="2"/>
  <c r="U1145" i="2"/>
  <c r="T1145" i="2"/>
  <c r="AC1144" i="2"/>
  <c r="AB1144" i="2"/>
  <c r="AA1144" i="2"/>
  <c r="U1144" i="2"/>
  <c r="AE1144" i="2" s="1"/>
  <c r="T1144" i="2"/>
  <c r="AC1143" i="2"/>
  <c r="AB1143" i="2"/>
  <c r="AA1143" i="2"/>
  <c r="U1143" i="2"/>
  <c r="AE1143" i="2" s="1"/>
  <c r="T1143" i="2"/>
  <c r="AC1142" i="2"/>
  <c r="AB1142" i="2"/>
  <c r="AA1142" i="2"/>
  <c r="U1142" i="2"/>
  <c r="W1142" i="2" s="1"/>
  <c r="T1142" i="2"/>
  <c r="AC1141" i="2"/>
  <c r="AB1141" i="2"/>
  <c r="AA1141" i="2"/>
  <c r="U1141" i="2"/>
  <c r="AE1141" i="2" s="1"/>
  <c r="T1141" i="2"/>
  <c r="AC1140" i="2"/>
  <c r="AB1140" i="2"/>
  <c r="AA1140" i="2"/>
  <c r="U1140" i="2"/>
  <c r="AE1140" i="2" s="1"/>
  <c r="T1140" i="2"/>
  <c r="AC1139" i="2"/>
  <c r="AB1139" i="2"/>
  <c r="AA1139" i="2"/>
  <c r="U1139" i="2"/>
  <c r="AE1139" i="2" s="1"/>
  <c r="T1139" i="2"/>
  <c r="AC1138" i="2"/>
  <c r="AB1138" i="2"/>
  <c r="AA1138" i="2"/>
  <c r="U1138" i="2"/>
  <c r="T1138" i="2"/>
  <c r="AC1137" i="2"/>
  <c r="AB1137" i="2"/>
  <c r="AA1137" i="2"/>
  <c r="U1137" i="2"/>
  <c r="X1137" i="2" s="1"/>
  <c r="T1137" i="2"/>
  <c r="AC1136" i="2"/>
  <c r="AB1136" i="2"/>
  <c r="AA1136" i="2"/>
  <c r="U1136" i="2"/>
  <c r="V1136" i="2" s="1"/>
  <c r="T1136" i="2"/>
  <c r="AC1135" i="2"/>
  <c r="AB1135" i="2"/>
  <c r="AA1135" i="2"/>
  <c r="U1135" i="2"/>
  <c r="T1135" i="2"/>
  <c r="AC1134" i="2"/>
  <c r="AB1134" i="2"/>
  <c r="AA1134" i="2"/>
  <c r="U1134" i="2"/>
  <c r="T1134" i="2"/>
  <c r="AC1133" i="2"/>
  <c r="AB1133" i="2"/>
  <c r="AA1133" i="2"/>
  <c r="U1133" i="2"/>
  <c r="AE1133" i="2" s="1"/>
  <c r="T1133" i="2"/>
  <c r="AC1132" i="2"/>
  <c r="AB1132" i="2"/>
  <c r="AA1132" i="2"/>
  <c r="U1132" i="2"/>
  <c r="V1132" i="2" s="1"/>
  <c r="T1132" i="2"/>
  <c r="AC1131" i="2"/>
  <c r="AB1131" i="2"/>
  <c r="AA1131" i="2"/>
  <c r="U1131" i="2"/>
  <c r="AE1131" i="2" s="1"/>
  <c r="T1131" i="2"/>
  <c r="AC1130" i="2"/>
  <c r="AB1130" i="2"/>
  <c r="AA1130" i="2"/>
  <c r="U1130" i="2"/>
  <c r="T1130" i="2"/>
  <c r="AC1129" i="2"/>
  <c r="AB1129" i="2"/>
  <c r="AA1129" i="2"/>
  <c r="U1129" i="2"/>
  <c r="T1129" i="2"/>
  <c r="AC1128" i="2"/>
  <c r="AB1128" i="2"/>
  <c r="AA1128" i="2"/>
  <c r="U1128" i="2"/>
  <c r="V1128" i="2" s="1"/>
  <c r="T1128" i="2"/>
  <c r="AC1127" i="2"/>
  <c r="AB1127" i="2"/>
  <c r="AA1127" i="2"/>
  <c r="U1127" i="2"/>
  <c r="X1127" i="2" s="1"/>
  <c r="T1127" i="2"/>
  <c r="AC1126" i="2"/>
  <c r="AB1126" i="2"/>
  <c r="AA1126" i="2"/>
  <c r="U1126" i="2"/>
  <c r="T1126" i="2"/>
  <c r="AC1125" i="2"/>
  <c r="AB1125" i="2"/>
  <c r="AA1125" i="2"/>
  <c r="U1125" i="2"/>
  <c r="T1125" i="2"/>
  <c r="AC1124" i="2"/>
  <c r="AB1124" i="2"/>
  <c r="AA1124" i="2"/>
  <c r="U1124" i="2"/>
  <c r="T1124" i="2"/>
  <c r="AC1123" i="2"/>
  <c r="AB1123" i="2"/>
  <c r="AA1123" i="2"/>
  <c r="U1123" i="2"/>
  <c r="T1123" i="2"/>
  <c r="AC1122" i="2"/>
  <c r="AB1122" i="2"/>
  <c r="AA1122" i="2"/>
  <c r="U1122" i="2"/>
  <c r="V1122" i="2" s="1"/>
  <c r="T1122" i="2"/>
  <c r="AC1121" i="2"/>
  <c r="AB1121" i="2"/>
  <c r="AA1121" i="2"/>
  <c r="U1121" i="2"/>
  <c r="Y1121" i="2" s="1"/>
  <c r="T1121" i="2"/>
  <c r="AC1120" i="2"/>
  <c r="AB1120" i="2"/>
  <c r="AA1120" i="2"/>
  <c r="U1120" i="2"/>
  <c r="V1120" i="2" s="1"/>
  <c r="T1120" i="2"/>
  <c r="AC1119" i="2"/>
  <c r="AB1119" i="2"/>
  <c r="AA1119" i="2"/>
  <c r="U1119" i="2"/>
  <c r="T1119" i="2"/>
  <c r="AC1118" i="2"/>
  <c r="AB1118" i="2"/>
  <c r="AA1118" i="2"/>
  <c r="U1118" i="2"/>
  <c r="X1118" i="2" s="1"/>
  <c r="T1118" i="2"/>
  <c r="AC1117" i="2"/>
  <c r="AB1117" i="2"/>
  <c r="AA1117" i="2"/>
  <c r="U1117" i="2"/>
  <c r="AE1117" i="2" s="1"/>
  <c r="T1117" i="2"/>
  <c r="AC1116" i="2"/>
  <c r="AB1116" i="2"/>
  <c r="AA1116" i="2"/>
  <c r="U1116" i="2"/>
  <c r="X1116" i="2" s="1"/>
  <c r="T1116" i="2"/>
  <c r="AC1115" i="2"/>
  <c r="AB1115" i="2"/>
  <c r="AA1115" i="2"/>
  <c r="U1115" i="2"/>
  <c r="T1115" i="2"/>
  <c r="AC1114" i="2"/>
  <c r="AB1114" i="2"/>
  <c r="AA1114" i="2"/>
  <c r="U1114" i="2"/>
  <c r="T1114" i="2"/>
  <c r="AC1113" i="2"/>
  <c r="AB1113" i="2"/>
  <c r="AA1113" i="2"/>
  <c r="U1113" i="2"/>
  <c r="AE1113" i="2" s="1"/>
  <c r="T1113" i="2"/>
  <c r="AC1112" i="2"/>
  <c r="AB1112" i="2"/>
  <c r="AA1112" i="2"/>
  <c r="U1112" i="2"/>
  <c r="AE1112" i="2" s="1"/>
  <c r="T1112" i="2"/>
  <c r="AC1111" i="2"/>
  <c r="AB1111" i="2"/>
  <c r="AA1111" i="2"/>
  <c r="U1111" i="2"/>
  <c r="AE1111" i="2" s="1"/>
  <c r="T1111" i="2"/>
  <c r="AC1110" i="2"/>
  <c r="AB1110" i="2"/>
  <c r="AA1110" i="2"/>
  <c r="U1110" i="2"/>
  <c r="Y1110" i="2" s="1"/>
  <c r="T1110" i="2"/>
  <c r="AC1109" i="2"/>
  <c r="AB1109" i="2"/>
  <c r="AA1109" i="2"/>
  <c r="U1109" i="2"/>
  <c r="AE1109" i="2" s="1"/>
  <c r="T1109" i="2"/>
  <c r="AC1108" i="2"/>
  <c r="AB1108" i="2"/>
  <c r="AA1108" i="2"/>
  <c r="U1108" i="2"/>
  <c r="AE1108" i="2" s="1"/>
  <c r="T1108" i="2"/>
  <c r="AC1107" i="2"/>
  <c r="AB1107" i="2"/>
  <c r="AA1107" i="2"/>
  <c r="U1107" i="2"/>
  <c r="AE1107" i="2" s="1"/>
  <c r="T1107" i="2"/>
  <c r="AC1106" i="2"/>
  <c r="AB1106" i="2"/>
  <c r="AA1106" i="2"/>
  <c r="U1106" i="2"/>
  <c r="V1106" i="2" s="1"/>
  <c r="T1106" i="2"/>
  <c r="AC1105" i="2"/>
  <c r="AB1105" i="2"/>
  <c r="AA1105" i="2"/>
  <c r="U1105" i="2"/>
  <c r="X1105" i="2" s="1"/>
  <c r="Y1105" i="2" s="1"/>
  <c r="T1105" i="2"/>
  <c r="AC1104" i="2"/>
  <c r="AB1104" i="2"/>
  <c r="AA1104" i="2"/>
  <c r="U1104" i="2"/>
  <c r="X1104" i="2" s="1"/>
  <c r="T1104" i="2"/>
  <c r="AC1103" i="2"/>
  <c r="AB1103" i="2"/>
  <c r="AA1103" i="2"/>
  <c r="U1103" i="2"/>
  <c r="V1103" i="2" s="1"/>
  <c r="T1103" i="2"/>
  <c r="AC1102" i="2"/>
  <c r="AB1102" i="2"/>
  <c r="AA1102" i="2"/>
  <c r="U1102" i="2"/>
  <c r="T1102" i="2"/>
  <c r="AC1101" i="2"/>
  <c r="AB1101" i="2"/>
  <c r="AA1101" i="2"/>
  <c r="U1101" i="2"/>
  <c r="AE1101" i="2" s="1"/>
  <c r="T1101" i="2"/>
  <c r="AC1100" i="2"/>
  <c r="AB1100" i="2"/>
  <c r="AA1100" i="2"/>
  <c r="U1100" i="2"/>
  <c r="X1100" i="2" s="1"/>
  <c r="T1100" i="2"/>
  <c r="AC1099" i="2"/>
  <c r="AB1099" i="2"/>
  <c r="AA1099" i="2"/>
  <c r="U1099" i="2"/>
  <c r="AE1099" i="2" s="1"/>
  <c r="T1099" i="2"/>
  <c r="AC1098" i="2"/>
  <c r="AB1098" i="2"/>
  <c r="AA1098" i="2"/>
  <c r="U1098" i="2"/>
  <c r="W1098" i="2" s="1"/>
  <c r="T1098" i="2"/>
  <c r="AC1097" i="2"/>
  <c r="AB1097" i="2"/>
  <c r="AA1097" i="2"/>
  <c r="U1097" i="2"/>
  <c r="AE1097" i="2" s="1"/>
  <c r="T1097" i="2"/>
  <c r="AC1096" i="2"/>
  <c r="AB1096" i="2"/>
  <c r="AA1096" i="2"/>
  <c r="U1096" i="2"/>
  <c r="AE1096" i="2" s="1"/>
  <c r="T1096" i="2"/>
  <c r="AC1095" i="2"/>
  <c r="AB1095" i="2"/>
  <c r="AA1095" i="2"/>
  <c r="U1095" i="2"/>
  <c r="AE1095" i="2" s="1"/>
  <c r="T1095" i="2"/>
  <c r="AC1094" i="2"/>
  <c r="AB1094" i="2"/>
  <c r="AA1094" i="2"/>
  <c r="U1094" i="2"/>
  <c r="T1094" i="2"/>
  <c r="AC1093" i="2"/>
  <c r="AB1093" i="2"/>
  <c r="AA1093" i="2"/>
  <c r="U1093" i="2"/>
  <c r="V1093" i="2" s="1"/>
  <c r="T1093" i="2"/>
  <c r="AC1092" i="2"/>
  <c r="AB1092" i="2"/>
  <c r="AA1092" i="2"/>
  <c r="U1092" i="2"/>
  <c r="W1092" i="2" s="1"/>
  <c r="T1092" i="2"/>
  <c r="AC1091" i="2"/>
  <c r="AB1091" i="2"/>
  <c r="AA1091" i="2"/>
  <c r="U1091" i="2"/>
  <c r="V1091" i="2" s="1"/>
  <c r="T1091" i="2"/>
  <c r="AC1090" i="2"/>
  <c r="AB1090" i="2"/>
  <c r="AA1090" i="2"/>
  <c r="U1090" i="2"/>
  <c r="AE1090" i="2" s="1"/>
  <c r="T1090" i="2"/>
  <c r="AC1089" i="2"/>
  <c r="AB1089" i="2"/>
  <c r="AA1089" i="2"/>
  <c r="U1089" i="2"/>
  <c r="AE1089" i="2" s="1"/>
  <c r="T1089" i="2"/>
  <c r="AC1088" i="2"/>
  <c r="AB1088" i="2"/>
  <c r="AA1088" i="2"/>
  <c r="U1088" i="2"/>
  <c r="AE1088" i="2" s="1"/>
  <c r="T1088" i="2"/>
  <c r="AC1087" i="2"/>
  <c r="AB1087" i="2"/>
  <c r="AA1087" i="2"/>
  <c r="U1087" i="2"/>
  <c r="AE1087" i="2" s="1"/>
  <c r="T1087" i="2"/>
  <c r="AC1086" i="2"/>
  <c r="AB1086" i="2"/>
  <c r="AA1086" i="2"/>
  <c r="U1086" i="2"/>
  <c r="AE1086" i="2" s="1"/>
  <c r="T1086" i="2"/>
  <c r="AC1085" i="2"/>
  <c r="AB1085" i="2"/>
  <c r="AA1085" i="2"/>
  <c r="U1085" i="2"/>
  <c r="AE1085" i="2" s="1"/>
  <c r="T1085" i="2"/>
  <c r="AC1084" i="2"/>
  <c r="AB1084" i="2"/>
  <c r="AA1084" i="2"/>
  <c r="U1084" i="2"/>
  <c r="X1084" i="2" s="1"/>
  <c r="Y1084" i="2" s="1"/>
  <c r="Z1084" i="2" s="1"/>
  <c r="T1084" i="2"/>
  <c r="AC1083" i="2"/>
  <c r="AB1083" i="2"/>
  <c r="AA1083" i="2"/>
  <c r="U1083" i="2"/>
  <c r="W1083" i="2" s="1"/>
  <c r="T1083" i="2"/>
  <c r="AC1082" i="2"/>
  <c r="AB1082" i="2"/>
  <c r="AA1082" i="2"/>
  <c r="U1082" i="2"/>
  <c r="V1082" i="2" s="1"/>
  <c r="T1082" i="2"/>
  <c r="AC1081" i="2"/>
  <c r="AB1081" i="2"/>
  <c r="AA1081" i="2"/>
  <c r="U1081" i="2"/>
  <c r="T1081" i="2"/>
  <c r="AC1080" i="2"/>
  <c r="AB1080" i="2"/>
  <c r="AA1080" i="2"/>
  <c r="U1080" i="2"/>
  <c r="AE1080" i="2" s="1"/>
  <c r="T1080" i="2"/>
  <c r="AC1079" i="2"/>
  <c r="AB1079" i="2"/>
  <c r="AA1079" i="2"/>
  <c r="U1079" i="2"/>
  <c r="T1079" i="2"/>
  <c r="AC1078" i="2"/>
  <c r="AB1078" i="2"/>
  <c r="AA1078" i="2"/>
  <c r="U1078" i="2"/>
  <c r="T1078" i="2"/>
  <c r="AC1077" i="2"/>
  <c r="AB1077" i="2"/>
  <c r="AA1077" i="2"/>
  <c r="U1077" i="2"/>
  <c r="AE1077" i="2" s="1"/>
  <c r="T1077" i="2"/>
  <c r="AC1076" i="2"/>
  <c r="AB1076" i="2"/>
  <c r="AA1076" i="2"/>
  <c r="U1076" i="2"/>
  <c r="V1076" i="2" s="1"/>
  <c r="T1076" i="2"/>
  <c r="AC1075" i="2"/>
  <c r="AB1075" i="2"/>
  <c r="AA1075" i="2"/>
  <c r="U1075" i="2"/>
  <c r="V1075" i="2" s="1"/>
  <c r="T1075" i="2"/>
  <c r="AC1074" i="2"/>
  <c r="AB1074" i="2"/>
  <c r="AA1074" i="2"/>
  <c r="U1074" i="2"/>
  <c r="V1074" i="2" s="1"/>
  <c r="T1074" i="2"/>
  <c r="AC1073" i="2"/>
  <c r="AB1073" i="2"/>
  <c r="AA1073" i="2"/>
  <c r="U1073" i="2"/>
  <c r="T1073" i="2"/>
  <c r="AC1072" i="2"/>
  <c r="AB1072" i="2"/>
  <c r="AA1072" i="2"/>
  <c r="U1072" i="2"/>
  <c r="V1072" i="2" s="1"/>
  <c r="T1072" i="2"/>
  <c r="AC1071" i="2"/>
  <c r="AB1071" i="2"/>
  <c r="AA1071" i="2"/>
  <c r="U1071" i="2"/>
  <c r="AE1071" i="2" s="1"/>
  <c r="T1071" i="2"/>
  <c r="AC1070" i="2"/>
  <c r="AB1070" i="2"/>
  <c r="AA1070" i="2"/>
  <c r="U1070" i="2"/>
  <c r="AE1070" i="2" s="1"/>
  <c r="T1070" i="2"/>
  <c r="AC1069" i="2"/>
  <c r="AB1069" i="2"/>
  <c r="AA1069" i="2"/>
  <c r="U1069" i="2"/>
  <c r="AE1069" i="2" s="1"/>
  <c r="T1069" i="2"/>
  <c r="AC1068" i="2"/>
  <c r="AB1068" i="2"/>
  <c r="AA1068" i="2"/>
  <c r="U1068" i="2"/>
  <c r="V1068" i="2" s="1"/>
  <c r="T1068" i="2"/>
  <c r="AC1067" i="2"/>
  <c r="AB1067" i="2"/>
  <c r="AA1067" i="2"/>
  <c r="U1067" i="2"/>
  <c r="V1067" i="2" s="1"/>
  <c r="T1067" i="2"/>
  <c r="AC1066" i="2"/>
  <c r="AB1066" i="2"/>
  <c r="AA1066" i="2"/>
  <c r="U1066" i="2"/>
  <c r="AE1066" i="2" s="1"/>
  <c r="T1066" i="2"/>
  <c r="AC1065" i="2"/>
  <c r="AB1065" i="2"/>
  <c r="AA1065" i="2"/>
  <c r="U1065" i="2"/>
  <c r="AE1065" i="2" s="1"/>
  <c r="T1065" i="2"/>
  <c r="AC1064" i="2"/>
  <c r="AB1064" i="2"/>
  <c r="AA1064" i="2"/>
  <c r="U1064" i="2"/>
  <c r="V1064" i="2" s="1"/>
  <c r="T1064" i="2"/>
  <c r="AC1063" i="2"/>
  <c r="AB1063" i="2"/>
  <c r="AA1063" i="2"/>
  <c r="U1063" i="2"/>
  <c r="AE1063" i="2" s="1"/>
  <c r="T1063" i="2"/>
  <c r="AC1062" i="2"/>
  <c r="AB1062" i="2"/>
  <c r="AA1062" i="2"/>
  <c r="U1062" i="2"/>
  <c r="X1062" i="2" s="1"/>
  <c r="T1062" i="2"/>
  <c r="AC1061" i="2"/>
  <c r="AB1061" i="2"/>
  <c r="AA1061" i="2"/>
  <c r="U1061" i="2"/>
  <c r="AE1061" i="2" s="1"/>
  <c r="T1061" i="2"/>
  <c r="AC1060" i="2"/>
  <c r="AB1060" i="2"/>
  <c r="AA1060" i="2"/>
  <c r="U1060" i="2"/>
  <c r="V1060" i="2" s="1"/>
  <c r="T1060" i="2"/>
  <c r="AC1059" i="2"/>
  <c r="AB1059" i="2"/>
  <c r="AA1059" i="2"/>
  <c r="U1059" i="2"/>
  <c r="V1059" i="2" s="1"/>
  <c r="T1059" i="2"/>
  <c r="AC1058" i="2"/>
  <c r="AB1058" i="2"/>
  <c r="AA1058" i="2"/>
  <c r="U1058" i="2"/>
  <c r="V1058" i="2" s="1"/>
  <c r="T1058" i="2"/>
  <c r="AC1057" i="2"/>
  <c r="AB1057" i="2"/>
  <c r="AA1057" i="2"/>
  <c r="U1057" i="2"/>
  <c r="AE1057" i="2" s="1"/>
  <c r="T1057" i="2"/>
  <c r="AC1056" i="2"/>
  <c r="AB1056" i="2"/>
  <c r="AA1056" i="2"/>
  <c r="U1056" i="2"/>
  <c r="V1056" i="2" s="1"/>
  <c r="T1056" i="2"/>
  <c r="AC1055" i="2"/>
  <c r="AB1055" i="2"/>
  <c r="AA1055" i="2"/>
  <c r="U1055" i="2"/>
  <c r="V1055" i="2" s="1"/>
  <c r="T1055" i="2"/>
  <c r="AC1054" i="2"/>
  <c r="AB1054" i="2"/>
  <c r="AA1054" i="2"/>
  <c r="U1054" i="2"/>
  <c r="AE1054" i="2" s="1"/>
  <c r="T1054" i="2"/>
  <c r="AC1053" i="2"/>
  <c r="AB1053" i="2"/>
  <c r="AA1053" i="2"/>
  <c r="U1053" i="2"/>
  <c r="AE1053" i="2" s="1"/>
  <c r="T1053" i="2"/>
  <c r="AC1052" i="2"/>
  <c r="AB1052" i="2"/>
  <c r="AA1052" i="2"/>
  <c r="U1052" i="2"/>
  <c r="T1052" i="2"/>
  <c r="AC1051" i="2"/>
  <c r="AB1051" i="2"/>
  <c r="AA1051" i="2"/>
  <c r="U1051" i="2"/>
  <c r="AE1051" i="2" s="1"/>
  <c r="T1051" i="2"/>
  <c r="AC1050" i="2"/>
  <c r="AB1050" i="2"/>
  <c r="AA1050" i="2"/>
  <c r="U1050" i="2"/>
  <c r="T1050" i="2"/>
  <c r="AC1049" i="2"/>
  <c r="AB1049" i="2"/>
  <c r="AA1049" i="2"/>
  <c r="U1049" i="2"/>
  <c r="AE1049" i="2" s="1"/>
  <c r="T1049" i="2"/>
  <c r="AC1048" i="2"/>
  <c r="AB1048" i="2"/>
  <c r="AA1048" i="2"/>
  <c r="U1048" i="2"/>
  <c r="T1048" i="2"/>
  <c r="AC1047" i="2"/>
  <c r="AB1047" i="2"/>
  <c r="AA1047" i="2"/>
  <c r="U1047" i="2"/>
  <c r="V1047" i="2" s="1"/>
  <c r="T1047" i="2"/>
  <c r="AC1046" i="2"/>
  <c r="AB1046" i="2"/>
  <c r="AA1046" i="2"/>
  <c r="U1046" i="2"/>
  <c r="AE1046" i="2" s="1"/>
  <c r="T1046" i="2"/>
  <c r="AC1045" i="2"/>
  <c r="AB1045" i="2"/>
  <c r="AA1045" i="2"/>
  <c r="U1045" i="2"/>
  <c r="AE1045" i="2" s="1"/>
  <c r="T1045" i="2"/>
  <c r="AC1044" i="2"/>
  <c r="AB1044" i="2"/>
  <c r="AA1044" i="2"/>
  <c r="U1044" i="2"/>
  <c r="V1044" i="2" s="1"/>
  <c r="T1044" i="2"/>
  <c r="AC1043" i="2"/>
  <c r="AB1043" i="2"/>
  <c r="AA1043" i="2"/>
  <c r="U1043" i="2"/>
  <c r="T1043" i="2"/>
  <c r="AC1042" i="2"/>
  <c r="AB1042" i="2"/>
  <c r="AA1042" i="2"/>
  <c r="U1042" i="2"/>
  <c r="T1042" i="2"/>
  <c r="AC1041" i="2"/>
  <c r="AB1041" i="2"/>
  <c r="AA1041" i="2"/>
  <c r="U1041" i="2"/>
  <c r="T1041" i="2"/>
  <c r="AC1040" i="2"/>
  <c r="AB1040" i="2"/>
  <c r="AA1040" i="2"/>
  <c r="U1040" i="2"/>
  <c r="W1040" i="2" s="1"/>
  <c r="T1040" i="2"/>
  <c r="AC1039" i="2"/>
  <c r="AB1039" i="2"/>
  <c r="AA1039" i="2"/>
  <c r="U1039" i="2"/>
  <c r="AE1039" i="2" s="1"/>
  <c r="T1039" i="2"/>
  <c r="AC1038" i="2"/>
  <c r="AB1038" i="2"/>
  <c r="AA1038" i="2"/>
  <c r="U1038" i="2"/>
  <c r="AE1038" i="2" s="1"/>
  <c r="T1038" i="2"/>
  <c r="AC1037" i="2"/>
  <c r="AB1037" i="2"/>
  <c r="AA1037" i="2"/>
  <c r="U1037" i="2"/>
  <c r="AE1037" i="2" s="1"/>
  <c r="T1037" i="2"/>
  <c r="AC1036" i="2"/>
  <c r="AB1036" i="2"/>
  <c r="AA1036" i="2"/>
  <c r="U1036" i="2"/>
  <c r="W1036" i="2" s="1"/>
  <c r="T1036" i="2"/>
  <c r="AC1035" i="2"/>
  <c r="AB1035" i="2"/>
  <c r="AA1035" i="2"/>
  <c r="U1035" i="2"/>
  <c r="AE1035" i="2" s="1"/>
  <c r="T1035" i="2"/>
  <c r="AD1035" i="2" s="1"/>
  <c r="AC1034" i="2"/>
  <c r="AB1034" i="2"/>
  <c r="AA1034" i="2"/>
  <c r="U1034" i="2"/>
  <c r="T1034" i="2"/>
  <c r="AC1033" i="2"/>
  <c r="AB1033" i="2"/>
  <c r="AA1033" i="2"/>
  <c r="U1033" i="2"/>
  <c r="AE1033" i="2" s="1"/>
  <c r="T1033" i="2"/>
  <c r="AC1032" i="2"/>
  <c r="AB1032" i="2"/>
  <c r="AA1032" i="2"/>
  <c r="U1032" i="2"/>
  <c r="W1032" i="2" s="1"/>
  <c r="T1032" i="2"/>
  <c r="AC1031" i="2"/>
  <c r="AB1031" i="2"/>
  <c r="AA1031" i="2"/>
  <c r="U1031" i="2"/>
  <c r="AE1031" i="2" s="1"/>
  <c r="T1031" i="2"/>
  <c r="AC1030" i="2"/>
  <c r="AB1030" i="2"/>
  <c r="AA1030" i="2"/>
  <c r="U1030" i="2"/>
  <c r="X1030" i="2" s="1"/>
  <c r="Y1030" i="2" s="1"/>
  <c r="T1030" i="2"/>
  <c r="AC1029" i="2"/>
  <c r="AB1029" i="2"/>
  <c r="AA1029" i="2"/>
  <c r="U1029" i="2"/>
  <c r="T1029" i="2"/>
  <c r="AC1028" i="2"/>
  <c r="AB1028" i="2"/>
  <c r="AA1028" i="2"/>
  <c r="U1028" i="2"/>
  <c r="T1028" i="2"/>
  <c r="AC1027" i="2"/>
  <c r="AB1027" i="2"/>
  <c r="AA1027" i="2"/>
  <c r="U1027" i="2"/>
  <c r="AE1027" i="2" s="1"/>
  <c r="T1027" i="2"/>
  <c r="AC1026" i="2"/>
  <c r="AB1026" i="2"/>
  <c r="AA1026" i="2"/>
  <c r="U1026" i="2"/>
  <c r="T1026" i="2"/>
  <c r="AC1025" i="2"/>
  <c r="AB1025" i="2"/>
  <c r="AA1025" i="2"/>
  <c r="U1025" i="2"/>
  <c r="V1025" i="2" s="1"/>
  <c r="T1025" i="2"/>
  <c r="AE1024" i="2"/>
  <c r="AC1024" i="2"/>
  <c r="AB1024" i="2"/>
  <c r="AA1024" i="2"/>
  <c r="U1024" i="2"/>
  <c r="W1024" i="2" s="1"/>
  <c r="T1024" i="2"/>
  <c r="AC1023" i="2"/>
  <c r="AB1023" i="2"/>
  <c r="AA1023" i="2"/>
  <c r="U1023" i="2"/>
  <c r="T1023" i="2"/>
  <c r="AC1022" i="2"/>
  <c r="AB1022" i="2"/>
  <c r="AA1022" i="2"/>
  <c r="U1022" i="2"/>
  <c r="AE1022" i="2" s="1"/>
  <c r="T1022" i="2"/>
  <c r="AC1021" i="2"/>
  <c r="AB1021" i="2"/>
  <c r="AA1021" i="2"/>
  <c r="U1021" i="2"/>
  <c r="T1021" i="2"/>
  <c r="AC1020" i="2"/>
  <c r="AB1020" i="2"/>
  <c r="AA1020" i="2"/>
  <c r="U1020" i="2"/>
  <c r="T1020" i="2"/>
  <c r="AC1019" i="2"/>
  <c r="AB1019" i="2"/>
  <c r="AA1019" i="2"/>
  <c r="U1019" i="2"/>
  <c r="T1019" i="2"/>
  <c r="AC1018" i="2"/>
  <c r="AB1018" i="2"/>
  <c r="AA1018" i="2"/>
  <c r="U1018" i="2"/>
  <c r="AE1018" i="2" s="1"/>
  <c r="T1018" i="2"/>
  <c r="AC1017" i="2"/>
  <c r="AB1017" i="2"/>
  <c r="AA1017" i="2"/>
  <c r="U1017" i="2"/>
  <c r="T1017" i="2"/>
  <c r="AC1016" i="2"/>
  <c r="AB1016" i="2"/>
  <c r="AA1016" i="2"/>
  <c r="U1016" i="2"/>
  <c r="W1016" i="2" s="1"/>
  <c r="T1016" i="2"/>
  <c r="AC1015" i="2"/>
  <c r="AB1015" i="2"/>
  <c r="AA1015" i="2"/>
  <c r="U1015" i="2"/>
  <c r="T1015" i="2"/>
  <c r="AC1014" i="2"/>
  <c r="AB1014" i="2"/>
  <c r="AA1014" i="2"/>
  <c r="U1014" i="2"/>
  <c r="T1014" i="2"/>
  <c r="AC1013" i="2"/>
  <c r="AB1013" i="2"/>
  <c r="AA1013" i="2"/>
  <c r="U1013" i="2"/>
  <c r="T1013" i="2"/>
  <c r="AC1012" i="2"/>
  <c r="AB1012" i="2"/>
  <c r="AA1012" i="2"/>
  <c r="U1012" i="2"/>
  <c r="W1012" i="2" s="1"/>
  <c r="T1012" i="2"/>
  <c r="AC1011" i="2"/>
  <c r="AB1011" i="2"/>
  <c r="AA1011" i="2"/>
  <c r="U1011" i="2"/>
  <c r="T1011" i="2"/>
  <c r="AC1010" i="2"/>
  <c r="AB1010" i="2"/>
  <c r="AA1010" i="2"/>
  <c r="U1010" i="2"/>
  <c r="T1010" i="2"/>
  <c r="AC1009" i="2"/>
  <c r="AB1009" i="2"/>
  <c r="AA1009" i="2"/>
  <c r="U1009" i="2"/>
  <c r="T1009" i="2"/>
  <c r="AC1008" i="2"/>
  <c r="AB1008" i="2"/>
  <c r="AA1008" i="2"/>
  <c r="U1008" i="2"/>
  <c r="W1008" i="2" s="1"/>
  <c r="T1008" i="2"/>
  <c r="AC1007" i="2"/>
  <c r="AB1007" i="2"/>
  <c r="AA1007" i="2"/>
  <c r="U1007" i="2"/>
  <c r="V1007" i="2" s="1"/>
  <c r="T1007" i="2"/>
  <c r="AC1006" i="2"/>
  <c r="AB1006" i="2"/>
  <c r="AA1006" i="2"/>
  <c r="U1006" i="2"/>
  <c r="AE1006" i="2" s="1"/>
  <c r="T1006" i="2"/>
  <c r="AC1005" i="2"/>
  <c r="AB1005" i="2"/>
  <c r="AA1005" i="2"/>
  <c r="U1005" i="2"/>
  <c r="Y1005" i="2" s="1"/>
  <c r="T1005" i="2"/>
  <c r="AC1004" i="2"/>
  <c r="AB1004" i="2"/>
  <c r="AA1004" i="2"/>
  <c r="U1004" i="2"/>
  <c r="T1004" i="2"/>
  <c r="AC1003" i="2"/>
  <c r="AB1003" i="2"/>
  <c r="AA1003" i="2"/>
  <c r="U1003" i="2"/>
  <c r="AE1003" i="2" s="1"/>
  <c r="T1003" i="2"/>
  <c r="AC1002" i="2"/>
  <c r="AB1002" i="2"/>
  <c r="AA1002" i="2"/>
  <c r="U1002" i="2"/>
  <c r="AE1002" i="2" s="1"/>
  <c r="T1002" i="2"/>
  <c r="AC1001" i="2"/>
  <c r="AB1001" i="2"/>
  <c r="AA1001" i="2"/>
  <c r="U1001" i="2"/>
  <c r="V1001" i="2" s="1"/>
  <c r="T1001" i="2"/>
  <c r="AC1000" i="2"/>
  <c r="AB1000" i="2"/>
  <c r="AA1000" i="2"/>
  <c r="U1000" i="2"/>
  <c r="T1000" i="2"/>
  <c r="AC999" i="2"/>
  <c r="AB999" i="2"/>
  <c r="AA999" i="2"/>
  <c r="U999" i="2"/>
  <c r="T999" i="2"/>
  <c r="AC998" i="2"/>
  <c r="AB998" i="2"/>
  <c r="AA998" i="2"/>
  <c r="U998" i="2"/>
  <c r="T998" i="2"/>
  <c r="AC997" i="2"/>
  <c r="AB997" i="2"/>
  <c r="AA997" i="2"/>
  <c r="U997" i="2"/>
  <c r="V997" i="2" s="1"/>
  <c r="T997" i="2"/>
  <c r="AC996" i="2"/>
  <c r="AB996" i="2"/>
  <c r="AA996" i="2"/>
  <c r="U996" i="2"/>
  <c r="W996" i="2" s="1"/>
  <c r="T996" i="2"/>
  <c r="AC995" i="2"/>
  <c r="AB995" i="2"/>
  <c r="AA995" i="2"/>
  <c r="U995" i="2"/>
  <c r="T995" i="2"/>
  <c r="AC994" i="2"/>
  <c r="AB994" i="2"/>
  <c r="AA994" i="2"/>
  <c r="U994" i="2"/>
  <c r="T994" i="2"/>
  <c r="AC993" i="2"/>
  <c r="AB993" i="2"/>
  <c r="AA993" i="2"/>
  <c r="U993" i="2"/>
  <c r="T993" i="2"/>
  <c r="AC992" i="2"/>
  <c r="AB992" i="2"/>
  <c r="AA992" i="2"/>
  <c r="U992" i="2"/>
  <c r="W992" i="2" s="1"/>
  <c r="T992" i="2"/>
  <c r="AC991" i="2"/>
  <c r="AB991" i="2"/>
  <c r="AA991" i="2"/>
  <c r="U991" i="2"/>
  <c r="X991" i="2" s="1"/>
  <c r="Y991" i="2" s="1"/>
  <c r="T991" i="2"/>
  <c r="AC990" i="2"/>
  <c r="AB990" i="2"/>
  <c r="AA990" i="2"/>
  <c r="U990" i="2"/>
  <c r="T990" i="2"/>
  <c r="AC989" i="2"/>
  <c r="AB989" i="2"/>
  <c r="AA989" i="2"/>
  <c r="U989" i="2"/>
  <c r="AE989" i="2" s="1"/>
  <c r="T989" i="2"/>
  <c r="AC988" i="2"/>
  <c r="AB988" i="2"/>
  <c r="AA988" i="2"/>
  <c r="U988" i="2"/>
  <c r="AE988" i="2" s="1"/>
  <c r="T988" i="2"/>
  <c r="AD988" i="2" s="1"/>
  <c r="AC987" i="2"/>
  <c r="AB987" i="2"/>
  <c r="AA987" i="2"/>
  <c r="U987" i="2"/>
  <c r="AE987" i="2" s="1"/>
  <c r="T987" i="2"/>
  <c r="AC986" i="2"/>
  <c r="AB986" i="2"/>
  <c r="AA986" i="2"/>
  <c r="U986" i="2"/>
  <c r="AE986" i="2" s="1"/>
  <c r="T986" i="2"/>
  <c r="AC985" i="2"/>
  <c r="AB985" i="2"/>
  <c r="AA985" i="2"/>
  <c r="U985" i="2"/>
  <c r="AE985" i="2" s="1"/>
  <c r="T985" i="2"/>
  <c r="AC984" i="2"/>
  <c r="AB984" i="2"/>
  <c r="AA984" i="2"/>
  <c r="U984" i="2"/>
  <c r="V984" i="2" s="1"/>
  <c r="T984" i="2"/>
  <c r="AC983" i="2"/>
  <c r="AB983" i="2"/>
  <c r="AA983" i="2"/>
  <c r="U983" i="2"/>
  <c r="X983" i="2" s="1"/>
  <c r="T983" i="2"/>
  <c r="AC982" i="2"/>
  <c r="AB982" i="2"/>
  <c r="AA982" i="2"/>
  <c r="U982" i="2"/>
  <c r="T982" i="2"/>
  <c r="AC981" i="2"/>
  <c r="AB981" i="2"/>
  <c r="AA981" i="2"/>
  <c r="U981" i="2"/>
  <c r="T981" i="2"/>
  <c r="AC980" i="2"/>
  <c r="AB980" i="2"/>
  <c r="AA980" i="2"/>
  <c r="U980" i="2"/>
  <c r="Y980" i="2" s="1"/>
  <c r="T980" i="2"/>
  <c r="AC979" i="2"/>
  <c r="AB979" i="2"/>
  <c r="AA979" i="2"/>
  <c r="U979" i="2"/>
  <c r="AE979" i="2" s="1"/>
  <c r="T979" i="2"/>
  <c r="AC978" i="2"/>
  <c r="AB978" i="2"/>
  <c r="AA978" i="2"/>
  <c r="U978" i="2"/>
  <c r="AE978" i="2" s="1"/>
  <c r="T978" i="2"/>
  <c r="AC977" i="2"/>
  <c r="AB977" i="2"/>
  <c r="AA977" i="2"/>
  <c r="U977" i="2"/>
  <c r="AE977" i="2" s="1"/>
  <c r="T977" i="2"/>
  <c r="AC976" i="2"/>
  <c r="AB976" i="2"/>
  <c r="AA976" i="2"/>
  <c r="U976" i="2"/>
  <c r="AE976" i="2" s="1"/>
  <c r="T976" i="2"/>
  <c r="AC975" i="2"/>
  <c r="AB975" i="2"/>
  <c r="AA975" i="2"/>
  <c r="U975" i="2"/>
  <c r="AE975" i="2" s="1"/>
  <c r="T975" i="2"/>
  <c r="AC974" i="2"/>
  <c r="AB974" i="2"/>
  <c r="AA974" i="2"/>
  <c r="U974" i="2"/>
  <c r="AE974" i="2" s="1"/>
  <c r="T974" i="2"/>
  <c r="AC973" i="2"/>
  <c r="AB973" i="2"/>
  <c r="AA973" i="2"/>
  <c r="U973" i="2"/>
  <c r="T973" i="2"/>
  <c r="AC972" i="2"/>
  <c r="AB972" i="2"/>
  <c r="AA972" i="2"/>
  <c r="U972" i="2"/>
  <c r="AE972" i="2" s="1"/>
  <c r="T972" i="2"/>
  <c r="AC971" i="2"/>
  <c r="AB971" i="2"/>
  <c r="AA971" i="2"/>
  <c r="U971" i="2"/>
  <c r="T971" i="2"/>
  <c r="AC970" i="2"/>
  <c r="AB970" i="2"/>
  <c r="AA970" i="2"/>
  <c r="U970" i="2"/>
  <c r="X970" i="2" s="1"/>
  <c r="Y970" i="2" s="1"/>
  <c r="T970" i="2"/>
  <c r="AC969" i="2"/>
  <c r="AB969" i="2"/>
  <c r="AA969" i="2"/>
  <c r="U969" i="2"/>
  <c r="X969" i="2" s="1"/>
  <c r="Y969" i="2" s="1"/>
  <c r="T969" i="2"/>
  <c r="AC968" i="2"/>
  <c r="AB968" i="2"/>
  <c r="AA968" i="2"/>
  <c r="U968" i="2"/>
  <c r="X968" i="2" s="1"/>
  <c r="Y968" i="2" s="1"/>
  <c r="T968" i="2"/>
  <c r="AC967" i="2"/>
  <c r="AB967" i="2"/>
  <c r="AA967" i="2"/>
  <c r="U967" i="2"/>
  <c r="W967" i="2" s="1"/>
  <c r="T967" i="2"/>
  <c r="AC966" i="2"/>
  <c r="AB966" i="2"/>
  <c r="AA966" i="2"/>
  <c r="U966" i="2"/>
  <c r="T966" i="2"/>
  <c r="AC965" i="2"/>
  <c r="AB965" i="2"/>
  <c r="AA965" i="2"/>
  <c r="U965" i="2"/>
  <c r="AE965" i="2" s="1"/>
  <c r="T965" i="2"/>
  <c r="AC964" i="2"/>
  <c r="AB964" i="2"/>
  <c r="AA964" i="2"/>
  <c r="U964" i="2"/>
  <c r="X964" i="2" s="1"/>
  <c r="T964" i="2"/>
  <c r="AC963" i="2"/>
  <c r="AB963" i="2"/>
  <c r="AA963" i="2"/>
  <c r="U963" i="2"/>
  <c r="X963" i="2" s="1"/>
  <c r="Y963" i="2" s="1"/>
  <c r="Z963" i="2" s="1"/>
  <c r="T963" i="2"/>
  <c r="AC962" i="2"/>
  <c r="AB962" i="2"/>
  <c r="AA962" i="2"/>
  <c r="U962" i="2"/>
  <c r="X962" i="2" s="1"/>
  <c r="T962" i="2"/>
  <c r="AC961" i="2"/>
  <c r="AB961" i="2"/>
  <c r="AA961" i="2"/>
  <c r="U961" i="2"/>
  <c r="T961" i="2"/>
  <c r="AC960" i="2"/>
  <c r="AB960" i="2"/>
  <c r="AA960" i="2"/>
  <c r="U960" i="2"/>
  <c r="X960" i="2" s="1"/>
  <c r="T960" i="2"/>
  <c r="AC959" i="2"/>
  <c r="AB959" i="2"/>
  <c r="AA959" i="2"/>
  <c r="U959" i="2"/>
  <c r="T959" i="2"/>
  <c r="AC958" i="2"/>
  <c r="AB958" i="2"/>
  <c r="AA958" i="2"/>
  <c r="U958" i="2"/>
  <c r="X958" i="2" s="1"/>
  <c r="Y958" i="2" s="1"/>
  <c r="T958" i="2"/>
  <c r="AC957" i="2"/>
  <c r="AB957" i="2"/>
  <c r="AA957" i="2"/>
  <c r="U957" i="2"/>
  <c r="T957" i="2"/>
  <c r="AC956" i="2"/>
  <c r="AB956" i="2"/>
  <c r="AA956" i="2"/>
  <c r="U956" i="2"/>
  <c r="T956" i="2"/>
  <c r="AC955" i="2"/>
  <c r="AB955" i="2"/>
  <c r="AA955" i="2"/>
  <c r="U955" i="2"/>
  <c r="T955" i="2"/>
  <c r="AC954" i="2"/>
  <c r="AB954" i="2"/>
  <c r="AA954" i="2"/>
  <c r="U954" i="2"/>
  <c r="T954" i="2"/>
  <c r="AC953" i="2"/>
  <c r="AB953" i="2"/>
  <c r="AA953" i="2"/>
  <c r="U953" i="2"/>
  <c r="AE953" i="2" s="1"/>
  <c r="T953" i="2"/>
  <c r="AC952" i="2"/>
  <c r="AB952" i="2"/>
  <c r="AA952" i="2"/>
  <c r="U952" i="2"/>
  <c r="X952" i="2" s="1"/>
  <c r="T952" i="2"/>
  <c r="AC951" i="2"/>
  <c r="AB951" i="2"/>
  <c r="AA951" i="2"/>
  <c r="U951" i="2"/>
  <c r="T951" i="2"/>
  <c r="AC950" i="2"/>
  <c r="AB950" i="2"/>
  <c r="AA950" i="2"/>
  <c r="U950" i="2"/>
  <c r="X950" i="2" s="1"/>
  <c r="Y950" i="2" s="1"/>
  <c r="T950" i="2"/>
  <c r="AD950" i="2" s="1"/>
  <c r="AC949" i="2"/>
  <c r="AB949" i="2"/>
  <c r="AA949" i="2"/>
  <c r="U949" i="2"/>
  <c r="T949" i="2"/>
  <c r="AC948" i="2"/>
  <c r="AB948" i="2"/>
  <c r="AA948" i="2"/>
  <c r="U948" i="2"/>
  <c r="T948" i="2"/>
  <c r="AC947" i="2"/>
  <c r="AB947" i="2"/>
  <c r="AA947" i="2"/>
  <c r="U947" i="2"/>
  <c r="AE947" i="2" s="1"/>
  <c r="T947" i="2"/>
  <c r="AC946" i="2"/>
  <c r="AB946" i="2"/>
  <c r="AA946" i="2"/>
  <c r="U946" i="2"/>
  <c r="X946" i="2" s="1"/>
  <c r="Y946" i="2" s="1"/>
  <c r="Z946" i="2" s="1"/>
  <c r="T946" i="2"/>
  <c r="AC945" i="2"/>
  <c r="AB945" i="2"/>
  <c r="AA945" i="2"/>
  <c r="U945" i="2"/>
  <c r="T945" i="2"/>
  <c r="AC944" i="2"/>
  <c r="AB944" i="2"/>
  <c r="AA944" i="2"/>
  <c r="U944" i="2"/>
  <c r="V944" i="2" s="1"/>
  <c r="T944" i="2"/>
  <c r="AC943" i="2"/>
  <c r="AB943" i="2"/>
  <c r="AA943" i="2"/>
  <c r="U943" i="2"/>
  <c r="AE943" i="2" s="1"/>
  <c r="T943" i="2"/>
  <c r="AC942" i="2"/>
  <c r="AB942" i="2"/>
  <c r="AA942" i="2"/>
  <c r="U942" i="2"/>
  <c r="T942" i="2"/>
  <c r="AC941" i="2"/>
  <c r="AB941" i="2"/>
  <c r="AA941" i="2"/>
  <c r="U941" i="2"/>
  <c r="AE941" i="2" s="1"/>
  <c r="T941" i="2"/>
  <c r="AC940" i="2"/>
  <c r="AB940" i="2"/>
  <c r="AA940" i="2"/>
  <c r="U940" i="2"/>
  <c r="X940" i="2" s="1"/>
  <c r="T940" i="2"/>
  <c r="AC939" i="2"/>
  <c r="AB939" i="2"/>
  <c r="AA939" i="2"/>
  <c r="U939" i="2"/>
  <c r="X939" i="2" s="1"/>
  <c r="T939" i="2"/>
  <c r="AC938" i="2"/>
  <c r="AB938" i="2"/>
  <c r="AA938" i="2"/>
  <c r="U938" i="2"/>
  <c r="X938" i="2" s="1"/>
  <c r="Y938" i="2" s="1"/>
  <c r="Z938" i="2" s="1"/>
  <c r="T938" i="2"/>
  <c r="AC937" i="2"/>
  <c r="AB937" i="2"/>
  <c r="AA937" i="2"/>
  <c r="U937" i="2"/>
  <c r="T937" i="2"/>
  <c r="AC936" i="2"/>
  <c r="AB936" i="2"/>
  <c r="AA936" i="2"/>
  <c r="U936" i="2"/>
  <c r="V936" i="2" s="1"/>
  <c r="T936" i="2"/>
  <c r="AC935" i="2"/>
  <c r="AB935" i="2"/>
  <c r="AA935" i="2"/>
  <c r="U935" i="2"/>
  <c r="AE935" i="2" s="1"/>
  <c r="T935" i="2"/>
  <c r="AC934" i="2"/>
  <c r="AB934" i="2"/>
  <c r="AA934" i="2"/>
  <c r="U934" i="2"/>
  <c r="X934" i="2" s="1"/>
  <c r="Y934" i="2" s="1"/>
  <c r="T934" i="2"/>
  <c r="AC933" i="2"/>
  <c r="AB933" i="2"/>
  <c r="AA933" i="2"/>
  <c r="U933" i="2"/>
  <c r="T933" i="2"/>
  <c r="AC932" i="2"/>
  <c r="AB932" i="2"/>
  <c r="AA932" i="2"/>
  <c r="U932" i="2"/>
  <c r="T932" i="2"/>
  <c r="AC931" i="2"/>
  <c r="AB931" i="2"/>
  <c r="AA931" i="2"/>
  <c r="U931" i="2"/>
  <c r="AE931" i="2" s="1"/>
  <c r="T931" i="2"/>
  <c r="AC930" i="2"/>
  <c r="AB930" i="2"/>
  <c r="AA930" i="2"/>
  <c r="U930" i="2"/>
  <c r="T930" i="2"/>
  <c r="AC929" i="2"/>
  <c r="AB929" i="2"/>
  <c r="AA929" i="2"/>
  <c r="U929" i="2"/>
  <c r="AE929" i="2" s="1"/>
  <c r="T929" i="2"/>
  <c r="AC928" i="2"/>
  <c r="AB928" i="2"/>
  <c r="AA928" i="2"/>
  <c r="U928" i="2"/>
  <c r="X928" i="2" s="1"/>
  <c r="T928" i="2"/>
  <c r="AC927" i="2"/>
  <c r="AB927" i="2"/>
  <c r="AA927" i="2"/>
  <c r="U927" i="2"/>
  <c r="X927" i="2" s="1"/>
  <c r="T927" i="2"/>
  <c r="AC926" i="2"/>
  <c r="AB926" i="2"/>
  <c r="AA926" i="2"/>
  <c r="U926" i="2"/>
  <c r="X926" i="2" s="1"/>
  <c r="Y926" i="2" s="1"/>
  <c r="T926" i="2"/>
  <c r="AC925" i="2"/>
  <c r="AB925" i="2"/>
  <c r="AA925" i="2"/>
  <c r="U925" i="2"/>
  <c r="AE925" i="2" s="1"/>
  <c r="T925" i="2"/>
  <c r="AC924" i="2"/>
  <c r="AB924" i="2"/>
  <c r="AA924" i="2"/>
  <c r="U924" i="2"/>
  <c r="T924" i="2"/>
  <c r="AC923" i="2"/>
  <c r="AB923" i="2"/>
  <c r="AA923" i="2"/>
  <c r="U923" i="2"/>
  <c r="AE923" i="2" s="1"/>
  <c r="T923" i="2"/>
  <c r="AC922" i="2"/>
  <c r="AB922" i="2"/>
  <c r="AA922" i="2"/>
  <c r="U922" i="2"/>
  <c r="X922" i="2" s="1"/>
  <c r="Y922" i="2" s="1"/>
  <c r="Z922" i="2" s="1"/>
  <c r="T922" i="2"/>
  <c r="AC921" i="2"/>
  <c r="AB921" i="2"/>
  <c r="AA921" i="2"/>
  <c r="U921" i="2"/>
  <c r="T921" i="2"/>
  <c r="AC920" i="2"/>
  <c r="AB920" i="2"/>
  <c r="AA920" i="2"/>
  <c r="U920" i="2"/>
  <c r="V920" i="2" s="1"/>
  <c r="T920" i="2"/>
  <c r="AC919" i="2"/>
  <c r="AB919" i="2"/>
  <c r="AA919" i="2"/>
  <c r="U919" i="2"/>
  <c r="AE919" i="2" s="1"/>
  <c r="T919" i="2"/>
  <c r="AC918" i="2"/>
  <c r="AB918" i="2"/>
  <c r="AA918" i="2"/>
  <c r="U918" i="2"/>
  <c r="X918" i="2" s="1"/>
  <c r="Y918" i="2" s="1"/>
  <c r="T918" i="2"/>
  <c r="AC917" i="2"/>
  <c r="AB917" i="2"/>
  <c r="AA917" i="2"/>
  <c r="U917" i="2"/>
  <c r="AE917" i="2" s="1"/>
  <c r="T917" i="2"/>
  <c r="AD917" i="2" s="1"/>
  <c r="AC916" i="2"/>
  <c r="AB916" i="2"/>
  <c r="AA916" i="2"/>
  <c r="U916" i="2"/>
  <c r="V916" i="2" s="1"/>
  <c r="T916" i="2"/>
  <c r="AC915" i="2"/>
  <c r="AB915" i="2"/>
  <c r="AA915" i="2"/>
  <c r="U915" i="2"/>
  <c r="AE915" i="2" s="1"/>
  <c r="T915" i="2"/>
  <c r="AC914" i="2"/>
  <c r="AB914" i="2"/>
  <c r="AA914" i="2"/>
  <c r="U914" i="2"/>
  <c r="X914" i="2" s="1"/>
  <c r="Y914" i="2" s="1"/>
  <c r="T914" i="2"/>
  <c r="AC913" i="2"/>
  <c r="AB913" i="2"/>
  <c r="AA913" i="2"/>
  <c r="U913" i="2"/>
  <c r="AE913" i="2" s="1"/>
  <c r="T913" i="2"/>
  <c r="AC912" i="2"/>
  <c r="AB912" i="2"/>
  <c r="AA912" i="2"/>
  <c r="U912" i="2"/>
  <c r="T912" i="2"/>
  <c r="AC911" i="2"/>
  <c r="AB911" i="2"/>
  <c r="AA911" i="2"/>
  <c r="U911" i="2"/>
  <c r="AE911" i="2" s="1"/>
  <c r="T911" i="2"/>
  <c r="AC910" i="2"/>
  <c r="AB910" i="2"/>
  <c r="AA910" i="2"/>
  <c r="U910" i="2"/>
  <c r="X910" i="2" s="1"/>
  <c r="Y910" i="2" s="1"/>
  <c r="Z910" i="2" s="1"/>
  <c r="T910" i="2"/>
  <c r="AC909" i="2"/>
  <c r="AB909" i="2"/>
  <c r="AA909" i="2"/>
  <c r="U909" i="2"/>
  <c r="T909" i="2"/>
  <c r="AC908" i="2"/>
  <c r="AB908" i="2"/>
  <c r="AA908" i="2"/>
  <c r="U908" i="2"/>
  <c r="V908" i="2" s="1"/>
  <c r="T908" i="2"/>
  <c r="AC907" i="2"/>
  <c r="AB907" i="2"/>
  <c r="AA907" i="2"/>
  <c r="U907" i="2"/>
  <c r="AE907" i="2" s="1"/>
  <c r="T907" i="2"/>
  <c r="AC906" i="2"/>
  <c r="AB906" i="2"/>
  <c r="AA906" i="2"/>
  <c r="U906" i="2"/>
  <c r="X906" i="2" s="1"/>
  <c r="Y906" i="2" s="1"/>
  <c r="T906" i="2"/>
  <c r="AC905" i="2"/>
  <c r="AB905" i="2"/>
  <c r="AA905" i="2"/>
  <c r="U905" i="2"/>
  <c r="AE905" i="2" s="1"/>
  <c r="T905" i="2"/>
  <c r="AC904" i="2"/>
  <c r="AB904" i="2"/>
  <c r="AA904" i="2"/>
  <c r="U904" i="2"/>
  <c r="V904" i="2" s="1"/>
  <c r="T904" i="2"/>
  <c r="AC903" i="2"/>
  <c r="AB903" i="2"/>
  <c r="AA903" i="2"/>
  <c r="U903" i="2"/>
  <c r="X903" i="2" s="1"/>
  <c r="T903" i="2"/>
  <c r="AC902" i="2"/>
  <c r="AB902" i="2"/>
  <c r="AA902" i="2"/>
  <c r="U902" i="2"/>
  <c r="X902" i="2" s="1"/>
  <c r="Y902" i="2" s="1"/>
  <c r="T902" i="2"/>
  <c r="AC901" i="2"/>
  <c r="AB901" i="2"/>
  <c r="AA901" i="2"/>
  <c r="U901" i="2"/>
  <c r="AE901" i="2" s="1"/>
  <c r="T901" i="2"/>
  <c r="AC900" i="2"/>
  <c r="AB900" i="2"/>
  <c r="AA900" i="2"/>
  <c r="U900" i="2"/>
  <c r="T900" i="2"/>
  <c r="AC899" i="2"/>
  <c r="AB899" i="2"/>
  <c r="AA899" i="2"/>
  <c r="U899" i="2"/>
  <c r="AE899" i="2" s="1"/>
  <c r="T899" i="2"/>
  <c r="AC898" i="2"/>
  <c r="AB898" i="2"/>
  <c r="AA898" i="2"/>
  <c r="U898" i="2"/>
  <c r="X898" i="2" s="1"/>
  <c r="Y898" i="2" s="1"/>
  <c r="Z898" i="2" s="1"/>
  <c r="T898" i="2"/>
  <c r="AC897" i="2"/>
  <c r="AB897" i="2"/>
  <c r="AA897" i="2"/>
  <c r="U897" i="2"/>
  <c r="T897" i="2"/>
  <c r="AC896" i="2"/>
  <c r="AB896" i="2"/>
  <c r="AA896" i="2"/>
  <c r="U896" i="2"/>
  <c r="V896" i="2" s="1"/>
  <c r="T896" i="2"/>
  <c r="AC895" i="2"/>
  <c r="AB895" i="2"/>
  <c r="AA895" i="2"/>
  <c r="U895" i="2"/>
  <c r="AE895" i="2" s="1"/>
  <c r="T895" i="2"/>
  <c r="AC894" i="2"/>
  <c r="AB894" i="2"/>
  <c r="AA894" i="2"/>
  <c r="U894" i="2"/>
  <c r="X894" i="2" s="1"/>
  <c r="Y894" i="2" s="1"/>
  <c r="T894" i="2"/>
  <c r="AC893" i="2"/>
  <c r="AB893" i="2"/>
  <c r="AA893" i="2"/>
  <c r="U893" i="2"/>
  <c r="AE893" i="2" s="1"/>
  <c r="T893" i="2"/>
  <c r="AC892" i="2"/>
  <c r="AB892" i="2"/>
  <c r="AA892" i="2"/>
  <c r="U892" i="2"/>
  <c r="T892" i="2"/>
  <c r="AC891" i="2"/>
  <c r="AB891" i="2"/>
  <c r="AA891" i="2"/>
  <c r="U891" i="2"/>
  <c r="AE891" i="2" s="1"/>
  <c r="T891" i="2"/>
  <c r="AC890" i="2"/>
  <c r="AB890" i="2"/>
  <c r="AA890" i="2"/>
  <c r="U890" i="2"/>
  <c r="X890" i="2" s="1"/>
  <c r="T890" i="2"/>
  <c r="AC889" i="2"/>
  <c r="AB889" i="2"/>
  <c r="AA889" i="2"/>
  <c r="U889" i="2"/>
  <c r="AE889" i="2" s="1"/>
  <c r="T889" i="2"/>
  <c r="AC888" i="2"/>
  <c r="AB888" i="2"/>
  <c r="AA888" i="2"/>
  <c r="U888" i="2"/>
  <c r="V888" i="2" s="1"/>
  <c r="T888" i="2"/>
  <c r="AC887" i="2"/>
  <c r="AB887" i="2"/>
  <c r="AA887" i="2"/>
  <c r="U887" i="2"/>
  <c r="AE887" i="2" s="1"/>
  <c r="T887" i="2"/>
  <c r="AC886" i="2"/>
  <c r="AB886" i="2"/>
  <c r="AA886" i="2"/>
  <c r="U886" i="2"/>
  <c r="X886" i="2" s="1"/>
  <c r="Y886" i="2" s="1"/>
  <c r="T886" i="2"/>
  <c r="AC885" i="2"/>
  <c r="AB885" i="2"/>
  <c r="AA885" i="2"/>
  <c r="U885" i="2"/>
  <c r="T885" i="2"/>
  <c r="AC884" i="2"/>
  <c r="AB884" i="2"/>
  <c r="AA884" i="2"/>
  <c r="U884" i="2"/>
  <c r="T884" i="2"/>
  <c r="AC883" i="2"/>
  <c r="AB883" i="2"/>
  <c r="AA883" i="2"/>
  <c r="U883" i="2"/>
  <c r="V883" i="2" s="1"/>
  <c r="T883" i="2"/>
  <c r="AC882" i="2"/>
  <c r="AB882" i="2"/>
  <c r="AA882" i="2"/>
  <c r="U882" i="2"/>
  <c r="T882" i="2"/>
  <c r="AC881" i="2"/>
  <c r="AB881" i="2"/>
  <c r="AA881" i="2"/>
  <c r="U881" i="2"/>
  <c r="T881" i="2"/>
  <c r="AC880" i="2"/>
  <c r="AB880" i="2"/>
  <c r="AA880" i="2"/>
  <c r="U880" i="2"/>
  <c r="V880" i="2" s="1"/>
  <c r="T880" i="2"/>
  <c r="AC879" i="2"/>
  <c r="AB879" i="2"/>
  <c r="AA879" i="2"/>
  <c r="U879" i="2"/>
  <c r="X879" i="2" s="1"/>
  <c r="T879" i="2"/>
  <c r="AC878" i="2"/>
  <c r="AB878" i="2"/>
  <c r="AA878" i="2"/>
  <c r="U878" i="2"/>
  <c r="X878" i="2" s="1"/>
  <c r="Y878" i="2" s="1"/>
  <c r="T878" i="2"/>
  <c r="AC877" i="2"/>
  <c r="AB877" i="2"/>
  <c r="AA877" i="2"/>
  <c r="U877" i="2"/>
  <c r="AE877" i="2" s="1"/>
  <c r="T877" i="2"/>
  <c r="AC876" i="2"/>
  <c r="AB876" i="2"/>
  <c r="AA876" i="2"/>
  <c r="U876" i="2"/>
  <c r="V876" i="2" s="1"/>
  <c r="T876" i="2"/>
  <c r="AC875" i="2"/>
  <c r="AB875" i="2"/>
  <c r="AA875" i="2"/>
  <c r="U875" i="2"/>
  <c r="T875" i="2"/>
  <c r="AC874" i="2"/>
  <c r="AB874" i="2"/>
  <c r="AA874" i="2"/>
  <c r="U874" i="2"/>
  <c r="T874" i="2"/>
  <c r="AC873" i="2"/>
  <c r="AB873" i="2"/>
  <c r="AA873" i="2"/>
  <c r="U873" i="2"/>
  <c r="AE873" i="2" s="1"/>
  <c r="T873" i="2"/>
  <c r="AC872" i="2"/>
  <c r="AB872" i="2"/>
  <c r="AA872" i="2"/>
  <c r="U872" i="2"/>
  <c r="T872" i="2"/>
  <c r="AC871" i="2"/>
  <c r="AB871" i="2"/>
  <c r="AA871" i="2"/>
  <c r="U871" i="2"/>
  <c r="T871" i="2"/>
  <c r="AC870" i="2"/>
  <c r="AB870" i="2"/>
  <c r="AA870" i="2"/>
  <c r="U870" i="2"/>
  <c r="X870" i="2" s="1"/>
  <c r="T870" i="2"/>
  <c r="AC869" i="2"/>
  <c r="AB869" i="2"/>
  <c r="AA869" i="2"/>
  <c r="U869" i="2"/>
  <c r="AE869" i="2" s="1"/>
  <c r="T869" i="2"/>
  <c r="AC868" i="2"/>
  <c r="AB868" i="2"/>
  <c r="AA868" i="2"/>
  <c r="U868" i="2"/>
  <c r="T868" i="2"/>
  <c r="AC867" i="2"/>
  <c r="AB867" i="2"/>
  <c r="AA867" i="2"/>
  <c r="X867" i="2"/>
  <c r="Y867" i="2" s="1"/>
  <c r="Z867" i="2" s="1"/>
  <c r="U867" i="2"/>
  <c r="AE867" i="2" s="1"/>
  <c r="T867" i="2"/>
  <c r="AC866" i="2"/>
  <c r="AB866" i="2"/>
  <c r="AA866" i="2"/>
  <c r="U866" i="2"/>
  <c r="T866" i="2"/>
  <c r="AC865" i="2"/>
  <c r="AB865" i="2"/>
  <c r="AA865" i="2"/>
  <c r="U865" i="2"/>
  <c r="AE865" i="2" s="1"/>
  <c r="T865" i="2"/>
  <c r="AC864" i="2"/>
  <c r="AB864" i="2"/>
  <c r="AA864" i="2"/>
  <c r="U864" i="2"/>
  <c r="W864" i="2" s="1"/>
  <c r="T864" i="2"/>
  <c r="AC863" i="2"/>
  <c r="AB863" i="2"/>
  <c r="AA863" i="2"/>
  <c r="U863" i="2"/>
  <c r="X863" i="2" s="1"/>
  <c r="T863" i="2"/>
  <c r="AC862" i="2"/>
  <c r="AB862" i="2"/>
  <c r="AA862" i="2"/>
  <c r="U862" i="2"/>
  <c r="X862" i="2" s="1"/>
  <c r="T862" i="2"/>
  <c r="AC861" i="2"/>
  <c r="AB861" i="2"/>
  <c r="AA861" i="2"/>
  <c r="U861" i="2"/>
  <c r="W861" i="2" s="1"/>
  <c r="T861" i="2"/>
  <c r="AC860" i="2"/>
  <c r="AB860" i="2"/>
  <c r="AA860" i="2"/>
  <c r="U860" i="2"/>
  <c r="W860" i="2" s="1"/>
  <c r="T860" i="2"/>
  <c r="AC859" i="2"/>
  <c r="AB859" i="2"/>
  <c r="AA859" i="2"/>
  <c r="U859" i="2"/>
  <c r="T859" i="2"/>
  <c r="AC858" i="2"/>
  <c r="AB858" i="2"/>
  <c r="AA858" i="2"/>
  <c r="U858" i="2"/>
  <c r="X858" i="2" s="1"/>
  <c r="Y858" i="2" s="1"/>
  <c r="Z858" i="2" s="1"/>
  <c r="T858" i="2"/>
  <c r="AC857" i="2"/>
  <c r="AB857" i="2"/>
  <c r="AA857" i="2"/>
  <c r="U857" i="2"/>
  <c r="AE857" i="2" s="1"/>
  <c r="T857" i="2"/>
  <c r="AC856" i="2"/>
  <c r="AB856" i="2"/>
  <c r="AA856" i="2"/>
  <c r="U856" i="2"/>
  <c r="W856" i="2" s="1"/>
  <c r="T856" i="2"/>
  <c r="AC855" i="2"/>
  <c r="AB855" i="2"/>
  <c r="AA855" i="2"/>
  <c r="U855" i="2"/>
  <c r="X855" i="2" s="1"/>
  <c r="T855" i="2"/>
  <c r="AC854" i="2"/>
  <c r="AB854" i="2"/>
  <c r="AA854" i="2"/>
  <c r="U854" i="2"/>
  <c r="T854" i="2"/>
  <c r="AC853" i="2"/>
  <c r="AB853" i="2"/>
  <c r="AA853" i="2"/>
  <c r="U853" i="2"/>
  <c r="V853" i="2" s="1"/>
  <c r="T853" i="2"/>
  <c r="AC852" i="2"/>
  <c r="AB852" i="2"/>
  <c r="AA852" i="2"/>
  <c r="U852" i="2"/>
  <c r="W852" i="2" s="1"/>
  <c r="T852" i="2"/>
  <c r="AC851" i="2"/>
  <c r="AB851" i="2"/>
  <c r="AA851" i="2"/>
  <c r="U851" i="2"/>
  <c r="AE851" i="2" s="1"/>
  <c r="T851" i="2"/>
  <c r="AC850" i="2"/>
  <c r="AB850" i="2"/>
  <c r="AA850" i="2"/>
  <c r="U850" i="2"/>
  <c r="AE850" i="2" s="1"/>
  <c r="T850" i="2"/>
  <c r="AC849" i="2"/>
  <c r="AB849" i="2"/>
  <c r="AA849" i="2"/>
  <c r="U849" i="2"/>
  <c r="T849" i="2"/>
  <c r="AC848" i="2"/>
  <c r="AB848" i="2"/>
  <c r="AA848" i="2"/>
  <c r="U848" i="2"/>
  <c r="T848" i="2"/>
  <c r="AC847" i="2"/>
  <c r="AB847" i="2"/>
  <c r="AA847" i="2"/>
  <c r="U847" i="2"/>
  <c r="T847" i="2"/>
  <c r="AC846" i="2"/>
  <c r="AB846" i="2"/>
  <c r="AA846" i="2"/>
  <c r="U846" i="2"/>
  <c r="V846" i="2" s="1"/>
  <c r="T846" i="2"/>
  <c r="AC845" i="2"/>
  <c r="AB845" i="2"/>
  <c r="AA845" i="2"/>
  <c r="U845" i="2"/>
  <c r="V845" i="2" s="1"/>
  <c r="T845" i="2"/>
  <c r="AC844" i="2"/>
  <c r="AB844" i="2"/>
  <c r="AA844" i="2"/>
  <c r="U844" i="2"/>
  <c r="X844" i="2" s="1"/>
  <c r="Y844" i="2" s="1"/>
  <c r="Z844" i="2" s="1"/>
  <c r="T844" i="2"/>
  <c r="AC843" i="2"/>
  <c r="AB843" i="2"/>
  <c r="AA843" i="2"/>
  <c r="U843" i="2"/>
  <c r="V843" i="2" s="1"/>
  <c r="T843" i="2"/>
  <c r="AC842" i="2"/>
  <c r="AB842" i="2"/>
  <c r="AA842" i="2"/>
  <c r="U842" i="2"/>
  <c r="AE842" i="2" s="1"/>
  <c r="T842" i="2"/>
  <c r="AC841" i="2"/>
  <c r="AB841" i="2"/>
  <c r="AA841" i="2"/>
  <c r="U841" i="2"/>
  <c r="W841" i="2" s="1"/>
  <c r="T841" i="2"/>
  <c r="AC840" i="2"/>
  <c r="AB840" i="2"/>
  <c r="AA840" i="2"/>
  <c r="U840" i="2"/>
  <c r="W840" i="2" s="1"/>
  <c r="T840" i="2"/>
  <c r="AC839" i="2"/>
  <c r="AB839" i="2"/>
  <c r="AA839" i="2"/>
  <c r="U839" i="2"/>
  <c r="T839" i="2"/>
  <c r="AC838" i="2"/>
  <c r="AB838" i="2"/>
  <c r="AA838" i="2"/>
  <c r="U838" i="2"/>
  <c r="V838" i="2" s="1"/>
  <c r="T838" i="2"/>
  <c r="AC837" i="2"/>
  <c r="AB837" i="2"/>
  <c r="AA837" i="2"/>
  <c r="U837" i="2"/>
  <c r="V837" i="2" s="1"/>
  <c r="T837" i="2"/>
  <c r="AC836" i="2"/>
  <c r="AB836" i="2"/>
  <c r="AA836" i="2"/>
  <c r="U836" i="2"/>
  <c r="T836" i="2"/>
  <c r="AC835" i="2"/>
  <c r="AB835" i="2"/>
  <c r="AA835" i="2"/>
  <c r="U835" i="2"/>
  <c r="X835" i="2" s="1"/>
  <c r="Y835" i="2" s="1"/>
  <c r="T835" i="2"/>
  <c r="AC834" i="2"/>
  <c r="AB834" i="2"/>
  <c r="AA834" i="2"/>
  <c r="U834" i="2"/>
  <c r="W834" i="2" s="1"/>
  <c r="T834" i="2"/>
  <c r="AC833" i="2"/>
  <c r="AB833" i="2"/>
  <c r="AA833" i="2"/>
  <c r="U833" i="2"/>
  <c r="AE833" i="2" s="1"/>
  <c r="T833" i="2"/>
  <c r="AC832" i="2"/>
  <c r="AB832" i="2"/>
  <c r="AA832" i="2"/>
  <c r="U832" i="2"/>
  <c r="T832" i="2"/>
  <c r="AC831" i="2"/>
  <c r="AB831" i="2"/>
  <c r="AA831" i="2"/>
  <c r="U831" i="2"/>
  <c r="W831" i="2" s="1"/>
  <c r="T831" i="2"/>
  <c r="AC830" i="2"/>
  <c r="AB830" i="2"/>
  <c r="AA830" i="2"/>
  <c r="U830" i="2"/>
  <c r="W830" i="2" s="1"/>
  <c r="T830" i="2"/>
  <c r="AC829" i="2"/>
  <c r="AB829" i="2"/>
  <c r="AA829" i="2"/>
  <c r="U829" i="2"/>
  <c r="AE829" i="2" s="1"/>
  <c r="T829" i="2"/>
  <c r="AC828" i="2"/>
  <c r="AB828" i="2"/>
  <c r="AA828" i="2"/>
  <c r="U828" i="2"/>
  <c r="AE828" i="2" s="1"/>
  <c r="T828" i="2"/>
  <c r="AC827" i="2"/>
  <c r="AB827" i="2"/>
  <c r="AA827" i="2"/>
  <c r="U827" i="2"/>
  <c r="AE827" i="2" s="1"/>
  <c r="T827" i="2"/>
  <c r="AC826" i="2"/>
  <c r="AB826" i="2"/>
  <c r="AA826" i="2"/>
  <c r="U826" i="2"/>
  <c r="X826" i="2" s="1"/>
  <c r="T826" i="2"/>
  <c r="AC825" i="2"/>
  <c r="AB825" i="2"/>
  <c r="AA825" i="2"/>
  <c r="U825" i="2"/>
  <c r="AE825" i="2" s="1"/>
  <c r="T825" i="2"/>
  <c r="AC824" i="2"/>
  <c r="AB824" i="2"/>
  <c r="AA824" i="2"/>
  <c r="U824" i="2"/>
  <c r="V824" i="2" s="1"/>
  <c r="T824" i="2"/>
  <c r="AC823" i="2"/>
  <c r="AB823" i="2"/>
  <c r="AA823" i="2"/>
  <c r="U823" i="2"/>
  <c r="V823" i="2" s="1"/>
  <c r="T823" i="2"/>
  <c r="AC822" i="2"/>
  <c r="AB822" i="2"/>
  <c r="AA822" i="2"/>
  <c r="U822" i="2"/>
  <c r="W822" i="2" s="1"/>
  <c r="T822" i="2"/>
  <c r="AC821" i="2"/>
  <c r="AB821" i="2"/>
  <c r="AA821" i="2"/>
  <c r="U821" i="2"/>
  <c r="X821" i="2" s="1"/>
  <c r="Y821" i="2" s="1"/>
  <c r="T821" i="2"/>
  <c r="AC820" i="2"/>
  <c r="AB820" i="2"/>
  <c r="AA820" i="2"/>
  <c r="U820" i="2"/>
  <c r="AE820" i="2" s="1"/>
  <c r="T820" i="2"/>
  <c r="AC819" i="2"/>
  <c r="AB819" i="2"/>
  <c r="AA819" i="2"/>
  <c r="U819" i="2"/>
  <c r="T819" i="2"/>
  <c r="AC818" i="2"/>
  <c r="AB818" i="2"/>
  <c r="AA818" i="2"/>
  <c r="U818" i="2"/>
  <c r="W818" i="2" s="1"/>
  <c r="T818" i="2"/>
  <c r="AC817" i="2"/>
  <c r="AB817" i="2"/>
  <c r="AA817" i="2"/>
  <c r="U817" i="2"/>
  <c r="V817" i="2" s="1"/>
  <c r="T817" i="2"/>
  <c r="AD817" i="2" s="1"/>
  <c r="AC816" i="2"/>
  <c r="AB816" i="2"/>
  <c r="AA816" i="2"/>
  <c r="U816" i="2"/>
  <c r="X816" i="2" s="1"/>
  <c r="Y816" i="2" s="1"/>
  <c r="Z816" i="2" s="1"/>
  <c r="T816" i="2"/>
  <c r="AC815" i="2"/>
  <c r="AB815" i="2"/>
  <c r="AA815" i="2"/>
  <c r="U815" i="2"/>
  <c r="W815" i="2" s="1"/>
  <c r="T815" i="2"/>
  <c r="AC814" i="2"/>
  <c r="AB814" i="2"/>
  <c r="AA814" i="2"/>
  <c r="U814" i="2"/>
  <c r="W814" i="2" s="1"/>
  <c r="T814" i="2"/>
  <c r="AC813" i="2"/>
  <c r="AB813" i="2"/>
  <c r="AA813" i="2"/>
  <c r="U813" i="2"/>
  <c r="V813" i="2" s="1"/>
  <c r="T813" i="2"/>
  <c r="AC812" i="2"/>
  <c r="AB812" i="2"/>
  <c r="AA812" i="2"/>
  <c r="U812" i="2"/>
  <c r="AE812" i="2" s="1"/>
  <c r="T812" i="2"/>
  <c r="AC811" i="2"/>
  <c r="AB811" i="2"/>
  <c r="AA811" i="2"/>
  <c r="U811" i="2"/>
  <c r="X811" i="2" s="1"/>
  <c r="T811" i="2"/>
  <c r="AC810" i="2"/>
  <c r="AB810" i="2"/>
  <c r="AA810" i="2"/>
  <c r="U810" i="2"/>
  <c r="AE810" i="2" s="1"/>
  <c r="T810" i="2"/>
  <c r="AC809" i="2"/>
  <c r="AB809" i="2"/>
  <c r="AA809" i="2"/>
  <c r="U809" i="2"/>
  <c r="V809" i="2" s="1"/>
  <c r="T809" i="2"/>
  <c r="AC808" i="2"/>
  <c r="AB808" i="2"/>
  <c r="AA808" i="2"/>
  <c r="U808" i="2"/>
  <c r="AE808" i="2" s="1"/>
  <c r="T808" i="2"/>
  <c r="AC807" i="2"/>
  <c r="AB807" i="2"/>
  <c r="AA807" i="2"/>
  <c r="U807" i="2"/>
  <c r="X807" i="2" s="1"/>
  <c r="Y807" i="2" s="1"/>
  <c r="Z807" i="2" s="1"/>
  <c r="T807" i="2"/>
  <c r="AC806" i="2"/>
  <c r="AB806" i="2"/>
  <c r="AA806" i="2"/>
  <c r="U806" i="2"/>
  <c r="T806" i="2"/>
  <c r="AC805" i="2"/>
  <c r="AB805" i="2"/>
  <c r="AA805" i="2"/>
  <c r="U805" i="2"/>
  <c r="AE805" i="2" s="1"/>
  <c r="T805" i="2"/>
  <c r="AC804" i="2"/>
  <c r="AB804" i="2"/>
  <c r="AA804" i="2"/>
  <c r="U804" i="2"/>
  <c r="AE804" i="2" s="1"/>
  <c r="T804" i="2"/>
  <c r="AC803" i="2"/>
  <c r="AB803" i="2"/>
  <c r="AA803" i="2"/>
  <c r="U803" i="2"/>
  <c r="X803" i="2" s="1"/>
  <c r="Y803" i="2" s="1"/>
  <c r="Z803" i="2" s="1"/>
  <c r="T803" i="2"/>
  <c r="AC802" i="2"/>
  <c r="AB802" i="2"/>
  <c r="AA802" i="2"/>
  <c r="U802" i="2"/>
  <c r="X802" i="2" s="1"/>
  <c r="T802" i="2"/>
  <c r="AC801" i="2"/>
  <c r="AB801" i="2"/>
  <c r="AA801" i="2"/>
  <c r="U801" i="2"/>
  <c r="V801" i="2" s="1"/>
  <c r="T801" i="2"/>
  <c r="AC800" i="2"/>
  <c r="AB800" i="2"/>
  <c r="AA800" i="2"/>
  <c r="U800" i="2"/>
  <c r="AE800" i="2" s="1"/>
  <c r="T800" i="2"/>
  <c r="AC799" i="2"/>
  <c r="AB799" i="2"/>
  <c r="AA799" i="2"/>
  <c r="U799" i="2"/>
  <c r="X799" i="2" s="1"/>
  <c r="T799" i="2"/>
  <c r="AC798" i="2"/>
  <c r="AB798" i="2"/>
  <c r="AA798" i="2"/>
  <c r="U798" i="2"/>
  <c r="T798" i="2"/>
  <c r="AC797" i="2"/>
  <c r="AB797" i="2"/>
  <c r="AA797" i="2"/>
  <c r="U797" i="2"/>
  <c r="AE797" i="2" s="1"/>
  <c r="T797" i="2"/>
  <c r="AC796" i="2"/>
  <c r="AB796" i="2"/>
  <c r="AA796" i="2"/>
  <c r="U796" i="2"/>
  <c r="AE796" i="2" s="1"/>
  <c r="T796" i="2"/>
  <c r="AC795" i="2"/>
  <c r="AB795" i="2"/>
  <c r="AA795" i="2"/>
  <c r="U795" i="2"/>
  <c r="X795" i="2" s="1"/>
  <c r="T795" i="2"/>
  <c r="AC794" i="2"/>
  <c r="AB794" i="2"/>
  <c r="AA794" i="2"/>
  <c r="U794" i="2"/>
  <c r="X794" i="2" s="1"/>
  <c r="T794" i="2"/>
  <c r="AC793" i="2"/>
  <c r="AB793" i="2"/>
  <c r="AA793" i="2"/>
  <c r="U793" i="2"/>
  <c r="V793" i="2" s="1"/>
  <c r="T793" i="2"/>
  <c r="AC792" i="2"/>
  <c r="AB792" i="2"/>
  <c r="AA792" i="2"/>
  <c r="U792" i="2"/>
  <c r="AE792" i="2" s="1"/>
  <c r="T792" i="2"/>
  <c r="AC791" i="2"/>
  <c r="AB791" i="2"/>
  <c r="AA791" i="2"/>
  <c r="U791" i="2"/>
  <c r="X791" i="2" s="1"/>
  <c r="T791" i="2"/>
  <c r="AC790" i="2"/>
  <c r="AB790" i="2"/>
  <c r="AA790" i="2"/>
  <c r="U790" i="2"/>
  <c r="AE790" i="2" s="1"/>
  <c r="T790" i="2"/>
  <c r="AC789" i="2"/>
  <c r="AB789" i="2"/>
  <c r="AA789" i="2"/>
  <c r="U789" i="2"/>
  <c r="AE789" i="2" s="1"/>
  <c r="T789" i="2"/>
  <c r="AC788" i="2"/>
  <c r="AB788" i="2"/>
  <c r="AA788" i="2"/>
  <c r="U788" i="2"/>
  <c r="AE788" i="2" s="1"/>
  <c r="T788" i="2"/>
  <c r="AC787" i="2"/>
  <c r="AB787" i="2"/>
  <c r="AA787" i="2"/>
  <c r="U787" i="2"/>
  <c r="X787" i="2" s="1"/>
  <c r="T787" i="2"/>
  <c r="AC786" i="2"/>
  <c r="AB786" i="2"/>
  <c r="AA786" i="2"/>
  <c r="U786" i="2"/>
  <c r="X786" i="2" s="1"/>
  <c r="T786" i="2"/>
  <c r="AC785" i="2"/>
  <c r="AB785" i="2"/>
  <c r="AA785" i="2"/>
  <c r="U785" i="2"/>
  <c r="V785" i="2" s="1"/>
  <c r="T785" i="2"/>
  <c r="AC784" i="2"/>
  <c r="AB784" i="2"/>
  <c r="AA784" i="2"/>
  <c r="U784" i="2"/>
  <c r="AE784" i="2" s="1"/>
  <c r="T784" i="2"/>
  <c r="AC783" i="2"/>
  <c r="AB783" i="2"/>
  <c r="AA783" i="2"/>
  <c r="U783" i="2"/>
  <c r="X783" i="2" s="1"/>
  <c r="T783" i="2"/>
  <c r="AC782" i="2"/>
  <c r="AB782" i="2"/>
  <c r="AA782" i="2"/>
  <c r="U782" i="2"/>
  <c r="X782" i="2" s="1"/>
  <c r="T782" i="2"/>
  <c r="AC781" i="2"/>
  <c r="AB781" i="2"/>
  <c r="AA781" i="2"/>
  <c r="U781" i="2"/>
  <c r="V781" i="2" s="1"/>
  <c r="T781" i="2"/>
  <c r="AC780" i="2"/>
  <c r="AB780" i="2"/>
  <c r="AA780" i="2"/>
  <c r="U780" i="2"/>
  <c r="AE780" i="2" s="1"/>
  <c r="T780" i="2"/>
  <c r="AC779" i="2"/>
  <c r="AB779" i="2"/>
  <c r="AA779" i="2"/>
  <c r="U779" i="2"/>
  <c r="X779" i="2" s="1"/>
  <c r="T779" i="2"/>
  <c r="AC778" i="2"/>
  <c r="AB778" i="2"/>
  <c r="AA778" i="2"/>
  <c r="U778" i="2"/>
  <c r="AE778" i="2" s="1"/>
  <c r="T778" i="2"/>
  <c r="AC777" i="2"/>
  <c r="AB777" i="2"/>
  <c r="AA777" i="2"/>
  <c r="U777" i="2"/>
  <c r="AE777" i="2" s="1"/>
  <c r="T777" i="2"/>
  <c r="AC776" i="2"/>
  <c r="AB776" i="2"/>
  <c r="AA776" i="2"/>
  <c r="U776" i="2"/>
  <c r="T776" i="2"/>
  <c r="AC775" i="2"/>
  <c r="AB775" i="2"/>
  <c r="AA775" i="2"/>
  <c r="U775" i="2"/>
  <c r="X775" i="2" s="1"/>
  <c r="T775" i="2"/>
  <c r="AC774" i="2"/>
  <c r="AB774" i="2"/>
  <c r="AA774" i="2"/>
  <c r="U774" i="2"/>
  <c r="AE774" i="2" s="1"/>
  <c r="T774" i="2"/>
  <c r="AC773" i="2"/>
  <c r="AB773" i="2"/>
  <c r="AA773" i="2"/>
  <c r="U773" i="2"/>
  <c r="AE773" i="2" s="1"/>
  <c r="T773" i="2"/>
  <c r="AC772" i="2"/>
  <c r="AB772" i="2"/>
  <c r="AA772" i="2"/>
  <c r="U772" i="2"/>
  <c r="T772" i="2"/>
  <c r="AC771" i="2"/>
  <c r="AB771" i="2"/>
  <c r="AA771" i="2"/>
  <c r="U771" i="2"/>
  <c r="X771" i="2" s="1"/>
  <c r="T771" i="2"/>
  <c r="AC770" i="2"/>
  <c r="AB770" i="2"/>
  <c r="AA770" i="2"/>
  <c r="U770" i="2"/>
  <c r="AE770" i="2" s="1"/>
  <c r="T770" i="2"/>
  <c r="AC769" i="2"/>
  <c r="AB769" i="2"/>
  <c r="AA769" i="2"/>
  <c r="U769" i="2"/>
  <c r="AE769" i="2" s="1"/>
  <c r="T769" i="2"/>
  <c r="AC768" i="2"/>
  <c r="AB768" i="2"/>
  <c r="AA768" i="2"/>
  <c r="U768" i="2"/>
  <c r="AE768" i="2" s="1"/>
  <c r="T768" i="2"/>
  <c r="AC767" i="2"/>
  <c r="AB767" i="2"/>
  <c r="AA767" i="2"/>
  <c r="U767" i="2"/>
  <c r="X767" i="2" s="1"/>
  <c r="T767" i="2"/>
  <c r="AC766" i="2"/>
  <c r="AB766" i="2"/>
  <c r="AA766" i="2"/>
  <c r="U766" i="2"/>
  <c r="AE766" i="2" s="1"/>
  <c r="T766" i="2"/>
  <c r="AC765" i="2"/>
  <c r="AB765" i="2"/>
  <c r="AA765" i="2"/>
  <c r="U765" i="2"/>
  <c r="T765" i="2"/>
  <c r="AC764" i="2"/>
  <c r="AB764" i="2"/>
  <c r="AA764" i="2"/>
  <c r="U764" i="2"/>
  <c r="AE764" i="2" s="1"/>
  <c r="T764" i="2"/>
  <c r="AC763" i="2"/>
  <c r="AB763" i="2"/>
  <c r="AA763" i="2"/>
  <c r="U763" i="2"/>
  <c r="X763" i="2" s="1"/>
  <c r="T763" i="2"/>
  <c r="AC762" i="2"/>
  <c r="AB762" i="2"/>
  <c r="AA762" i="2"/>
  <c r="U762" i="2"/>
  <c r="T762" i="2"/>
  <c r="AC761" i="2"/>
  <c r="AB761" i="2"/>
  <c r="AA761" i="2"/>
  <c r="U761" i="2"/>
  <c r="T761" i="2"/>
  <c r="AC760" i="2"/>
  <c r="AB760" i="2"/>
  <c r="AA760" i="2"/>
  <c r="U760" i="2"/>
  <c r="AE760" i="2" s="1"/>
  <c r="T760" i="2"/>
  <c r="AC759" i="2"/>
  <c r="AB759" i="2"/>
  <c r="AA759" i="2"/>
  <c r="U759" i="2"/>
  <c r="X759" i="2" s="1"/>
  <c r="T759" i="2"/>
  <c r="AC758" i="2"/>
  <c r="AB758" i="2"/>
  <c r="AA758" i="2"/>
  <c r="U758" i="2"/>
  <c r="T758" i="2"/>
  <c r="AC757" i="2"/>
  <c r="AB757" i="2"/>
  <c r="AA757" i="2"/>
  <c r="U757" i="2"/>
  <c r="T757" i="2"/>
  <c r="AC756" i="2"/>
  <c r="AB756" i="2"/>
  <c r="AA756" i="2"/>
  <c r="U756" i="2"/>
  <c r="AE756" i="2" s="1"/>
  <c r="T756" i="2"/>
  <c r="AC755" i="2"/>
  <c r="AB755" i="2"/>
  <c r="AA755" i="2"/>
  <c r="U755" i="2"/>
  <c r="X755" i="2" s="1"/>
  <c r="T755" i="2"/>
  <c r="AC754" i="2"/>
  <c r="AB754" i="2"/>
  <c r="AA754" i="2"/>
  <c r="U754" i="2"/>
  <c r="AE754" i="2" s="1"/>
  <c r="T754" i="2"/>
  <c r="AC753" i="2"/>
  <c r="AB753" i="2"/>
  <c r="AA753" i="2"/>
  <c r="U753" i="2"/>
  <c r="T753" i="2"/>
  <c r="AC752" i="2"/>
  <c r="AB752" i="2"/>
  <c r="AA752" i="2"/>
  <c r="U752" i="2"/>
  <c r="AE752" i="2" s="1"/>
  <c r="T752" i="2"/>
  <c r="AC751" i="2"/>
  <c r="AB751" i="2"/>
  <c r="AA751" i="2"/>
  <c r="U751" i="2"/>
  <c r="T751" i="2"/>
  <c r="AC750" i="2"/>
  <c r="AB750" i="2"/>
  <c r="AA750" i="2"/>
  <c r="U750" i="2"/>
  <c r="AE750" i="2" s="1"/>
  <c r="T750" i="2"/>
  <c r="AC749" i="2"/>
  <c r="AB749" i="2"/>
  <c r="AA749" i="2"/>
  <c r="U749" i="2"/>
  <c r="T749" i="2"/>
  <c r="AC748" i="2"/>
  <c r="AB748" i="2"/>
  <c r="AA748" i="2"/>
  <c r="U748" i="2"/>
  <c r="AE748" i="2" s="1"/>
  <c r="T748" i="2"/>
  <c r="AC747" i="2"/>
  <c r="AB747" i="2"/>
  <c r="AA747" i="2"/>
  <c r="U747" i="2"/>
  <c r="T747" i="2"/>
  <c r="AC746" i="2"/>
  <c r="AB746" i="2"/>
  <c r="AA746" i="2"/>
  <c r="U746" i="2"/>
  <c r="X746" i="2" s="1"/>
  <c r="T746" i="2"/>
  <c r="AC745" i="2"/>
  <c r="AB745" i="2"/>
  <c r="AA745" i="2"/>
  <c r="U745" i="2"/>
  <c r="T745" i="2"/>
  <c r="AC744" i="2"/>
  <c r="AB744" i="2"/>
  <c r="AA744" i="2"/>
  <c r="U744" i="2"/>
  <c r="AE744" i="2" s="1"/>
  <c r="T744" i="2"/>
  <c r="AC743" i="2"/>
  <c r="AB743" i="2"/>
  <c r="AA743" i="2"/>
  <c r="U743" i="2"/>
  <c r="T743" i="2"/>
  <c r="AC742" i="2"/>
  <c r="AB742" i="2"/>
  <c r="AA742" i="2"/>
  <c r="U742" i="2"/>
  <c r="X742" i="2" s="1"/>
  <c r="T742" i="2"/>
  <c r="AC741" i="2"/>
  <c r="AB741" i="2"/>
  <c r="AA741" i="2"/>
  <c r="U741" i="2"/>
  <c r="T741" i="2"/>
  <c r="AC740" i="2"/>
  <c r="AB740" i="2"/>
  <c r="AA740" i="2"/>
  <c r="U740" i="2"/>
  <c r="T740" i="2"/>
  <c r="AC739" i="2"/>
  <c r="AB739" i="2"/>
  <c r="AA739" i="2"/>
  <c r="U739" i="2"/>
  <c r="T739" i="2"/>
  <c r="AC738" i="2"/>
  <c r="AB738" i="2"/>
  <c r="AA738" i="2"/>
  <c r="U738" i="2"/>
  <c r="AE738" i="2" s="1"/>
  <c r="T738" i="2"/>
  <c r="AC737" i="2"/>
  <c r="AB737" i="2"/>
  <c r="AA737" i="2"/>
  <c r="U737" i="2"/>
  <c r="T737" i="2"/>
  <c r="AC736" i="2"/>
  <c r="AB736" i="2"/>
  <c r="AA736" i="2"/>
  <c r="U736" i="2"/>
  <c r="AE736" i="2" s="1"/>
  <c r="T736" i="2"/>
  <c r="AC735" i="2"/>
  <c r="AB735" i="2"/>
  <c r="AA735" i="2"/>
  <c r="U735" i="2"/>
  <c r="T735" i="2"/>
  <c r="AC734" i="2"/>
  <c r="AB734" i="2"/>
  <c r="AA734" i="2"/>
  <c r="U734" i="2"/>
  <c r="AE734" i="2" s="1"/>
  <c r="T734" i="2"/>
  <c r="AC733" i="2"/>
  <c r="AB733" i="2"/>
  <c r="AA733" i="2"/>
  <c r="U733" i="2"/>
  <c r="T733" i="2"/>
  <c r="AC732" i="2"/>
  <c r="AB732" i="2"/>
  <c r="AA732" i="2"/>
  <c r="U732" i="2"/>
  <c r="AE732" i="2" s="1"/>
  <c r="T732" i="2"/>
  <c r="AC731" i="2"/>
  <c r="AB731" i="2"/>
  <c r="AA731" i="2"/>
  <c r="U731" i="2"/>
  <c r="T731" i="2"/>
  <c r="AC730" i="2"/>
  <c r="AB730" i="2"/>
  <c r="AA730" i="2"/>
  <c r="U730" i="2"/>
  <c r="AE730" i="2" s="1"/>
  <c r="T730" i="2"/>
  <c r="AC729" i="2"/>
  <c r="AB729" i="2"/>
  <c r="AA729" i="2"/>
  <c r="U729" i="2"/>
  <c r="T729" i="2"/>
  <c r="AC728" i="2"/>
  <c r="AB728" i="2"/>
  <c r="AA728" i="2"/>
  <c r="U728" i="2"/>
  <c r="AE728" i="2" s="1"/>
  <c r="T728" i="2"/>
  <c r="AC727" i="2"/>
  <c r="AB727" i="2"/>
  <c r="AA727" i="2"/>
  <c r="U727" i="2"/>
  <c r="T727" i="2"/>
  <c r="AC726" i="2"/>
  <c r="AB726" i="2"/>
  <c r="AA726" i="2"/>
  <c r="U726" i="2"/>
  <c r="AE726" i="2" s="1"/>
  <c r="T726" i="2"/>
  <c r="AC725" i="2"/>
  <c r="AB725" i="2"/>
  <c r="AA725" i="2"/>
  <c r="U725" i="2"/>
  <c r="V725" i="2" s="1"/>
  <c r="T725" i="2"/>
  <c r="AC724" i="2"/>
  <c r="AB724" i="2"/>
  <c r="AA724" i="2"/>
  <c r="U724" i="2"/>
  <c r="AE724" i="2" s="1"/>
  <c r="T724" i="2"/>
  <c r="AC723" i="2"/>
  <c r="AB723" i="2"/>
  <c r="AA723" i="2"/>
  <c r="U723" i="2"/>
  <c r="Y723" i="2" s="1"/>
  <c r="T723" i="2"/>
  <c r="AC722" i="2"/>
  <c r="AB722" i="2"/>
  <c r="AA722" i="2"/>
  <c r="U722" i="2"/>
  <c r="T722" i="2"/>
  <c r="AC721" i="2"/>
  <c r="AB721" i="2"/>
  <c r="AA721" i="2"/>
  <c r="U721" i="2"/>
  <c r="T721" i="2"/>
  <c r="AC720" i="2"/>
  <c r="AB720" i="2"/>
  <c r="AA720" i="2"/>
  <c r="U720" i="2"/>
  <c r="V720" i="2" s="1"/>
  <c r="T720" i="2"/>
  <c r="AC719" i="2"/>
  <c r="AB719" i="2"/>
  <c r="AA719" i="2"/>
  <c r="U719" i="2"/>
  <c r="X719" i="2" s="1"/>
  <c r="T719" i="2"/>
  <c r="AC718" i="2"/>
  <c r="AB718" i="2"/>
  <c r="AA718" i="2"/>
  <c r="U718" i="2"/>
  <c r="T718" i="2"/>
  <c r="AC717" i="2"/>
  <c r="AB717" i="2"/>
  <c r="AA717" i="2"/>
  <c r="U717" i="2"/>
  <c r="T717" i="2"/>
  <c r="AC716" i="2"/>
  <c r="AB716" i="2"/>
  <c r="AA716" i="2"/>
  <c r="U716" i="2"/>
  <c r="V716" i="2" s="1"/>
  <c r="T716" i="2"/>
  <c r="AC715" i="2"/>
  <c r="AB715" i="2"/>
  <c r="AA715" i="2"/>
  <c r="U715" i="2"/>
  <c r="X715" i="2" s="1"/>
  <c r="T715" i="2"/>
  <c r="AC714" i="2"/>
  <c r="AB714" i="2"/>
  <c r="AA714" i="2"/>
  <c r="U714" i="2"/>
  <c r="V714" i="2" s="1"/>
  <c r="T714" i="2"/>
  <c r="AC713" i="2"/>
  <c r="AB713" i="2"/>
  <c r="AA713" i="2"/>
  <c r="U713" i="2"/>
  <c r="V713" i="2" s="1"/>
  <c r="T713" i="2"/>
  <c r="AC712" i="2"/>
  <c r="AB712" i="2"/>
  <c r="AA712" i="2"/>
  <c r="U712" i="2"/>
  <c r="X712" i="2" s="1"/>
  <c r="Y712" i="2" s="1"/>
  <c r="T712" i="2"/>
  <c r="AC711" i="2"/>
  <c r="AB711" i="2"/>
  <c r="AA711" i="2"/>
  <c r="U711" i="2"/>
  <c r="AE711" i="2" s="1"/>
  <c r="T711" i="2"/>
  <c r="AC710" i="2"/>
  <c r="AB710" i="2"/>
  <c r="AA710" i="2"/>
  <c r="U710" i="2"/>
  <c r="AE710" i="2" s="1"/>
  <c r="T710" i="2"/>
  <c r="AC709" i="2"/>
  <c r="AB709" i="2"/>
  <c r="AA709" i="2"/>
  <c r="U709" i="2"/>
  <c r="AE709" i="2" s="1"/>
  <c r="T709" i="2"/>
  <c r="AC708" i="2"/>
  <c r="AB708" i="2"/>
  <c r="AA708" i="2"/>
  <c r="U708" i="2"/>
  <c r="T708" i="2"/>
  <c r="AC707" i="2"/>
  <c r="AB707" i="2"/>
  <c r="AA707" i="2"/>
  <c r="U707" i="2"/>
  <c r="AE707" i="2" s="1"/>
  <c r="T707" i="2"/>
  <c r="AC706" i="2"/>
  <c r="AB706" i="2"/>
  <c r="AA706" i="2"/>
  <c r="U706" i="2"/>
  <c r="AE706" i="2" s="1"/>
  <c r="T706" i="2"/>
  <c r="AC705" i="2"/>
  <c r="AB705" i="2"/>
  <c r="AA705" i="2"/>
  <c r="U705" i="2"/>
  <c r="AE705" i="2" s="1"/>
  <c r="T705" i="2"/>
  <c r="AC704" i="2"/>
  <c r="AB704" i="2"/>
  <c r="AA704" i="2"/>
  <c r="U704" i="2"/>
  <c r="T704" i="2"/>
  <c r="AC703" i="2"/>
  <c r="AB703" i="2"/>
  <c r="AA703" i="2"/>
  <c r="U703" i="2"/>
  <c r="X703" i="2" s="1"/>
  <c r="T703" i="2"/>
  <c r="AC702" i="2"/>
  <c r="AB702" i="2"/>
  <c r="AA702" i="2"/>
  <c r="U702" i="2"/>
  <c r="V702" i="2" s="1"/>
  <c r="T702" i="2"/>
  <c r="AC701" i="2"/>
  <c r="AB701" i="2"/>
  <c r="AA701" i="2"/>
  <c r="U701" i="2"/>
  <c r="T701" i="2"/>
  <c r="AC700" i="2"/>
  <c r="AB700" i="2"/>
  <c r="AA700" i="2"/>
  <c r="U700" i="2"/>
  <c r="T700" i="2"/>
  <c r="AC699" i="2"/>
  <c r="AB699" i="2"/>
  <c r="AA699" i="2"/>
  <c r="U699" i="2"/>
  <c r="X699" i="2" s="1"/>
  <c r="T699" i="2"/>
  <c r="AC698" i="2"/>
  <c r="AB698" i="2"/>
  <c r="AA698" i="2"/>
  <c r="U698" i="2"/>
  <c r="V698" i="2" s="1"/>
  <c r="T698" i="2"/>
  <c r="AC697" i="2"/>
  <c r="AB697" i="2"/>
  <c r="AA697" i="2"/>
  <c r="U697" i="2"/>
  <c r="AE697" i="2" s="1"/>
  <c r="T697" i="2"/>
  <c r="AC696" i="2"/>
  <c r="AB696" i="2"/>
  <c r="AA696" i="2"/>
  <c r="U696" i="2"/>
  <c r="T696" i="2"/>
  <c r="AC695" i="2"/>
  <c r="AB695" i="2"/>
  <c r="AA695" i="2"/>
  <c r="U695" i="2"/>
  <c r="AE695" i="2" s="1"/>
  <c r="T695" i="2"/>
  <c r="AC694" i="2"/>
  <c r="AB694" i="2"/>
  <c r="AA694" i="2"/>
  <c r="U694" i="2"/>
  <c r="AE694" i="2" s="1"/>
  <c r="T694" i="2"/>
  <c r="AC693" i="2"/>
  <c r="AB693" i="2"/>
  <c r="AA693" i="2"/>
  <c r="U693" i="2"/>
  <c r="AE693" i="2" s="1"/>
  <c r="T693" i="2"/>
  <c r="AC692" i="2"/>
  <c r="AB692" i="2"/>
  <c r="AA692" i="2"/>
  <c r="U692" i="2"/>
  <c r="T692" i="2"/>
  <c r="AC691" i="2"/>
  <c r="AB691" i="2"/>
  <c r="AA691" i="2"/>
  <c r="U691" i="2"/>
  <c r="AE691" i="2" s="1"/>
  <c r="T691" i="2"/>
  <c r="AC690" i="2"/>
  <c r="AB690" i="2"/>
  <c r="AA690" i="2"/>
  <c r="U690" i="2"/>
  <c r="AE690" i="2" s="1"/>
  <c r="T690" i="2"/>
  <c r="AC689" i="2"/>
  <c r="AB689" i="2"/>
  <c r="AA689" i="2"/>
  <c r="U689" i="2"/>
  <c r="AE689" i="2" s="1"/>
  <c r="T689" i="2"/>
  <c r="AC688" i="2"/>
  <c r="AB688" i="2"/>
  <c r="AA688" i="2"/>
  <c r="U688" i="2"/>
  <c r="T688" i="2"/>
  <c r="AC687" i="2"/>
  <c r="AB687" i="2"/>
  <c r="AA687" i="2"/>
  <c r="U687" i="2"/>
  <c r="X687" i="2" s="1"/>
  <c r="T687" i="2"/>
  <c r="AC686" i="2"/>
  <c r="AB686" i="2"/>
  <c r="AA686" i="2"/>
  <c r="U686" i="2"/>
  <c r="V686" i="2" s="1"/>
  <c r="T686" i="2"/>
  <c r="AC685" i="2"/>
  <c r="AB685" i="2"/>
  <c r="AA685" i="2"/>
  <c r="U685" i="2"/>
  <c r="T685" i="2"/>
  <c r="AC684" i="2"/>
  <c r="AB684" i="2"/>
  <c r="AA684" i="2"/>
  <c r="U684" i="2"/>
  <c r="T684" i="2"/>
  <c r="AC683" i="2"/>
  <c r="AB683" i="2"/>
  <c r="AA683" i="2"/>
  <c r="U683" i="2"/>
  <c r="X683" i="2" s="1"/>
  <c r="T683" i="2"/>
  <c r="AC682" i="2"/>
  <c r="AB682" i="2"/>
  <c r="AA682" i="2"/>
  <c r="U682" i="2"/>
  <c r="X682" i="2" s="1"/>
  <c r="T682" i="2"/>
  <c r="AC681" i="2"/>
  <c r="AB681" i="2"/>
  <c r="AA681" i="2"/>
  <c r="U681" i="2"/>
  <c r="AE681" i="2" s="1"/>
  <c r="T681" i="2"/>
  <c r="AC680" i="2"/>
  <c r="AB680" i="2"/>
  <c r="AA680" i="2"/>
  <c r="U680" i="2"/>
  <c r="X680" i="2" s="1"/>
  <c r="T680" i="2"/>
  <c r="AD680" i="2" s="1"/>
  <c r="AC679" i="2"/>
  <c r="AB679" i="2"/>
  <c r="AA679" i="2"/>
  <c r="U679" i="2"/>
  <c r="V679" i="2" s="1"/>
  <c r="T679" i="2"/>
  <c r="AC678" i="2"/>
  <c r="AB678" i="2"/>
  <c r="AA678" i="2"/>
  <c r="U678" i="2"/>
  <c r="AE678" i="2" s="1"/>
  <c r="T678" i="2"/>
  <c r="AE677" i="2"/>
  <c r="AC677" i="2"/>
  <c r="AB677" i="2"/>
  <c r="AA677" i="2"/>
  <c r="U677" i="2"/>
  <c r="T677" i="2"/>
  <c r="AC676" i="2"/>
  <c r="AB676" i="2"/>
  <c r="AA676" i="2"/>
  <c r="U676" i="2"/>
  <c r="T676" i="2"/>
  <c r="AC675" i="2"/>
  <c r="AB675" i="2"/>
  <c r="AA675" i="2"/>
  <c r="U675" i="2"/>
  <c r="V675" i="2" s="1"/>
  <c r="T675" i="2"/>
  <c r="AC674" i="2"/>
  <c r="AB674" i="2"/>
  <c r="AA674" i="2"/>
  <c r="U674" i="2"/>
  <c r="W674" i="2" s="1"/>
  <c r="T674" i="2"/>
  <c r="AC673" i="2"/>
  <c r="AB673" i="2"/>
  <c r="AA673" i="2"/>
  <c r="U673" i="2"/>
  <c r="AE673" i="2" s="1"/>
  <c r="T673" i="2"/>
  <c r="AC672" i="2"/>
  <c r="AB672" i="2"/>
  <c r="AA672" i="2"/>
  <c r="U672" i="2"/>
  <c r="T672" i="2"/>
  <c r="AC671" i="2"/>
  <c r="AB671" i="2"/>
  <c r="AA671" i="2"/>
  <c r="U671" i="2"/>
  <c r="AE671" i="2" s="1"/>
  <c r="T671" i="2"/>
  <c r="AC670" i="2"/>
  <c r="AB670" i="2"/>
  <c r="AA670" i="2"/>
  <c r="U670" i="2"/>
  <c r="V670" i="2" s="1"/>
  <c r="T670" i="2"/>
  <c r="AC669" i="2"/>
  <c r="AB669" i="2"/>
  <c r="AA669" i="2"/>
  <c r="U669" i="2"/>
  <c r="T669" i="2"/>
  <c r="AC668" i="2"/>
  <c r="AB668" i="2"/>
  <c r="AA668" i="2"/>
  <c r="U668" i="2"/>
  <c r="W668" i="2" s="1"/>
  <c r="T668" i="2"/>
  <c r="AC667" i="2"/>
  <c r="AB667" i="2"/>
  <c r="AA667" i="2"/>
  <c r="U667" i="2"/>
  <c r="AE667" i="2" s="1"/>
  <c r="T667" i="2"/>
  <c r="AC666" i="2"/>
  <c r="AB666" i="2"/>
  <c r="AA666" i="2"/>
  <c r="U666" i="2"/>
  <c r="T666" i="2"/>
  <c r="AC665" i="2"/>
  <c r="AB665" i="2"/>
  <c r="AA665" i="2"/>
  <c r="U665" i="2"/>
  <c r="AE665" i="2" s="1"/>
  <c r="T665" i="2"/>
  <c r="AC664" i="2"/>
  <c r="AB664" i="2"/>
  <c r="AA664" i="2"/>
  <c r="U664" i="2"/>
  <c r="W664" i="2" s="1"/>
  <c r="T664" i="2"/>
  <c r="AC663" i="2"/>
  <c r="AB663" i="2"/>
  <c r="AA663" i="2"/>
  <c r="U663" i="2"/>
  <c r="AE663" i="2" s="1"/>
  <c r="T663" i="2"/>
  <c r="AC662" i="2"/>
  <c r="AB662" i="2"/>
  <c r="AA662" i="2"/>
  <c r="U662" i="2"/>
  <c r="AE662" i="2" s="1"/>
  <c r="T662" i="2"/>
  <c r="AC661" i="2"/>
  <c r="AB661" i="2"/>
  <c r="AA661" i="2"/>
  <c r="U661" i="2"/>
  <c r="AE661" i="2" s="1"/>
  <c r="T661" i="2"/>
  <c r="AC660" i="2"/>
  <c r="AB660" i="2"/>
  <c r="AA660" i="2"/>
  <c r="U660" i="2"/>
  <c r="W660" i="2" s="1"/>
  <c r="T660" i="2"/>
  <c r="AC659" i="2"/>
  <c r="AB659" i="2"/>
  <c r="AA659" i="2"/>
  <c r="U659" i="2"/>
  <c r="AE659" i="2" s="1"/>
  <c r="T659" i="2"/>
  <c r="AC658" i="2"/>
  <c r="AB658" i="2"/>
  <c r="AA658" i="2"/>
  <c r="U658" i="2"/>
  <c r="AE658" i="2" s="1"/>
  <c r="T658" i="2"/>
  <c r="AC657" i="2"/>
  <c r="AB657" i="2"/>
  <c r="AA657" i="2"/>
  <c r="U657" i="2"/>
  <c r="AE657" i="2" s="1"/>
  <c r="T657" i="2"/>
  <c r="AC656" i="2"/>
  <c r="AB656" i="2"/>
  <c r="AA656" i="2"/>
  <c r="U656" i="2"/>
  <c r="W656" i="2" s="1"/>
  <c r="T656" i="2"/>
  <c r="AC655" i="2"/>
  <c r="AB655" i="2"/>
  <c r="AA655" i="2"/>
  <c r="U655" i="2"/>
  <c r="AE655" i="2" s="1"/>
  <c r="T655" i="2"/>
  <c r="AC654" i="2"/>
  <c r="AB654" i="2"/>
  <c r="AA654" i="2"/>
  <c r="U654" i="2"/>
  <c r="V654" i="2" s="1"/>
  <c r="T654" i="2"/>
  <c r="AC653" i="2"/>
  <c r="AB653" i="2"/>
  <c r="AA653" i="2"/>
  <c r="U653" i="2"/>
  <c r="AE653" i="2" s="1"/>
  <c r="T653" i="2"/>
  <c r="AC652" i="2"/>
  <c r="AB652" i="2"/>
  <c r="AA652" i="2"/>
  <c r="U652" i="2"/>
  <c r="W652" i="2" s="1"/>
  <c r="T652" i="2"/>
  <c r="AD652" i="2" s="1"/>
  <c r="AC651" i="2"/>
  <c r="AB651" i="2"/>
  <c r="AA651" i="2"/>
  <c r="U651" i="2"/>
  <c r="AE651" i="2" s="1"/>
  <c r="T651" i="2"/>
  <c r="AC650" i="2"/>
  <c r="AB650" i="2"/>
  <c r="AA650" i="2"/>
  <c r="U650" i="2"/>
  <c r="AE650" i="2" s="1"/>
  <c r="T650" i="2"/>
  <c r="AC649" i="2"/>
  <c r="AB649" i="2"/>
  <c r="AA649" i="2"/>
  <c r="U649" i="2"/>
  <c r="AE649" i="2" s="1"/>
  <c r="T649" i="2"/>
  <c r="AD649" i="2" s="1"/>
  <c r="AC648" i="2"/>
  <c r="AB648" i="2"/>
  <c r="AA648" i="2"/>
  <c r="U648" i="2"/>
  <c r="W648" i="2" s="1"/>
  <c r="T648" i="2"/>
  <c r="AC647" i="2"/>
  <c r="AB647" i="2"/>
  <c r="AA647" i="2"/>
  <c r="U647" i="2"/>
  <c r="AE647" i="2" s="1"/>
  <c r="T647" i="2"/>
  <c r="AC646" i="2"/>
  <c r="AB646" i="2"/>
  <c r="AA646" i="2"/>
  <c r="U646" i="2"/>
  <c r="T646" i="2"/>
  <c r="AC645" i="2"/>
  <c r="AB645" i="2"/>
  <c r="AA645" i="2"/>
  <c r="U645" i="2"/>
  <c r="AE645" i="2" s="1"/>
  <c r="T645" i="2"/>
  <c r="AC644" i="2"/>
  <c r="AB644" i="2"/>
  <c r="AA644" i="2"/>
  <c r="U644" i="2"/>
  <c r="W644" i="2" s="1"/>
  <c r="T644" i="2"/>
  <c r="AC643" i="2"/>
  <c r="AB643" i="2"/>
  <c r="AA643" i="2"/>
  <c r="U643" i="2"/>
  <c r="AE643" i="2" s="1"/>
  <c r="T643" i="2"/>
  <c r="AC642" i="2"/>
  <c r="AB642" i="2"/>
  <c r="AA642" i="2"/>
  <c r="U642" i="2"/>
  <c r="AE642" i="2" s="1"/>
  <c r="T642" i="2"/>
  <c r="AC641" i="2"/>
  <c r="AB641" i="2"/>
  <c r="AA641" i="2"/>
  <c r="U641" i="2"/>
  <c r="AE641" i="2" s="1"/>
  <c r="T641" i="2"/>
  <c r="AC640" i="2"/>
  <c r="AB640" i="2"/>
  <c r="AA640" i="2"/>
  <c r="U640" i="2"/>
  <c r="W640" i="2" s="1"/>
  <c r="T640" i="2"/>
  <c r="AC639" i="2"/>
  <c r="AB639" i="2"/>
  <c r="AA639" i="2"/>
  <c r="U639" i="2"/>
  <c r="AE639" i="2" s="1"/>
  <c r="T639" i="2"/>
  <c r="AC638" i="2"/>
  <c r="AB638" i="2"/>
  <c r="AA638" i="2"/>
  <c r="U638" i="2"/>
  <c r="AE638" i="2" s="1"/>
  <c r="T638" i="2"/>
  <c r="AC637" i="2"/>
  <c r="AB637" i="2"/>
  <c r="AA637" i="2"/>
  <c r="U637" i="2"/>
  <c r="T637" i="2"/>
  <c r="AC636" i="2"/>
  <c r="AB636" i="2"/>
  <c r="AA636" i="2"/>
  <c r="U636" i="2"/>
  <c r="W636" i="2" s="1"/>
  <c r="T636" i="2"/>
  <c r="AC635" i="2"/>
  <c r="AB635" i="2"/>
  <c r="AA635" i="2"/>
  <c r="U635" i="2"/>
  <c r="AE635" i="2" s="1"/>
  <c r="T635" i="2"/>
  <c r="AC634" i="2"/>
  <c r="AB634" i="2"/>
  <c r="AA634" i="2"/>
  <c r="U634" i="2"/>
  <c r="V634" i="2" s="1"/>
  <c r="T634" i="2"/>
  <c r="AC633" i="2"/>
  <c r="AB633" i="2"/>
  <c r="AA633" i="2"/>
  <c r="U633" i="2"/>
  <c r="AE633" i="2" s="1"/>
  <c r="T633" i="2"/>
  <c r="AC632" i="2"/>
  <c r="AB632" i="2"/>
  <c r="AA632" i="2"/>
  <c r="U632" i="2"/>
  <c r="T632" i="2"/>
  <c r="AC631" i="2"/>
  <c r="AB631" i="2"/>
  <c r="AA631" i="2"/>
  <c r="U631" i="2"/>
  <c r="AE631" i="2" s="1"/>
  <c r="T631" i="2"/>
  <c r="AC630" i="2"/>
  <c r="AB630" i="2"/>
  <c r="AA630" i="2"/>
  <c r="U630" i="2"/>
  <c r="AE630" i="2" s="1"/>
  <c r="T630" i="2"/>
  <c r="AC629" i="2"/>
  <c r="AB629" i="2"/>
  <c r="AA629" i="2"/>
  <c r="U629" i="2"/>
  <c r="AE629" i="2" s="1"/>
  <c r="T629" i="2"/>
  <c r="AC628" i="2"/>
  <c r="AB628" i="2"/>
  <c r="AA628" i="2"/>
  <c r="U628" i="2"/>
  <c r="W628" i="2" s="1"/>
  <c r="T628" i="2"/>
  <c r="AC627" i="2"/>
  <c r="AB627" i="2"/>
  <c r="AA627" i="2"/>
  <c r="U627" i="2"/>
  <c r="X627" i="2" s="1"/>
  <c r="T627" i="2"/>
  <c r="AC626" i="2"/>
  <c r="AB626" i="2"/>
  <c r="AA626" i="2"/>
  <c r="U626" i="2"/>
  <c r="AE626" i="2" s="1"/>
  <c r="T626" i="2"/>
  <c r="AC625" i="2"/>
  <c r="AB625" i="2"/>
  <c r="AA625" i="2"/>
  <c r="U625" i="2"/>
  <c r="AE625" i="2" s="1"/>
  <c r="T625" i="2"/>
  <c r="AC624" i="2"/>
  <c r="AB624" i="2"/>
  <c r="AA624" i="2"/>
  <c r="U624" i="2"/>
  <c r="W624" i="2" s="1"/>
  <c r="T624" i="2"/>
  <c r="AC623" i="2"/>
  <c r="AB623" i="2"/>
  <c r="AA623" i="2"/>
  <c r="U623" i="2"/>
  <c r="X623" i="2" s="1"/>
  <c r="T623" i="2"/>
  <c r="AC622" i="2"/>
  <c r="AB622" i="2"/>
  <c r="AA622" i="2"/>
  <c r="U622" i="2"/>
  <c r="T622" i="2"/>
  <c r="AC621" i="2"/>
  <c r="AB621" i="2"/>
  <c r="AA621" i="2"/>
  <c r="U621" i="2"/>
  <c r="AE621" i="2" s="1"/>
  <c r="T621" i="2"/>
  <c r="AC620" i="2"/>
  <c r="AB620" i="2"/>
  <c r="AA620" i="2"/>
  <c r="U620" i="2"/>
  <c r="W620" i="2" s="1"/>
  <c r="T620" i="2"/>
  <c r="AC619" i="2"/>
  <c r="AB619" i="2"/>
  <c r="AA619" i="2"/>
  <c r="U619" i="2"/>
  <c r="X619" i="2" s="1"/>
  <c r="T619" i="2"/>
  <c r="AC618" i="2"/>
  <c r="AB618" i="2"/>
  <c r="AA618" i="2"/>
  <c r="U618" i="2"/>
  <c r="AE618" i="2" s="1"/>
  <c r="T618" i="2"/>
  <c r="AC617" i="2"/>
  <c r="AB617" i="2"/>
  <c r="AA617" i="2"/>
  <c r="U617" i="2"/>
  <c r="AE617" i="2" s="1"/>
  <c r="T617" i="2"/>
  <c r="AC616" i="2"/>
  <c r="AB616" i="2"/>
  <c r="AA616" i="2"/>
  <c r="U616" i="2"/>
  <c r="W616" i="2" s="1"/>
  <c r="T616" i="2"/>
  <c r="AC615" i="2"/>
  <c r="AB615" i="2"/>
  <c r="AA615" i="2"/>
  <c r="U615" i="2"/>
  <c r="T615" i="2"/>
  <c r="AC614" i="2"/>
  <c r="AB614" i="2"/>
  <c r="AA614" i="2"/>
  <c r="U614" i="2"/>
  <c r="X614" i="2" s="1"/>
  <c r="T614" i="2"/>
  <c r="AC613" i="2"/>
  <c r="AB613" i="2"/>
  <c r="AA613" i="2"/>
  <c r="U613" i="2"/>
  <c r="AE613" i="2" s="1"/>
  <c r="T613" i="2"/>
  <c r="AC612" i="2"/>
  <c r="AB612" i="2"/>
  <c r="AA612" i="2"/>
  <c r="U612" i="2"/>
  <c r="T612" i="2"/>
  <c r="AC611" i="2"/>
  <c r="AB611" i="2"/>
  <c r="AA611" i="2"/>
  <c r="U611" i="2"/>
  <c r="T611" i="2"/>
  <c r="AC610" i="2"/>
  <c r="AB610" i="2"/>
  <c r="AA610" i="2"/>
  <c r="U610" i="2"/>
  <c r="AE610" i="2" s="1"/>
  <c r="T610" i="2"/>
  <c r="AC609" i="2"/>
  <c r="AB609" i="2"/>
  <c r="AA609" i="2"/>
  <c r="U609" i="2"/>
  <c r="AE609" i="2" s="1"/>
  <c r="T609" i="2"/>
  <c r="AC608" i="2"/>
  <c r="AB608" i="2"/>
  <c r="AA608" i="2"/>
  <c r="U608" i="2"/>
  <c r="T608" i="2"/>
  <c r="AC607" i="2"/>
  <c r="AB607" i="2"/>
  <c r="AA607" i="2"/>
  <c r="U607" i="2"/>
  <c r="T607" i="2"/>
  <c r="AC606" i="2"/>
  <c r="AB606" i="2"/>
  <c r="AA606" i="2"/>
  <c r="U606" i="2"/>
  <c r="X606" i="2" s="1"/>
  <c r="T606" i="2"/>
  <c r="AC605" i="2"/>
  <c r="AB605" i="2"/>
  <c r="AA605" i="2"/>
  <c r="U605" i="2"/>
  <c r="AE605" i="2" s="1"/>
  <c r="T605" i="2"/>
  <c r="AC604" i="2"/>
  <c r="AB604" i="2"/>
  <c r="AA604" i="2"/>
  <c r="U604" i="2"/>
  <c r="W604" i="2" s="1"/>
  <c r="T604" i="2"/>
  <c r="AC603" i="2"/>
  <c r="AB603" i="2"/>
  <c r="AA603" i="2"/>
  <c r="U603" i="2"/>
  <c r="T603" i="2"/>
  <c r="AC602" i="2"/>
  <c r="AB602" i="2"/>
  <c r="AA602" i="2"/>
  <c r="U602" i="2"/>
  <c r="AE602" i="2" s="1"/>
  <c r="T602" i="2"/>
  <c r="AC601" i="2"/>
  <c r="AB601" i="2"/>
  <c r="AA601" i="2"/>
  <c r="U601" i="2"/>
  <c r="AE601" i="2" s="1"/>
  <c r="T601" i="2"/>
  <c r="AC600" i="2"/>
  <c r="AB600" i="2"/>
  <c r="AA600" i="2"/>
  <c r="U600" i="2"/>
  <c r="W600" i="2" s="1"/>
  <c r="T600" i="2"/>
  <c r="AC599" i="2"/>
  <c r="AB599" i="2"/>
  <c r="AA599" i="2"/>
  <c r="U599" i="2"/>
  <c r="T599" i="2"/>
  <c r="AC598" i="2"/>
  <c r="AB598" i="2"/>
  <c r="AA598" i="2"/>
  <c r="U598" i="2"/>
  <c r="AE598" i="2" s="1"/>
  <c r="T598" i="2"/>
  <c r="AC597" i="2"/>
  <c r="AB597" i="2"/>
  <c r="AA597" i="2"/>
  <c r="U597" i="2"/>
  <c r="AE597" i="2" s="1"/>
  <c r="T597" i="2"/>
  <c r="AC596" i="2"/>
  <c r="AB596" i="2"/>
  <c r="AA596" i="2"/>
  <c r="U596" i="2"/>
  <c r="W596" i="2" s="1"/>
  <c r="T596" i="2"/>
  <c r="AC595" i="2"/>
  <c r="AB595" i="2"/>
  <c r="AA595" i="2"/>
  <c r="U595" i="2"/>
  <c r="T595" i="2"/>
  <c r="AC594" i="2"/>
  <c r="AB594" i="2"/>
  <c r="AA594" i="2"/>
  <c r="U594" i="2"/>
  <c r="AE594" i="2" s="1"/>
  <c r="T594" i="2"/>
  <c r="AC593" i="2"/>
  <c r="AB593" i="2"/>
  <c r="AA593" i="2"/>
  <c r="U593" i="2"/>
  <c r="AE593" i="2" s="1"/>
  <c r="T593" i="2"/>
  <c r="AC592" i="2"/>
  <c r="AB592" i="2"/>
  <c r="AA592" i="2"/>
  <c r="U592" i="2"/>
  <c r="W592" i="2" s="1"/>
  <c r="T592" i="2"/>
  <c r="AC591" i="2"/>
  <c r="AB591" i="2"/>
  <c r="AA591" i="2"/>
  <c r="U591" i="2"/>
  <c r="T591" i="2"/>
  <c r="AC590" i="2"/>
  <c r="AB590" i="2"/>
  <c r="AA590" i="2"/>
  <c r="U590" i="2"/>
  <c r="AE590" i="2" s="1"/>
  <c r="T590" i="2"/>
  <c r="AC589" i="2"/>
  <c r="AB589" i="2"/>
  <c r="AA589" i="2"/>
  <c r="U589" i="2"/>
  <c r="AE589" i="2" s="1"/>
  <c r="T589" i="2"/>
  <c r="AC588" i="2"/>
  <c r="AB588" i="2"/>
  <c r="AA588" i="2"/>
  <c r="U588" i="2"/>
  <c r="W588" i="2" s="1"/>
  <c r="T588" i="2"/>
  <c r="AC587" i="2"/>
  <c r="AB587" i="2"/>
  <c r="AA587" i="2"/>
  <c r="U587" i="2"/>
  <c r="T587" i="2"/>
  <c r="AC586" i="2"/>
  <c r="AB586" i="2"/>
  <c r="AA586" i="2"/>
  <c r="U586" i="2"/>
  <c r="T586" i="2"/>
  <c r="AC585" i="2"/>
  <c r="AB585" i="2"/>
  <c r="AA585" i="2"/>
  <c r="U585" i="2"/>
  <c r="AE585" i="2" s="1"/>
  <c r="T585" i="2"/>
  <c r="AC584" i="2"/>
  <c r="AB584" i="2"/>
  <c r="AA584" i="2"/>
  <c r="U584" i="2"/>
  <c r="W584" i="2" s="1"/>
  <c r="T584" i="2"/>
  <c r="AC583" i="2"/>
  <c r="AB583" i="2"/>
  <c r="AA583" i="2"/>
  <c r="U583" i="2"/>
  <c r="T583" i="2"/>
  <c r="AC582" i="2"/>
  <c r="AB582" i="2"/>
  <c r="AA582" i="2"/>
  <c r="U582" i="2"/>
  <c r="AE582" i="2" s="1"/>
  <c r="T582" i="2"/>
  <c r="AC581" i="2"/>
  <c r="AB581" i="2"/>
  <c r="AA581" i="2"/>
  <c r="U581" i="2"/>
  <c r="AE581" i="2" s="1"/>
  <c r="T581" i="2"/>
  <c r="AC580" i="2"/>
  <c r="AB580" i="2"/>
  <c r="AA580" i="2"/>
  <c r="U580" i="2"/>
  <c r="W580" i="2" s="1"/>
  <c r="T580" i="2"/>
  <c r="AC579" i="2"/>
  <c r="AB579" i="2"/>
  <c r="AA579" i="2"/>
  <c r="U579" i="2"/>
  <c r="T579" i="2"/>
  <c r="AC578" i="2"/>
  <c r="AB578" i="2"/>
  <c r="AA578" i="2"/>
  <c r="U578" i="2"/>
  <c r="X578" i="2" s="1"/>
  <c r="T578" i="2"/>
  <c r="AC577" i="2"/>
  <c r="AB577" i="2"/>
  <c r="AA577" i="2"/>
  <c r="U577" i="2"/>
  <c r="AE577" i="2" s="1"/>
  <c r="T577" i="2"/>
  <c r="AC576" i="2"/>
  <c r="AB576" i="2"/>
  <c r="AA576" i="2"/>
  <c r="U576" i="2"/>
  <c r="W576" i="2" s="1"/>
  <c r="T576" i="2"/>
  <c r="AC575" i="2"/>
  <c r="AB575" i="2"/>
  <c r="AA575" i="2"/>
  <c r="U575" i="2"/>
  <c r="T575" i="2"/>
  <c r="AC574" i="2"/>
  <c r="AB574" i="2"/>
  <c r="AA574" i="2"/>
  <c r="U574" i="2"/>
  <c r="AE574" i="2" s="1"/>
  <c r="T574" i="2"/>
  <c r="AC573" i="2"/>
  <c r="AB573" i="2"/>
  <c r="AA573" i="2"/>
  <c r="U573" i="2"/>
  <c r="T573" i="2"/>
  <c r="AC572" i="2"/>
  <c r="AB572" i="2"/>
  <c r="AA572" i="2"/>
  <c r="U572" i="2"/>
  <c r="W572" i="2" s="1"/>
  <c r="T572" i="2"/>
  <c r="AC571" i="2"/>
  <c r="AB571" i="2"/>
  <c r="AA571" i="2"/>
  <c r="U571" i="2"/>
  <c r="T571" i="2"/>
  <c r="AC570" i="2"/>
  <c r="AB570" i="2"/>
  <c r="AA570" i="2"/>
  <c r="U570" i="2"/>
  <c r="X570" i="2" s="1"/>
  <c r="T570" i="2"/>
  <c r="AC569" i="2"/>
  <c r="AB569" i="2"/>
  <c r="AA569" i="2"/>
  <c r="U569" i="2"/>
  <c r="AE569" i="2" s="1"/>
  <c r="T569" i="2"/>
  <c r="AC568" i="2"/>
  <c r="AB568" i="2"/>
  <c r="AA568" i="2"/>
  <c r="U568" i="2"/>
  <c r="T568" i="2"/>
  <c r="AC567" i="2"/>
  <c r="AB567" i="2"/>
  <c r="AA567" i="2"/>
  <c r="U567" i="2"/>
  <c r="T567" i="2"/>
  <c r="AC566" i="2"/>
  <c r="AB566" i="2"/>
  <c r="AA566" i="2"/>
  <c r="U566" i="2"/>
  <c r="V566" i="2" s="1"/>
  <c r="T566" i="2"/>
  <c r="AC565" i="2"/>
  <c r="AB565" i="2"/>
  <c r="AA565" i="2"/>
  <c r="U565" i="2"/>
  <c r="V565" i="2" s="1"/>
  <c r="T565" i="2"/>
  <c r="AC564" i="2"/>
  <c r="AB564" i="2"/>
  <c r="AA564" i="2"/>
  <c r="U564" i="2"/>
  <c r="T564" i="2"/>
  <c r="AC563" i="2"/>
  <c r="AB563" i="2"/>
  <c r="AA563" i="2"/>
  <c r="U563" i="2"/>
  <c r="T563" i="2"/>
  <c r="AC562" i="2"/>
  <c r="AB562" i="2"/>
  <c r="AA562" i="2"/>
  <c r="U562" i="2"/>
  <c r="AE562" i="2" s="1"/>
  <c r="T562" i="2"/>
  <c r="AC561" i="2"/>
  <c r="AB561" i="2"/>
  <c r="AA561" i="2"/>
  <c r="U561" i="2"/>
  <c r="V561" i="2" s="1"/>
  <c r="T561" i="2"/>
  <c r="AC560" i="2"/>
  <c r="AB560" i="2"/>
  <c r="AA560" i="2"/>
  <c r="U560" i="2"/>
  <c r="W560" i="2" s="1"/>
  <c r="T560" i="2"/>
  <c r="AC559" i="2"/>
  <c r="AB559" i="2"/>
  <c r="AA559" i="2"/>
  <c r="U559" i="2"/>
  <c r="AE559" i="2" s="1"/>
  <c r="T559" i="2"/>
  <c r="AC558" i="2"/>
  <c r="AB558" i="2"/>
  <c r="AA558" i="2"/>
  <c r="U558" i="2"/>
  <c r="AE558" i="2" s="1"/>
  <c r="T558" i="2"/>
  <c r="AC557" i="2"/>
  <c r="AB557" i="2"/>
  <c r="AA557" i="2"/>
  <c r="U557" i="2"/>
  <c r="T557" i="2"/>
  <c r="AC556" i="2"/>
  <c r="AB556" i="2"/>
  <c r="AA556" i="2"/>
  <c r="U556" i="2"/>
  <c r="W556" i="2" s="1"/>
  <c r="T556" i="2"/>
  <c r="AC555" i="2"/>
  <c r="AB555" i="2"/>
  <c r="AA555" i="2"/>
  <c r="U555" i="2"/>
  <c r="T555" i="2"/>
  <c r="AC554" i="2"/>
  <c r="AB554" i="2"/>
  <c r="AA554" i="2"/>
  <c r="U554" i="2"/>
  <c r="T554" i="2"/>
  <c r="AC553" i="2"/>
  <c r="AB553" i="2"/>
  <c r="AA553" i="2"/>
  <c r="U553" i="2"/>
  <c r="T553" i="2"/>
  <c r="AC552" i="2"/>
  <c r="AB552" i="2"/>
  <c r="AA552" i="2"/>
  <c r="U552" i="2"/>
  <c r="W552" i="2" s="1"/>
  <c r="T552" i="2"/>
  <c r="AC551" i="2"/>
  <c r="AB551" i="2"/>
  <c r="AA551" i="2"/>
  <c r="U551" i="2"/>
  <c r="T551" i="2"/>
  <c r="AC550" i="2"/>
  <c r="AB550" i="2"/>
  <c r="AA550" i="2"/>
  <c r="U550" i="2"/>
  <c r="AE550" i="2" s="1"/>
  <c r="T550" i="2"/>
  <c r="AC549" i="2"/>
  <c r="AB549" i="2"/>
  <c r="AA549" i="2"/>
  <c r="U549" i="2"/>
  <c r="T549" i="2"/>
  <c r="AC548" i="2"/>
  <c r="AB548" i="2"/>
  <c r="AA548" i="2"/>
  <c r="U548" i="2"/>
  <c r="W548" i="2" s="1"/>
  <c r="T548" i="2"/>
  <c r="AC547" i="2"/>
  <c r="AB547" i="2"/>
  <c r="AA547" i="2"/>
  <c r="U547" i="2"/>
  <c r="AE547" i="2" s="1"/>
  <c r="T547" i="2"/>
  <c r="AC546" i="2"/>
  <c r="AB546" i="2"/>
  <c r="AA546" i="2"/>
  <c r="U546" i="2"/>
  <c r="AE546" i="2" s="1"/>
  <c r="T546" i="2"/>
  <c r="AC545" i="2"/>
  <c r="AB545" i="2"/>
  <c r="AA545" i="2"/>
  <c r="U545" i="2"/>
  <c r="V545" i="2" s="1"/>
  <c r="T545" i="2"/>
  <c r="AC544" i="2"/>
  <c r="AB544" i="2"/>
  <c r="AA544" i="2"/>
  <c r="U544" i="2"/>
  <c r="T544" i="2"/>
  <c r="AC543" i="2"/>
  <c r="AB543" i="2"/>
  <c r="AA543" i="2"/>
  <c r="U543" i="2"/>
  <c r="T543" i="2"/>
  <c r="AC542" i="2"/>
  <c r="AB542" i="2"/>
  <c r="AA542" i="2"/>
  <c r="U542" i="2"/>
  <c r="AE542" i="2" s="1"/>
  <c r="T542" i="2"/>
  <c r="AC541" i="2"/>
  <c r="AB541" i="2"/>
  <c r="AA541" i="2"/>
  <c r="U541" i="2"/>
  <c r="T541" i="2"/>
  <c r="AC540" i="2"/>
  <c r="AB540" i="2"/>
  <c r="AA540" i="2"/>
  <c r="U540" i="2"/>
  <c r="T540" i="2"/>
  <c r="AC539" i="2"/>
  <c r="AB539" i="2"/>
  <c r="AA539" i="2"/>
  <c r="U539" i="2"/>
  <c r="AE539" i="2" s="1"/>
  <c r="T539" i="2"/>
  <c r="AC538" i="2"/>
  <c r="AB538" i="2"/>
  <c r="AA538" i="2"/>
  <c r="U538" i="2"/>
  <c r="AE538" i="2" s="1"/>
  <c r="T538" i="2"/>
  <c r="AC537" i="2"/>
  <c r="AB537" i="2"/>
  <c r="AA537" i="2"/>
  <c r="U537" i="2"/>
  <c r="X537" i="2" s="1"/>
  <c r="T537" i="2"/>
  <c r="AC536" i="2"/>
  <c r="AB536" i="2"/>
  <c r="AA536" i="2"/>
  <c r="U536" i="2"/>
  <c r="X536" i="2" s="1"/>
  <c r="T536" i="2"/>
  <c r="AC535" i="2"/>
  <c r="AB535" i="2"/>
  <c r="AA535" i="2"/>
  <c r="U535" i="2"/>
  <c r="T535" i="2"/>
  <c r="AC534" i="2"/>
  <c r="AB534" i="2"/>
  <c r="AA534" i="2"/>
  <c r="U534" i="2"/>
  <c r="T534" i="2"/>
  <c r="AC533" i="2"/>
  <c r="AB533" i="2"/>
  <c r="AA533" i="2"/>
  <c r="U533" i="2"/>
  <c r="X533" i="2" s="1"/>
  <c r="T533" i="2"/>
  <c r="AD533" i="2" s="1"/>
  <c r="AC532" i="2"/>
  <c r="AB532" i="2"/>
  <c r="AA532" i="2"/>
  <c r="U532" i="2"/>
  <c r="X532" i="2" s="1"/>
  <c r="T532" i="2"/>
  <c r="AC531" i="2"/>
  <c r="AB531" i="2"/>
  <c r="AA531" i="2"/>
  <c r="U531" i="2"/>
  <c r="T531" i="2"/>
  <c r="AC530" i="2"/>
  <c r="AB530" i="2"/>
  <c r="AA530" i="2"/>
  <c r="U530" i="2"/>
  <c r="T530" i="2"/>
  <c r="AC529" i="2"/>
  <c r="AB529" i="2"/>
  <c r="AA529" i="2"/>
  <c r="U529" i="2"/>
  <c r="T529" i="2"/>
  <c r="AC528" i="2"/>
  <c r="AB528" i="2"/>
  <c r="AA528" i="2"/>
  <c r="U528" i="2"/>
  <c r="T528" i="2"/>
  <c r="AC527" i="2"/>
  <c r="AB527" i="2"/>
  <c r="AA527" i="2"/>
  <c r="U527" i="2"/>
  <c r="X527" i="2" s="1"/>
  <c r="T527" i="2"/>
  <c r="AC526" i="2"/>
  <c r="AB526" i="2"/>
  <c r="AA526" i="2"/>
  <c r="U526" i="2"/>
  <c r="AE526" i="2" s="1"/>
  <c r="T526" i="2"/>
  <c r="AC525" i="2"/>
  <c r="AB525" i="2"/>
  <c r="AA525" i="2"/>
  <c r="U525" i="2"/>
  <c r="X525" i="2" s="1"/>
  <c r="T525" i="2"/>
  <c r="AC524" i="2"/>
  <c r="AB524" i="2"/>
  <c r="AA524" i="2"/>
  <c r="U524" i="2"/>
  <c r="T524" i="2"/>
  <c r="AC523" i="2"/>
  <c r="AB523" i="2"/>
  <c r="AA523" i="2"/>
  <c r="U523" i="2"/>
  <c r="AE523" i="2" s="1"/>
  <c r="T523" i="2"/>
  <c r="AC522" i="2"/>
  <c r="AB522" i="2"/>
  <c r="AA522" i="2"/>
  <c r="U522" i="2"/>
  <c r="AE522" i="2" s="1"/>
  <c r="T522" i="2"/>
  <c r="AC521" i="2"/>
  <c r="AB521" i="2"/>
  <c r="AA521" i="2"/>
  <c r="U521" i="2"/>
  <c r="V521" i="2" s="1"/>
  <c r="T521" i="2"/>
  <c r="AC520" i="2"/>
  <c r="AB520" i="2"/>
  <c r="AA520" i="2"/>
  <c r="U520" i="2"/>
  <c r="Y520" i="2" s="1"/>
  <c r="T520" i="2"/>
  <c r="AC519" i="2"/>
  <c r="AB519" i="2"/>
  <c r="AA519" i="2"/>
  <c r="U519" i="2"/>
  <c r="T519" i="2"/>
  <c r="AC518" i="2"/>
  <c r="AB518" i="2"/>
  <c r="AA518" i="2"/>
  <c r="U518" i="2"/>
  <c r="X518" i="2" s="1"/>
  <c r="T518" i="2"/>
  <c r="AC517" i="2"/>
  <c r="AB517" i="2"/>
  <c r="AA517" i="2"/>
  <c r="U517" i="2"/>
  <c r="Y517" i="2" s="1"/>
  <c r="T517" i="2"/>
  <c r="AC516" i="2"/>
  <c r="AB516" i="2"/>
  <c r="AA516" i="2"/>
  <c r="U516" i="2"/>
  <c r="T516" i="2"/>
  <c r="AC515" i="2"/>
  <c r="AB515" i="2"/>
  <c r="AA515" i="2"/>
  <c r="U515" i="2"/>
  <c r="AE515" i="2" s="1"/>
  <c r="T515" i="2"/>
  <c r="AC514" i="2"/>
  <c r="AB514" i="2"/>
  <c r="AA514" i="2"/>
  <c r="U514" i="2"/>
  <c r="T514" i="2"/>
  <c r="AC513" i="2"/>
  <c r="AB513" i="2"/>
  <c r="AA513" i="2"/>
  <c r="U513" i="2"/>
  <c r="X513" i="2" s="1"/>
  <c r="Y513" i="2" s="1"/>
  <c r="T513" i="2"/>
  <c r="AC512" i="2"/>
  <c r="AB512" i="2"/>
  <c r="AA512" i="2"/>
  <c r="U512" i="2"/>
  <c r="X512" i="2" s="1"/>
  <c r="T512" i="2"/>
  <c r="AC511" i="2"/>
  <c r="AB511" i="2"/>
  <c r="AA511" i="2"/>
  <c r="U511" i="2"/>
  <c r="T511" i="2"/>
  <c r="AC510" i="2"/>
  <c r="AB510" i="2"/>
  <c r="AA510" i="2"/>
  <c r="U510" i="2"/>
  <c r="T510" i="2"/>
  <c r="AC509" i="2"/>
  <c r="AB509" i="2"/>
  <c r="AA509" i="2"/>
  <c r="U509" i="2"/>
  <c r="T509" i="2"/>
  <c r="AC508" i="2"/>
  <c r="AB508" i="2"/>
  <c r="AA508" i="2"/>
  <c r="U508" i="2"/>
  <c r="X508" i="2" s="1"/>
  <c r="T508" i="2"/>
  <c r="AC507" i="2"/>
  <c r="AB507" i="2"/>
  <c r="AA507" i="2"/>
  <c r="U507" i="2"/>
  <c r="T507" i="2"/>
  <c r="AC506" i="2"/>
  <c r="AB506" i="2"/>
  <c r="AA506" i="2"/>
  <c r="U506" i="2"/>
  <c r="T506" i="2"/>
  <c r="AC505" i="2"/>
  <c r="AB505" i="2"/>
  <c r="AA505" i="2"/>
  <c r="U505" i="2"/>
  <c r="T505" i="2"/>
  <c r="AC504" i="2"/>
  <c r="AB504" i="2"/>
  <c r="AA504" i="2"/>
  <c r="U504" i="2"/>
  <c r="T504" i="2"/>
  <c r="AC503" i="2"/>
  <c r="AB503" i="2"/>
  <c r="AA503" i="2"/>
  <c r="U503" i="2"/>
  <c r="AE503" i="2" s="1"/>
  <c r="T503" i="2"/>
  <c r="AC502" i="2"/>
  <c r="AB502" i="2"/>
  <c r="AA502" i="2"/>
  <c r="U502" i="2"/>
  <c r="T502" i="2"/>
  <c r="AC501" i="2"/>
  <c r="AB501" i="2"/>
  <c r="AA501" i="2"/>
  <c r="U501" i="2"/>
  <c r="X501" i="2" s="1"/>
  <c r="T501" i="2"/>
  <c r="AC500" i="2"/>
  <c r="AB500" i="2"/>
  <c r="AA500" i="2"/>
  <c r="U500" i="2"/>
  <c r="T500" i="2"/>
  <c r="AC499" i="2"/>
  <c r="AB499" i="2"/>
  <c r="AA499" i="2"/>
  <c r="U499" i="2"/>
  <c r="X499" i="2" s="1"/>
  <c r="T499" i="2"/>
  <c r="AC498" i="2"/>
  <c r="AB498" i="2"/>
  <c r="AA498" i="2"/>
  <c r="U498" i="2"/>
  <c r="V498" i="2" s="1"/>
  <c r="T498" i="2"/>
  <c r="AC497" i="2"/>
  <c r="AB497" i="2"/>
  <c r="AA497" i="2"/>
  <c r="U497" i="2"/>
  <c r="V497" i="2" s="1"/>
  <c r="T497" i="2"/>
  <c r="AC496" i="2"/>
  <c r="AB496" i="2"/>
  <c r="AA496" i="2"/>
  <c r="U496" i="2"/>
  <c r="T496" i="2"/>
  <c r="AC495" i="2"/>
  <c r="AB495" i="2"/>
  <c r="AA495" i="2"/>
  <c r="U495" i="2"/>
  <c r="T495" i="2"/>
  <c r="AC494" i="2"/>
  <c r="AB494" i="2"/>
  <c r="AA494" i="2"/>
  <c r="U494" i="2"/>
  <c r="AE494" i="2" s="1"/>
  <c r="T494" i="2"/>
  <c r="AC493" i="2"/>
  <c r="AB493" i="2"/>
  <c r="AA493" i="2"/>
  <c r="U493" i="2"/>
  <c r="V493" i="2" s="1"/>
  <c r="T493" i="2"/>
  <c r="AC492" i="2"/>
  <c r="AB492" i="2"/>
  <c r="AA492" i="2"/>
  <c r="U492" i="2"/>
  <c r="T492" i="2"/>
  <c r="AC491" i="2"/>
  <c r="AB491" i="2"/>
  <c r="AA491" i="2"/>
  <c r="U491" i="2"/>
  <c r="T491" i="2"/>
  <c r="AC490" i="2"/>
  <c r="AB490" i="2"/>
  <c r="AA490" i="2"/>
  <c r="U490" i="2"/>
  <c r="X490" i="2" s="1"/>
  <c r="T490" i="2"/>
  <c r="AC489" i="2"/>
  <c r="AB489" i="2"/>
  <c r="AA489" i="2"/>
  <c r="U489" i="2"/>
  <c r="X489" i="2" s="1"/>
  <c r="T489" i="2"/>
  <c r="AC488" i="2"/>
  <c r="AB488" i="2"/>
  <c r="AA488" i="2"/>
  <c r="U488" i="2"/>
  <c r="T488" i="2"/>
  <c r="AC487" i="2"/>
  <c r="AB487" i="2"/>
  <c r="AA487" i="2"/>
  <c r="U487" i="2"/>
  <c r="AE487" i="2" s="1"/>
  <c r="T487" i="2"/>
  <c r="AC486" i="2"/>
  <c r="AB486" i="2"/>
  <c r="AA486" i="2"/>
  <c r="U486" i="2"/>
  <c r="T486" i="2"/>
  <c r="AC485" i="2"/>
  <c r="AB485" i="2"/>
  <c r="AA485" i="2"/>
  <c r="U485" i="2"/>
  <c r="T485" i="2"/>
  <c r="AC484" i="2"/>
  <c r="AB484" i="2"/>
  <c r="AA484" i="2"/>
  <c r="U484" i="2"/>
  <c r="Y484" i="2" s="1"/>
  <c r="T484" i="2"/>
  <c r="AC483" i="2"/>
  <c r="AB483" i="2"/>
  <c r="AA483" i="2"/>
  <c r="U483" i="2"/>
  <c r="T483" i="2"/>
  <c r="AC482" i="2"/>
  <c r="AB482" i="2"/>
  <c r="AA482" i="2"/>
  <c r="U482" i="2"/>
  <c r="V482" i="2" s="1"/>
  <c r="T482" i="2"/>
  <c r="AC481" i="2"/>
  <c r="AB481" i="2"/>
  <c r="AA481" i="2"/>
  <c r="U481" i="2"/>
  <c r="V481" i="2" s="1"/>
  <c r="T481" i="2"/>
  <c r="AC480" i="2"/>
  <c r="AB480" i="2"/>
  <c r="AA480" i="2"/>
  <c r="U480" i="2"/>
  <c r="AE480" i="2" s="1"/>
  <c r="T480" i="2"/>
  <c r="AC479" i="2"/>
  <c r="AB479" i="2"/>
  <c r="AA479" i="2"/>
  <c r="U479" i="2"/>
  <c r="V479" i="2" s="1"/>
  <c r="T479" i="2"/>
  <c r="AC478" i="2"/>
  <c r="AB478" i="2"/>
  <c r="AA478" i="2"/>
  <c r="U478" i="2"/>
  <c r="AE478" i="2" s="1"/>
  <c r="T478" i="2"/>
  <c r="AC477" i="2"/>
  <c r="AB477" i="2"/>
  <c r="AA477" i="2"/>
  <c r="U477" i="2"/>
  <c r="T477" i="2"/>
  <c r="AC476" i="2"/>
  <c r="AB476" i="2"/>
  <c r="AA476" i="2"/>
  <c r="U476" i="2"/>
  <c r="AE476" i="2" s="1"/>
  <c r="T476" i="2"/>
  <c r="AC475" i="2"/>
  <c r="AB475" i="2"/>
  <c r="AA475" i="2"/>
  <c r="U475" i="2"/>
  <c r="AE475" i="2" s="1"/>
  <c r="T475" i="2"/>
  <c r="AC474" i="2"/>
  <c r="AB474" i="2"/>
  <c r="AA474" i="2"/>
  <c r="U474" i="2"/>
  <c r="V474" i="2" s="1"/>
  <c r="T474" i="2"/>
  <c r="AC473" i="2"/>
  <c r="AB473" i="2"/>
  <c r="AA473" i="2"/>
  <c r="U473" i="2"/>
  <c r="T473" i="2"/>
  <c r="AC472" i="2"/>
  <c r="AB472" i="2"/>
  <c r="AA472" i="2"/>
  <c r="U472" i="2"/>
  <c r="T472" i="2"/>
  <c r="AC471" i="2"/>
  <c r="AB471" i="2"/>
  <c r="AA471" i="2"/>
  <c r="U471" i="2"/>
  <c r="X471" i="2" s="1"/>
  <c r="T471" i="2"/>
  <c r="AC470" i="2"/>
  <c r="AB470" i="2"/>
  <c r="AA470" i="2"/>
  <c r="U470" i="2"/>
  <c r="AE470" i="2" s="1"/>
  <c r="T470" i="2"/>
  <c r="AC469" i="2"/>
  <c r="AB469" i="2"/>
  <c r="AA469" i="2"/>
  <c r="U469" i="2"/>
  <c r="T469" i="2"/>
  <c r="AC468" i="2"/>
  <c r="AB468" i="2"/>
  <c r="AA468" i="2"/>
  <c r="U468" i="2"/>
  <c r="AE468" i="2" s="1"/>
  <c r="T468" i="2"/>
  <c r="AC467" i="2"/>
  <c r="AB467" i="2"/>
  <c r="AA467" i="2"/>
  <c r="U467" i="2"/>
  <c r="T467" i="2"/>
  <c r="AC466" i="2"/>
  <c r="AB466" i="2"/>
  <c r="AA466" i="2"/>
  <c r="U466" i="2"/>
  <c r="AE466" i="2" s="1"/>
  <c r="T466" i="2"/>
  <c r="AC465" i="2"/>
  <c r="AB465" i="2"/>
  <c r="AA465" i="2"/>
  <c r="U465" i="2"/>
  <c r="T465" i="2"/>
  <c r="AC464" i="2"/>
  <c r="AB464" i="2"/>
  <c r="AA464" i="2"/>
  <c r="U464" i="2"/>
  <c r="X464" i="2" s="1"/>
  <c r="T464" i="2"/>
  <c r="AC463" i="2"/>
  <c r="AB463" i="2"/>
  <c r="AA463" i="2"/>
  <c r="U463" i="2"/>
  <c r="Y463" i="2" s="1"/>
  <c r="T463" i="2"/>
  <c r="AC462" i="2"/>
  <c r="AB462" i="2"/>
  <c r="AA462" i="2"/>
  <c r="U462" i="2"/>
  <c r="T462" i="2"/>
  <c r="AC461" i="2"/>
  <c r="AB461" i="2"/>
  <c r="AA461" i="2"/>
  <c r="U461" i="2"/>
  <c r="V461" i="2" s="1"/>
  <c r="T461" i="2"/>
  <c r="AC460" i="2"/>
  <c r="AB460" i="2"/>
  <c r="AA460" i="2"/>
  <c r="U460" i="2"/>
  <c r="V460" i="2" s="1"/>
  <c r="T460" i="2"/>
  <c r="AC459" i="2"/>
  <c r="AB459" i="2"/>
  <c r="AA459" i="2"/>
  <c r="U459" i="2"/>
  <c r="AE459" i="2" s="1"/>
  <c r="T459" i="2"/>
  <c r="AC458" i="2"/>
  <c r="AB458" i="2"/>
  <c r="AA458" i="2"/>
  <c r="U458" i="2"/>
  <c r="AE458" i="2" s="1"/>
  <c r="T458" i="2"/>
  <c r="AC457" i="2"/>
  <c r="AB457" i="2"/>
  <c r="AA457" i="2"/>
  <c r="U457" i="2"/>
  <c r="W457" i="2" s="1"/>
  <c r="T457" i="2"/>
  <c r="AC456" i="2"/>
  <c r="AB456" i="2"/>
  <c r="AA456" i="2"/>
  <c r="U456" i="2"/>
  <c r="AE456" i="2" s="1"/>
  <c r="T456" i="2"/>
  <c r="AC455" i="2"/>
  <c r="AB455" i="2"/>
  <c r="AA455" i="2"/>
  <c r="U455" i="2"/>
  <c r="X455" i="2" s="1"/>
  <c r="T455" i="2"/>
  <c r="AC454" i="2"/>
  <c r="AB454" i="2"/>
  <c r="AA454" i="2"/>
  <c r="U454" i="2"/>
  <c r="T454" i="2"/>
  <c r="AC453" i="2"/>
  <c r="AB453" i="2"/>
  <c r="AA453" i="2"/>
  <c r="U453" i="2"/>
  <c r="T453" i="2"/>
  <c r="AC452" i="2"/>
  <c r="AB452" i="2"/>
  <c r="AA452" i="2"/>
  <c r="U452" i="2"/>
  <c r="T452" i="2"/>
  <c r="AC451" i="2"/>
  <c r="AB451" i="2"/>
  <c r="AA451" i="2"/>
  <c r="U451" i="2"/>
  <c r="V451" i="2" s="1"/>
  <c r="T451" i="2"/>
  <c r="AC450" i="2"/>
  <c r="AB450" i="2"/>
  <c r="AA450" i="2"/>
  <c r="U450" i="2"/>
  <c r="T450" i="2"/>
  <c r="AC449" i="2"/>
  <c r="AB449" i="2"/>
  <c r="AA449" i="2"/>
  <c r="U449" i="2"/>
  <c r="T449" i="2"/>
  <c r="AC448" i="2"/>
  <c r="AB448" i="2"/>
  <c r="AA448" i="2"/>
  <c r="U448" i="2"/>
  <c r="T448" i="2"/>
  <c r="AD448" i="2"/>
  <c r="AC447" i="2"/>
  <c r="AB447" i="2"/>
  <c r="AA447" i="2"/>
  <c r="U447" i="2"/>
  <c r="T447" i="2"/>
  <c r="AC446" i="2"/>
  <c r="AB446" i="2"/>
  <c r="AA446" i="2"/>
  <c r="U446" i="2"/>
  <c r="AE446" i="2" s="1"/>
  <c r="T446" i="2"/>
  <c r="AC445" i="2"/>
  <c r="AB445" i="2"/>
  <c r="AA445" i="2"/>
  <c r="U445" i="2"/>
  <c r="AE445" i="2" s="1"/>
  <c r="T445" i="2"/>
  <c r="AC444" i="2"/>
  <c r="AB444" i="2"/>
  <c r="AA444" i="2"/>
  <c r="U444" i="2"/>
  <c r="X444" i="2" s="1"/>
  <c r="T444" i="2"/>
  <c r="AC443" i="2"/>
  <c r="AB443" i="2"/>
  <c r="AA443" i="2"/>
  <c r="U443" i="2"/>
  <c r="AE443" i="2" s="1"/>
  <c r="T443" i="2"/>
  <c r="AC442" i="2"/>
  <c r="AB442" i="2"/>
  <c r="AA442" i="2"/>
  <c r="U442" i="2"/>
  <c r="AE442" i="2" s="1"/>
  <c r="T442" i="2"/>
  <c r="AC441" i="2"/>
  <c r="AB441" i="2"/>
  <c r="AA441" i="2"/>
  <c r="U441" i="2"/>
  <c r="T441" i="2"/>
  <c r="AC440" i="2"/>
  <c r="AB440" i="2"/>
  <c r="AA440" i="2"/>
  <c r="U440" i="2"/>
  <c r="X440" i="2" s="1"/>
  <c r="Y440" i="2" s="1"/>
  <c r="Z440" i="2" s="1"/>
  <c r="T440" i="2"/>
  <c r="AC439" i="2"/>
  <c r="AB439" i="2"/>
  <c r="AA439" i="2"/>
  <c r="U439" i="2"/>
  <c r="T439" i="2"/>
  <c r="AC438" i="2"/>
  <c r="AB438" i="2"/>
  <c r="AA438" i="2"/>
  <c r="U438" i="2"/>
  <c r="T438" i="2"/>
  <c r="AC437" i="2"/>
  <c r="AB437" i="2"/>
  <c r="AA437" i="2"/>
  <c r="U437" i="2"/>
  <c r="AE437" i="2" s="1"/>
  <c r="T437" i="2"/>
  <c r="AC436" i="2"/>
  <c r="AB436" i="2"/>
  <c r="AA436" i="2"/>
  <c r="U436" i="2"/>
  <c r="X436" i="2" s="1"/>
  <c r="T436" i="2"/>
  <c r="AC435" i="2"/>
  <c r="AB435" i="2"/>
  <c r="AA435" i="2"/>
  <c r="U435" i="2"/>
  <c r="T435" i="2"/>
  <c r="AC434" i="2"/>
  <c r="AB434" i="2"/>
  <c r="AA434" i="2"/>
  <c r="U434" i="2"/>
  <c r="AE434" i="2" s="1"/>
  <c r="T434" i="2"/>
  <c r="AC433" i="2"/>
  <c r="AB433" i="2"/>
  <c r="AA433" i="2"/>
  <c r="U433" i="2"/>
  <c r="X433" i="2" s="1"/>
  <c r="T433" i="2"/>
  <c r="AC432" i="2"/>
  <c r="AB432" i="2"/>
  <c r="AA432" i="2"/>
  <c r="U432" i="2"/>
  <c r="T432" i="2"/>
  <c r="AC431" i="2"/>
  <c r="AB431" i="2"/>
  <c r="AA431" i="2"/>
  <c r="U431" i="2"/>
  <c r="AE431" i="2" s="1"/>
  <c r="T431" i="2"/>
  <c r="AC430" i="2"/>
  <c r="AB430" i="2"/>
  <c r="AA430" i="2"/>
  <c r="U430" i="2"/>
  <c r="AE430" i="2" s="1"/>
  <c r="T430" i="2"/>
  <c r="AC429" i="2"/>
  <c r="AB429" i="2"/>
  <c r="AA429" i="2"/>
  <c r="U429" i="2"/>
  <c r="AE429" i="2" s="1"/>
  <c r="T429" i="2"/>
  <c r="AC428" i="2"/>
  <c r="AB428" i="2"/>
  <c r="AA428" i="2"/>
  <c r="U428" i="2"/>
  <c r="X428" i="2" s="1"/>
  <c r="Y428" i="2" s="1"/>
  <c r="Z428" i="2" s="1"/>
  <c r="T428" i="2"/>
  <c r="AC427" i="2"/>
  <c r="AB427" i="2"/>
  <c r="AA427" i="2"/>
  <c r="U427" i="2"/>
  <c r="AE427" i="2" s="1"/>
  <c r="T427" i="2"/>
  <c r="AC426" i="2"/>
  <c r="AB426" i="2"/>
  <c r="AA426" i="2"/>
  <c r="U426" i="2"/>
  <c r="T426" i="2"/>
  <c r="AC425" i="2"/>
  <c r="AB425" i="2"/>
  <c r="AA425" i="2"/>
  <c r="U425" i="2"/>
  <c r="X425" i="2" s="1"/>
  <c r="T425" i="2"/>
  <c r="AC424" i="2"/>
  <c r="AB424" i="2"/>
  <c r="AA424" i="2"/>
  <c r="U424" i="2"/>
  <c r="X424" i="2" s="1"/>
  <c r="Y424" i="2" s="1"/>
  <c r="Z424" i="2" s="1"/>
  <c r="T424" i="2"/>
  <c r="AC423" i="2"/>
  <c r="AB423" i="2"/>
  <c r="AA423" i="2"/>
  <c r="U423" i="2"/>
  <c r="AE423" i="2" s="1"/>
  <c r="T423" i="2"/>
  <c r="AC422" i="2"/>
  <c r="AB422" i="2"/>
  <c r="AA422" i="2"/>
  <c r="U422" i="2"/>
  <c r="AE422" i="2" s="1"/>
  <c r="T422" i="2"/>
  <c r="AC421" i="2"/>
  <c r="AB421" i="2"/>
  <c r="AA421" i="2"/>
  <c r="U421" i="2"/>
  <c r="T421" i="2"/>
  <c r="AC420" i="2"/>
  <c r="AB420" i="2"/>
  <c r="AA420" i="2"/>
  <c r="U420" i="2"/>
  <c r="AE420" i="2" s="1"/>
  <c r="T420" i="2"/>
  <c r="AC419" i="2"/>
  <c r="AB419" i="2"/>
  <c r="AA419" i="2"/>
  <c r="U419" i="2"/>
  <c r="AE419" i="2" s="1"/>
  <c r="T419" i="2"/>
  <c r="AC418" i="2"/>
  <c r="AB418" i="2"/>
  <c r="AA418" i="2"/>
  <c r="U418" i="2"/>
  <c r="AE418" i="2" s="1"/>
  <c r="T418" i="2"/>
  <c r="AC417" i="2"/>
  <c r="AB417" i="2"/>
  <c r="AA417" i="2"/>
  <c r="U417" i="2"/>
  <c r="X417" i="2" s="1"/>
  <c r="T417" i="2"/>
  <c r="AC416" i="2"/>
  <c r="AB416" i="2"/>
  <c r="AA416" i="2"/>
  <c r="U416" i="2"/>
  <c r="T416" i="2"/>
  <c r="AC415" i="2"/>
  <c r="AB415" i="2"/>
  <c r="AA415" i="2"/>
  <c r="U415" i="2"/>
  <c r="AE415" i="2" s="1"/>
  <c r="T415" i="2"/>
  <c r="AC414" i="2"/>
  <c r="AB414" i="2"/>
  <c r="AA414" i="2"/>
  <c r="U414" i="2"/>
  <c r="AE414" i="2" s="1"/>
  <c r="T414" i="2"/>
  <c r="AC413" i="2"/>
  <c r="AB413" i="2"/>
  <c r="AA413" i="2"/>
  <c r="U413" i="2"/>
  <c r="AE413" i="2" s="1"/>
  <c r="T413" i="2"/>
  <c r="AC412" i="2"/>
  <c r="AB412" i="2"/>
  <c r="AA412" i="2"/>
  <c r="U412" i="2"/>
  <c r="T412" i="2"/>
  <c r="AC411" i="2"/>
  <c r="AB411" i="2"/>
  <c r="AA411" i="2"/>
  <c r="U411" i="2"/>
  <c r="T411" i="2"/>
  <c r="AC410" i="2"/>
  <c r="AB410" i="2"/>
  <c r="AA410" i="2"/>
  <c r="U410" i="2"/>
  <c r="X410" i="2" s="1"/>
  <c r="T410" i="2"/>
  <c r="AC409" i="2"/>
  <c r="AB409" i="2"/>
  <c r="AA409" i="2"/>
  <c r="U409" i="2"/>
  <c r="W409" i="2" s="1"/>
  <c r="T409" i="2"/>
  <c r="AC408" i="2"/>
  <c r="AB408" i="2"/>
  <c r="AA408" i="2"/>
  <c r="U408" i="2"/>
  <c r="T408" i="2"/>
  <c r="AC407" i="2"/>
  <c r="AB407" i="2"/>
  <c r="AA407" i="2"/>
  <c r="U407" i="2"/>
  <c r="T407" i="2"/>
  <c r="AC406" i="2"/>
  <c r="AB406" i="2"/>
  <c r="AA406" i="2"/>
  <c r="U406" i="2"/>
  <c r="V406" i="2" s="1"/>
  <c r="T406" i="2"/>
  <c r="AC405" i="2"/>
  <c r="AB405" i="2"/>
  <c r="AA405" i="2"/>
  <c r="U405" i="2"/>
  <c r="AE405" i="2" s="1"/>
  <c r="T405" i="2"/>
  <c r="AC404" i="2"/>
  <c r="AB404" i="2"/>
  <c r="AA404" i="2"/>
  <c r="U404" i="2"/>
  <c r="X404" i="2" s="1"/>
  <c r="Y404" i="2" s="1"/>
  <c r="Z404" i="2" s="1"/>
  <c r="T404" i="2"/>
  <c r="AC403" i="2"/>
  <c r="AB403" i="2"/>
  <c r="AA403" i="2"/>
  <c r="U403" i="2"/>
  <c r="AE403" i="2" s="1"/>
  <c r="T403" i="2"/>
  <c r="AC402" i="2"/>
  <c r="AB402" i="2"/>
  <c r="AA402" i="2"/>
  <c r="U402" i="2"/>
  <c r="V402" i="2" s="1"/>
  <c r="T402" i="2"/>
  <c r="AC401" i="2"/>
  <c r="AB401" i="2"/>
  <c r="AA401" i="2"/>
  <c r="U401" i="2"/>
  <c r="T401" i="2"/>
  <c r="AC400" i="2"/>
  <c r="AB400" i="2"/>
  <c r="AA400" i="2"/>
  <c r="U400" i="2"/>
  <c r="T400" i="2"/>
  <c r="AC399" i="2"/>
  <c r="AB399" i="2"/>
  <c r="AA399" i="2"/>
  <c r="U399" i="2"/>
  <c r="AE399" i="2" s="1"/>
  <c r="T399" i="2"/>
  <c r="AC398" i="2"/>
  <c r="AB398" i="2"/>
  <c r="AA398" i="2"/>
  <c r="U398" i="2"/>
  <c r="T398" i="2"/>
  <c r="AC397" i="2"/>
  <c r="AB397" i="2"/>
  <c r="AA397" i="2"/>
  <c r="U397" i="2"/>
  <c r="AE397" i="2" s="1"/>
  <c r="T397" i="2"/>
  <c r="AC396" i="2"/>
  <c r="AB396" i="2"/>
  <c r="AA396" i="2"/>
  <c r="U396" i="2"/>
  <c r="X396" i="2" s="1"/>
  <c r="Y396" i="2" s="1"/>
  <c r="Z396" i="2" s="1"/>
  <c r="T396" i="2"/>
  <c r="AC395" i="2"/>
  <c r="AB395" i="2"/>
  <c r="AA395" i="2"/>
  <c r="U395" i="2"/>
  <c r="AE395" i="2" s="1"/>
  <c r="T395" i="2"/>
  <c r="AC394" i="2"/>
  <c r="AB394" i="2"/>
  <c r="AA394" i="2"/>
  <c r="U394" i="2"/>
  <c r="X394" i="2" s="1"/>
  <c r="T394" i="2"/>
  <c r="AC393" i="2"/>
  <c r="AB393" i="2"/>
  <c r="AA393" i="2"/>
  <c r="U393" i="2"/>
  <c r="AE393" i="2" s="1"/>
  <c r="T393" i="2"/>
  <c r="AC392" i="2"/>
  <c r="AB392" i="2"/>
  <c r="AA392" i="2"/>
  <c r="U392" i="2"/>
  <c r="T392" i="2"/>
  <c r="AC391" i="2"/>
  <c r="AB391" i="2"/>
  <c r="AA391" i="2"/>
  <c r="U391" i="2"/>
  <c r="T391" i="2"/>
  <c r="AC390" i="2"/>
  <c r="AB390" i="2"/>
  <c r="AA390" i="2"/>
  <c r="U390" i="2"/>
  <c r="V390" i="2" s="1"/>
  <c r="T390" i="2"/>
  <c r="AC389" i="2"/>
  <c r="AB389" i="2"/>
  <c r="AA389" i="2"/>
  <c r="U389" i="2"/>
  <c r="AE389" i="2" s="1"/>
  <c r="T389" i="2"/>
  <c r="AC388" i="2"/>
  <c r="AB388" i="2"/>
  <c r="AA388" i="2"/>
  <c r="U388" i="2"/>
  <c r="X388" i="2" s="1"/>
  <c r="Y388" i="2" s="1"/>
  <c r="Z388" i="2" s="1"/>
  <c r="T388" i="2"/>
  <c r="AC387" i="2"/>
  <c r="AB387" i="2"/>
  <c r="AA387" i="2"/>
  <c r="U387" i="2"/>
  <c r="T387" i="2"/>
  <c r="AC386" i="2"/>
  <c r="AB386" i="2"/>
  <c r="AA386" i="2"/>
  <c r="U386" i="2"/>
  <c r="X386" i="2" s="1"/>
  <c r="T386" i="2"/>
  <c r="AC385" i="2"/>
  <c r="AB385" i="2"/>
  <c r="AA385" i="2"/>
  <c r="U385" i="2"/>
  <c r="W385" i="2" s="1"/>
  <c r="T385" i="2"/>
  <c r="AC384" i="2"/>
  <c r="AB384" i="2"/>
  <c r="AA384" i="2"/>
  <c r="U384" i="2"/>
  <c r="X384" i="2" s="1"/>
  <c r="Y384" i="2" s="1"/>
  <c r="Z384" i="2" s="1"/>
  <c r="T384" i="2"/>
  <c r="AC383" i="2"/>
  <c r="AB383" i="2"/>
  <c r="AA383" i="2"/>
  <c r="U383" i="2"/>
  <c r="AE383" i="2" s="1"/>
  <c r="T383" i="2"/>
  <c r="AC382" i="2"/>
  <c r="AB382" i="2"/>
  <c r="AA382" i="2"/>
  <c r="U382" i="2"/>
  <c r="T382" i="2"/>
  <c r="AC381" i="2"/>
  <c r="AB381" i="2"/>
  <c r="AA381" i="2"/>
  <c r="U381" i="2"/>
  <c r="AE381" i="2" s="1"/>
  <c r="T381" i="2"/>
  <c r="AC380" i="2"/>
  <c r="AB380" i="2"/>
  <c r="AA380" i="2"/>
  <c r="U380" i="2"/>
  <c r="X380" i="2" s="1"/>
  <c r="Y380" i="2" s="1"/>
  <c r="Z380" i="2" s="1"/>
  <c r="T380" i="2"/>
  <c r="AC379" i="2"/>
  <c r="AB379" i="2"/>
  <c r="AA379" i="2"/>
  <c r="U379" i="2"/>
  <c r="T379" i="2"/>
  <c r="AC378" i="2"/>
  <c r="AB378" i="2"/>
  <c r="AA378" i="2"/>
  <c r="U378" i="2"/>
  <c r="V378" i="2" s="1"/>
  <c r="T378" i="2"/>
  <c r="AC377" i="2"/>
  <c r="AB377" i="2"/>
  <c r="AA377" i="2"/>
  <c r="U377" i="2"/>
  <c r="AE377" i="2" s="1"/>
  <c r="T377" i="2"/>
  <c r="AC376" i="2"/>
  <c r="AB376" i="2"/>
  <c r="AA376" i="2"/>
  <c r="U376" i="2"/>
  <c r="X376" i="2" s="1"/>
  <c r="Y376" i="2" s="1"/>
  <c r="Z376" i="2" s="1"/>
  <c r="T376" i="2"/>
  <c r="AC375" i="2"/>
  <c r="AB375" i="2"/>
  <c r="AA375" i="2"/>
  <c r="U375" i="2"/>
  <c r="AE375" i="2" s="1"/>
  <c r="T375" i="2"/>
  <c r="AC374" i="2"/>
  <c r="AB374" i="2"/>
  <c r="AA374" i="2"/>
  <c r="U374" i="2"/>
  <c r="X374" i="2" s="1"/>
  <c r="T374" i="2"/>
  <c r="AC373" i="2"/>
  <c r="AB373" i="2"/>
  <c r="AA373" i="2"/>
  <c r="U373" i="2"/>
  <c r="T373" i="2"/>
  <c r="AC372" i="2"/>
  <c r="AB372" i="2"/>
  <c r="AA372" i="2"/>
  <c r="U372" i="2"/>
  <c r="X372" i="2" s="1"/>
  <c r="Y372" i="2" s="1"/>
  <c r="Z372" i="2" s="1"/>
  <c r="T372" i="2"/>
  <c r="AC371" i="2"/>
  <c r="AB371" i="2"/>
  <c r="AA371" i="2"/>
  <c r="U371" i="2"/>
  <c r="T371" i="2"/>
  <c r="AC370" i="2"/>
  <c r="AB370" i="2"/>
  <c r="AA370" i="2"/>
  <c r="U370" i="2"/>
  <c r="T370" i="2"/>
  <c r="AC369" i="2"/>
  <c r="AB369" i="2"/>
  <c r="AA369" i="2"/>
  <c r="U369" i="2"/>
  <c r="AE369" i="2" s="1"/>
  <c r="T369" i="2"/>
  <c r="AC368" i="2"/>
  <c r="AB368" i="2"/>
  <c r="AA368" i="2"/>
  <c r="U368" i="2"/>
  <c r="X368" i="2" s="1"/>
  <c r="Y368" i="2" s="1"/>
  <c r="Z368" i="2" s="1"/>
  <c r="T368" i="2"/>
  <c r="AC367" i="2"/>
  <c r="AB367" i="2"/>
  <c r="AA367" i="2"/>
  <c r="U367" i="2"/>
  <c r="AE367" i="2" s="1"/>
  <c r="T367" i="2"/>
  <c r="AC366" i="2"/>
  <c r="AB366" i="2"/>
  <c r="AA366" i="2"/>
  <c r="U366" i="2"/>
  <c r="V366" i="2" s="1"/>
  <c r="T366" i="2"/>
  <c r="AC365" i="2"/>
  <c r="AB365" i="2"/>
  <c r="AA365" i="2"/>
  <c r="U365" i="2"/>
  <c r="X365" i="2" s="1"/>
  <c r="Y365" i="2" s="1"/>
  <c r="Z365" i="2" s="1"/>
  <c r="T365" i="2"/>
  <c r="AC364" i="2"/>
  <c r="AB364" i="2"/>
  <c r="AA364" i="2"/>
  <c r="U364" i="2"/>
  <c r="X364" i="2" s="1"/>
  <c r="Y364" i="2" s="1"/>
  <c r="Z364" i="2" s="1"/>
  <c r="T364" i="2"/>
  <c r="AC363" i="2"/>
  <c r="AB363" i="2"/>
  <c r="AA363" i="2"/>
  <c r="U363" i="2"/>
  <c r="T363" i="2"/>
  <c r="AC362" i="2"/>
  <c r="AB362" i="2"/>
  <c r="AA362" i="2"/>
  <c r="U362" i="2"/>
  <c r="T362" i="2"/>
  <c r="AC361" i="2"/>
  <c r="AB361" i="2"/>
  <c r="AA361" i="2"/>
  <c r="U361" i="2"/>
  <c r="X361" i="2" s="1"/>
  <c r="Y361" i="2" s="1"/>
  <c r="Z361" i="2" s="1"/>
  <c r="T361" i="2"/>
  <c r="AC360" i="2"/>
  <c r="AB360" i="2"/>
  <c r="AA360" i="2"/>
  <c r="U360" i="2"/>
  <c r="X360" i="2" s="1"/>
  <c r="T360" i="2"/>
  <c r="AC359" i="2"/>
  <c r="AB359" i="2"/>
  <c r="AA359" i="2"/>
  <c r="U359" i="2"/>
  <c r="AE359" i="2" s="1"/>
  <c r="T359" i="2"/>
  <c r="AC358" i="2"/>
  <c r="AB358" i="2"/>
  <c r="AA358" i="2"/>
  <c r="U358" i="2"/>
  <c r="T358" i="2"/>
  <c r="AC357" i="2"/>
  <c r="AB357" i="2"/>
  <c r="AA357" i="2"/>
  <c r="U357" i="2"/>
  <c r="T357" i="2"/>
  <c r="AC356" i="2"/>
  <c r="AB356" i="2"/>
  <c r="AA356" i="2"/>
  <c r="U356" i="2"/>
  <c r="X356" i="2" s="1"/>
  <c r="Y356" i="2" s="1"/>
  <c r="Z356" i="2" s="1"/>
  <c r="T356" i="2"/>
  <c r="AC355" i="2"/>
  <c r="AB355" i="2"/>
  <c r="AA355" i="2"/>
  <c r="U355" i="2"/>
  <c r="AE355" i="2" s="1"/>
  <c r="T355" i="2"/>
  <c r="AC354" i="2"/>
  <c r="AB354" i="2"/>
  <c r="AA354" i="2"/>
  <c r="U354" i="2"/>
  <c r="V354" i="2" s="1"/>
  <c r="T354" i="2"/>
  <c r="AC353" i="2"/>
  <c r="AB353" i="2"/>
  <c r="AA353" i="2"/>
  <c r="U353" i="2"/>
  <c r="AE353" i="2" s="1"/>
  <c r="T353" i="2"/>
  <c r="AC352" i="2"/>
  <c r="AB352" i="2"/>
  <c r="AA352" i="2"/>
  <c r="U352" i="2"/>
  <c r="X352" i="2" s="1"/>
  <c r="Y352" i="2" s="1"/>
  <c r="Z352" i="2" s="1"/>
  <c r="T352" i="2"/>
  <c r="AC351" i="2"/>
  <c r="AB351" i="2"/>
  <c r="AA351" i="2"/>
  <c r="U351" i="2"/>
  <c r="AE351" i="2" s="1"/>
  <c r="T351" i="2"/>
  <c r="AC350" i="2"/>
  <c r="AB350" i="2"/>
  <c r="AA350" i="2"/>
  <c r="U350" i="2"/>
  <c r="T350" i="2"/>
  <c r="AC349" i="2"/>
  <c r="AB349" i="2"/>
  <c r="AA349" i="2"/>
  <c r="U349" i="2"/>
  <c r="T349" i="2"/>
  <c r="AC348" i="2"/>
  <c r="AB348" i="2"/>
  <c r="AA348" i="2"/>
  <c r="U348" i="2"/>
  <c r="X348" i="2" s="1"/>
  <c r="T348" i="2"/>
  <c r="AC347" i="2"/>
  <c r="AB347" i="2"/>
  <c r="AA347" i="2"/>
  <c r="U347" i="2"/>
  <c r="AE347" i="2" s="1"/>
  <c r="T347" i="2"/>
  <c r="AC346" i="2"/>
  <c r="AB346" i="2"/>
  <c r="AA346" i="2"/>
  <c r="U346" i="2"/>
  <c r="T346" i="2"/>
  <c r="AC345" i="2"/>
  <c r="AB345" i="2"/>
  <c r="AA345" i="2"/>
  <c r="U345" i="2"/>
  <c r="T345" i="2"/>
  <c r="AC344" i="2"/>
  <c r="AB344" i="2"/>
  <c r="AA344" i="2"/>
  <c r="U344" i="2"/>
  <c r="X344" i="2" s="1"/>
  <c r="Y344" i="2" s="1"/>
  <c r="Z344" i="2" s="1"/>
  <c r="T344" i="2"/>
  <c r="AC343" i="2"/>
  <c r="AB343" i="2"/>
  <c r="AA343" i="2"/>
  <c r="U343" i="2"/>
  <c r="T343" i="2"/>
  <c r="AC342" i="2"/>
  <c r="AB342" i="2"/>
  <c r="AA342" i="2"/>
  <c r="U342" i="2"/>
  <c r="V342" i="2" s="1"/>
  <c r="T342" i="2"/>
  <c r="AC341" i="2"/>
  <c r="AB341" i="2"/>
  <c r="AA341" i="2"/>
  <c r="U341" i="2"/>
  <c r="AE341" i="2" s="1"/>
  <c r="T341" i="2"/>
  <c r="AC340" i="2"/>
  <c r="AB340" i="2"/>
  <c r="AA340" i="2"/>
  <c r="U340" i="2"/>
  <c r="X340" i="2" s="1"/>
  <c r="Y340" i="2" s="1"/>
  <c r="Z340" i="2" s="1"/>
  <c r="T340" i="2"/>
  <c r="AC339" i="2"/>
  <c r="AB339" i="2"/>
  <c r="AA339" i="2"/>
  <c r="U339" i="2"/>
  <c r="AE339" i="2" s="1"/>
  <c r="T339" i="2"/>
  <c r="AC338" i="2"/>
  <c r="AB338" i="2"/>
  <c r="AA338" i="2"/>
  <c r="U338" i="2"/>
  <c r="T338" i="2"/>
  <c r="AC337" i="2"/>
  <c r="AB337" i="2"/>
  <c r="AA337" i="2"/>
  <c r="U337" i="2"/>
  <c r="AE337" i="2" s="1"/>
  <c r="T337" i="2"/>
  <c r="AC336" i="2"/>
  <c r="AB336" i="2"/>
  <c r="AA336" i="2"/>
  <c r="U336" i="2"/>
  <c r="X336" i="2" s="1"/>
  <c r="T336" i="2"/>
  <c r="AC335" i="2"/>
  <c r="AB335" i="2"/>
  <c r="AA335" i="2"/>
  <c r="U335" i="2"/>
  <c r="AE335" i="2" s="1"/>
  <c r="T335" i="2"/>
  <c r="AC334" i="2"/>
  <c r="AB334" i="2"/>
  <c r="AA334" i="2"/>
  <c r="U334" i="2"/>
  <c r="V334" i="2" s="1"/>
  <c r="T334" i="2"/>
  <c r="AC333" i="2"/>
  <c r="AB333" i="2"/>
  <c r="AA333" i="2"/>
  <c r="U333" i="2"/>
  <c r="W333" i="2" s="1"/>
  <c r="T333" i="2"/>
  <c r="AC332" i="2"/>
  <c r="AB332" i="2"/>
  <c r="AA332" i="2"/>
  <c r="U332" i="2"/>
  <c r="X332" i="2" s="1"/>
  <c r="Y332" i="2" s="1"/>
  <c r="Z332" i="2" s="1"/>
  <c r="T332" i="2"/>
  <c r="AC331" i="2"/>
  <c r="AB331" i="2"/>
  <c r="AA331" i="2"/>
  <c r="U331" i="2"/>
  <c r="T331" i="2"/>
  <c r="AC330" i="2"/>
  <c r="AB330" i="2"/>
  <c r="AA330" i="2"/>
  <c r="U330" i="2"/>
  <c r="X330" i="2" s="1"/>
  <c r="T330" i="2"/>
  <c r="AC329" i="2"/>
  <c r="AB329" i="2"/>
  <c r="AA329" i="2"/>
  <c r="U329" i="2"/>
  <c r="AE329" i="2" s="1"/>
  <c r="T329" i="2"/>
  <c r="AC328" i="2"/>
  <c r="AB328" i="2"/>
  <c r="AA328" i="2"/>
  <c r="U328" i="2"/>
  <c r="X328" i="2" s="1"/>
  <c r="T328" i="2"/>
  <c r="AC327" i="2"/>
  <c r="AB327" i="2"/>
  <c r="AA327" i="2"/>
  <c r="U327" i="2"/>
  <c r="AE327" i="2" s="1"/>
  <c r="T327" i="2"/>
  <c r="AC326" i="2"/>
  <c r="AB326" i="2"/>
  <c r="AA326" i="2"/>
  <c r="U326" i="2"/>
  <c r="X326" i="2" s="1"/>
  <c r="T326" i="2"/>
  <c r="AC325" i="2"/>
  <c r="AB325" i="2"/>
  <c r="AA325" i="2"/>
  <c r="U325" i="2"/>
  <c r="AE325" i="2" s="1"/>
  <c r="T325" i="2"/>
  <c r="AC324" i="2"/>
  <c r="AB324" i="2"/>
  <c r="AA324" i="2"/>
  <c r="U324" i="2"/>
  <c r="X324" i="2" s="1"/>
  <c r="Y324" i="2" s="1"/>
  <c r="Z324" i="2" s="1"/>
  <c r="T324" i="2"/>
  <c r="AC323" i="2"/>
  <c r="AB323" i="2"/>
  <c r="AA323" i="2"/>
  <c r="U323" i="2"/>
  <c r="T323" i="2"/>
  <c r="AC322" i="2"/>
  <c r="AB322" i="2"/>
  <c r="AA322" i="2"/>
  <c r="U322" i="2"/>
  <c r="T322" i="2"/>
  <c r="AC321" i="2"/>
  <c r="AB321" i="2"/>
  <c r="AA321" i="2"/>
  <c r="U321" i="2"/>
  <c r="AE321" i="2" s="1"/>
  <c r="T321" i="2"/>
  <c r="AC320" i="2"/>
  <c r="AB320" i="2"/>
  <c r="AA320" i="2"/>
  <c r="U320" i="2"/>
  <c r="X320" i="2" s="1"/>
  <c r="Y320" i="2" s="1"/>
  <c r="Z320" i="2" s="1"/>
  <c r="T320" i="2"/>
  <c r="AC319" i="2"/>
  <c r="AB319" i="2"/>
  <c r="AA319" i="2"/>
  <c r="U319" i="2"/>
  <c r="AE319" i="2" s="1"/>
  <c r="T319" i="2"/>
  <c r="AC318" i="2"/>
  <c r="AB318" i="2"/>
  <c r="AA318" i="2"/>
  <c r="U318" i="2"/>
  <c r="V318" i="2" s="1"/>
  <c r="T318" i="2"/>
  <c r="AC317" i="2"/>
  <c r="AB317" i="2"/>
  <c r="AA317" i="2"/>
  <c r="U317" i="2"/>
  <c r="AE317" i="2" s="1"/>
  <c r="T317" i="2"/>
  <c r="AC316" i="2"/>
  <c r="AB316" i="2"/>
  <c r="AA316" i="2"/>
  <c r="U316" i="2"/>
  <c r="X316" i="2" s="1"/>
  <c r="Y316" i="2" s="1"/>
  <c r="Z316" i="2" s="1"/>
  <c r="T316" i="2"/>
  <c r="AC315" i="2"/>
  <c r="AB315" i="2"/>
  <c r="AA315" i="2"/>
  <c r="U315" i="2"/>
  <c r="T315" i="2"/>
  <c r="AC314" i="2"/>
  <c r="AB314" i="2"/>
  <c r="AA314" i="2"/>
  <c r="U314" i="2"/>
  <c r="X314" i="2" s="1"/>
  <c r="T314" i="2"/>
  <c r="AC313" i="2"/>
  <c r="AB313" i="2"/>
  <c r="AA313" i="2"/>
  <c r="U313" i="2"/>
  <c r="AE313" i="2" s="1"/>
  <c r="T313" i="2"/>
  <c r="AC312" i="2"/>
  <c r="AB312" i="2"/>
  <c r="AA312" i="2"/>
  <c r="U312" i="2"/>
  <c r="X312" i="2" s="1"/>
  <c r="Y312" i="2" s="1"/>
  <c r="Z312" i="2" s="1"/>
  <c r="T312" i="2"/>
  <c r="AC311" i="2"/>
  <c r="AB311" i="2"/>
  <c r="AA311" i="2"/>
  <c r="U311" i="2"/>
  <c r="AE311" i="2" s="1"/>
  <c r="T311" i="2"/>
  <c r="AC310" i="2"/>
  <c r="AB310" i="2"/>
  <c r="AA310" i="2"/>
  <c r="U310" i="2"/>
  <c r="X310" i="2" s="1"/>
  <c r="T310" i="2"/>
  <c r="AC309" i="2"/>
  <c r="AB309" i="2"/>
  <c r="AA309" i="2"/>
  <c r="U309" i="2"/>
  <c r="T309" i="2"/>
  <c r="AC308" i="2"/>
  <c r="AB308" i="2"/>
  <c r="AA308" i="2"/>
  <c r="U308" i="2"/>
  <c r="X308" i="2" s="1"/>
  <c r="T308" i="2"/>
  <c r="AC307" i="2"/>
  <c r="AB307" i="2"/>
  <c r="AA307" i="2"/>
  <c r="U307" i="2"/>
  <c r="T307" i="2"/>
  <c r="AC306" i="2"/>
  <c r="AB306" i="2"/>
  <c r="AA306" i="2"/>
  <c r="U306" i="2"/>
  <c r="V306" i="2" s="1"/>
  <c r="T306" i="2"/>
  <c r="AC305" i="2"/>
  <c r="AB305" i="2"/>
  <c r="AA305" i="2"/>
  <c r="U305" i="2"/>
  <c r="AE305" i="2" s="1"/>
  <c r="T305" i="2"/>
  <c r="AC304" i="2"/>
  <c r="AB304" i="2"/>
  <c r="AA304" i="2"/>
  <c r="U304" i="2"/>
  <c r="X304" i="2" s="1"/>
  <c r="T304" i="2"/>
  <c r="AD304" i="2"/>
  <c r="AC303" i="2"/>
  <c r="AB303" i="2"/>
  <c r="AA303" i="2"/>
  <c r="U303" i="2"/>
  <c r="T303" i="2"/>
  <c r="AC302" i="2"/>
  <c r="AB302" i="2"/>
  <c r="AA302" i="2"/>
  <c r="U302" i="2"/>
  <c r="X302" i="2" s="1"/>
  <c r="T302" i="2"/>
  <c r="AC301" i="2"/>
  <c r="AB301" i="2"/>
  <c r="AA301" i="2"/>
  <c r="U301" i="2"/>
  <c r="AE301" i="2" s="1"/>
  <c r="T301" i="2"/>
  <c r="AC300" i="2"/>
  <c r="AB300" i="2"/>
  <c r="AA300" i="2"/>
  <c r="U300" i="2"/>
  <c r="X300" i="2" s="1"/>
  <c r="T300" i="2"/>
  <c r="AC299" i="2"/>
  <c r="AB299" i="2"/>
  <c r="AA299" i="2"/>
  <c r="U299" i="2"/>
  <c r="AE299" i="2" s="1"/>
  <c r="T299" i="2"/>
  <c r="AD299" i="2" s="1"/>
  <c r="AC298" i="2"/>
  <c r="AB298" i="2"/>
  <c r="AA298" i="2"/>
  <c r="U298" i="2"/>
  <c r="AE298" i="2" s="1"/>
  <c r="T298" i="2"/>
  <c r="AC297" i="2"/>
  <c r="AB297" i="2"/>
  <c r="AA297" i="2"/>
  <c r="U297" i="2"/>
  <c r="AE297" i="2" s="1"/>
  <c r="T297" i="2"/>
  <c r="AC296" i="2"/>
  <c r="AB296" i="2"/>
  <c r="AA296" i="2"/>
  <c r="U296" i="2"/>
  <c r="T296" i="2"/>
  <c r="AD296" i="2" s="1"/>
  <c r="AC295" i="2"/>
  <c r="AB295" i="2"/>
  <c r="AA295" i="2"/>
  <c r="U295" i="2"/>
  <c r="X295" i="2" s="1"/>
  <c r="T295" i="2"/>
  <c r="AC294" i="2"/>
  <c r="AB294" i="2"/>
  <c r="AA294" i="2"/>
  <c r="U294" i="2"/>
  <c r="X294" i="2" s="1"/>
  <c r="T294" i="2"/>
  <c r="AC293" i="2"/>
  <c r="AB293" i="2"/>
  <c r="AA293" i="2"/>
  <c r="W293" i="2"/>
  <c r="U293" i="2"/>
  <c r="T293" i="2"/>
  <c r="AC292" i="2"/>
  <c r="AB292" i="2"/>
  <c r="AA292" i="2"/>
  <c r="U292" i="2"/>
  <c r="T292" i="2"/>
  <c r="AC291" i="2"/>
  <c r="AB291" i="2"/>
  <c r="AA291" i="2"/>
  <c r="U291" i="2"/>
  <c r="X291" i="2" s="1"/>
  <c r="T291" i="2"/>
  <c r="AC290" i="2"/>
  <c r="AB290" i="2"/>
  <c r="AA290" i="2"/>
  <c r="U290" i="2"/>
  <c r="T290" i="2"/>
  <c r="AC289" i="2"/>
  <c r="AB289" i="2"/>
  <c r="AA289" i="2"/>
  <c r="U289" i="2"/>
  <c r="AE289" i="2" s="1"/>
  <c r="T289" i="2"/>
  <c r="AC288" i="2"/>
  <c r="AB288" i="2"/>
  <c r="AA288" i="2"/>
  <c r="U288" i="2"/>
  <c r="T288" i="2"/>
  <c r="AC287" i="2"/>
  <c r="AB287" i="2"/>
  <c r="AA287" i="2"/>
  <c r="U287" i="2"/>
  <c r="AE287" i="2" s="1"/>
  <c r="T287" i="2"/>
  <c r="AC286" i="2"/>
  <c r="AB286" i="2"/>
  <c r="AA286" i="2"/>
  <c r="U286" i="2"/>
  <c r="T286" i="2"/>
  <c r="AC285" i="2"/>
  <c r="AB285" i="2"/>
  <c r="AA285" i="2"/>
  <c r="U285" i="2"/>
  <c r="AE285" i="2" s="1"/>
  <c r="T285" i="2"/>
  <c r="AC284" i="2"/>
  <c r="AB284" i="2"/>
  <c r="AA284" i="2"/>
  <c r="U284" i="2"/>
  <c r="T284" i="2"/>
  <c r="AC283" i="2"/>
  <c r="AB283" i="2"/>
  <c r="AA283" i="2"/>
  <c r="U283" i="2"/>
  <c r="T283" i="2"/>
  <c r="AC282" i="2"/>
  <c r="AB282" i="2"/>
  <c r="AA282" i="2"/>
  <c r="U282" i="2"/>
  <c r="AE282" i="2" s="1"/>
  <c r="T282" i="2"/>
  <c r="AC281" i="2"/>
  <c r="AB281" i="2"/>
  <c r="AA281" i="2"/>
  <c r="U281" i="2"/>
  <c r="AE281" i="2" s="1"/>
  <c r="T281" i="2"/>
  <c r="AC280" i="2"/>
  <c r="AB280" i="2"/>
  <c r="AA280" i="2"/>
  <c r="U280" i="2"/>
  <c r="T280" i="2"/>
  <c r="AC279" i="2"/>
  <c r="AB279" i="2"/>
  <c r="AA279" i="2"/>
  <c r="U279" i="2"/>
  <c r="AE279" i="2" s="1"/>
  <c r="T279" i="2"/>
  <c r="AD279" i="2" s="1"/>
  <c r="AC278" i="2"/>
  <c r="AB278" i="2"/>
  <c r="AA278" i="2"/>
  <c r="U278" i="2"/>
  <c r="AE278" i="2" s="1"/>
  <c r="T278" i="2"/>
  <c r="AC277" i="2"/>
  <c r="AB277" i="2"/>
  <c r="AA277" i="2"/>
  <c r="U277" i="2"/>
  <c r="AE277" i="2" s="1"/>
  <c r="T277" i="2"/>
  <c r="AC276" i="2"/>
  <c r="AB276" i="2"/>
  <c r="AA276" i="2"/>
  <c r="U276" i="2"/>
  <c r="T276" i="2"/>
  <c r="AC275" i="2"/>
  <c r="AB275" i="2"/>
  <c r="AA275" i="2"/>
  <c r="U275" i="2"/>
  <c r="X275" i="2" s="1"/>
  <c r="T275" i="2"/>
  <c r="AC274" i="2"/>
  <c r="AB274" i="2"/>
  <c r="AA274" i="2"/>
  <c r="U274" i="2"/>
  <c r="AE274" i="2" s="1"/>
  <c r="T274" i="2"/>
  <c r="AC273" i="2"/>
  <c r="AB273" i="2"/>
  <c r="AA273" i="2"/>
  <c r="U273" i="2"/>
  <c r="AE273" i="2" s="1"/>
  <c r="T273" i="2"/>
  <c r="AC272" i="2"/>
  <c r="AB272" i="2"/>
  <c r="AA272" i="2"/>
  <c r="U272" i="2"/>
  <c r="T272" i="2"/>
  <c r="AC271" i="2"/>
  <c r="AB271" i="2"/>
  <c r="AA271" i="2"/>
  <c r="U271" i="2"/>
  <c r="AE271" i="2" s="1"/>
  <c r="T271" i="2"/>
  <c r="AC270" i="2"/>
  <c r="AB270" i="2"/>
  <c r="AA270" i="2"/>
  <c r="U270" i="2"/>
  <c r="X270" i="2" s="1"/>
  <c r="Y270" i="2" s="1"/>
  <c r="T270" i="2"/>
  <c r="AC269" i="2"/>
  <c r="AB269" i="2"/>
  <c r="AA269" i="2"/>
  <c r="U269" i="2"/>
  <c r="AE269" i="2" s="1"/>
  <c r="T269" i="2"/>
  <c r="AC268" i="2"/>
  <c r="AB268" i="2"/>
  <c r="AA268" i="2"/>
  <c r="U268" i="2"/>
  <c r="T268" i="2"/>
  <c r="AC267" i="2"/>
  <c r="AB267" i="2"/>
  <c r="AA267" i="2"/>
  <c r="U267" i="2"/>
  <c r="T267" i="2"/>
  <c r="AC266" i="2"/>
  <c r="AB266" i="2"/>
  <c r="AA266" i="2"/>
  <c r="U266" i="2"/>
  <c r="V266" i="2" s="1"/>
  <c r="T266" i="2"/>
  <c r="AC265" i="2"/>
  <c r="AB265" i="2"/>
  <c r="AA265" i="2"/>
  <c r="U265" i="2"/>
  <c r="AE265" i="2" s="1"/>
  <c r="T265" i="2"/>
  <c r="AC264" i="2"/>
  <c r="AB264" i="2"/>
  <c r="AA264" i="2"/>
  <c r="U264" i="2"/>
  <c r="Y264" i="2" s="1"/>
  <c r="T264" i="2"/>
  <c r="AC263" i="2"/>
  <c r="AB263" i="2"/>
  <c r="AA263" i="2"/>
  <c r="U263" i="2"/>
  <c r="V263" i="2" s="1"/>
  <c r="T263" i="2"/>
  <c r="AC262" i="2"/>
  <c r="AB262" i="2"/>
  <c r="AA262" i="2"/>
  <c r="U262" i="2"/>
  <c r="AE262" i="2" s="1"/>
  <c r="T262" i="2"/>
  <c r="AC261" i="2"/>
  <c r="AB261" i="2"/>
  <c r="AA261" i="2"/>
  <c r="U261" i="2"/>
  <c r="AE261" i="2" s="1"/>
  <c r="T261" i="2"/>
  <c r="AC260" i="2"/>
  <c r="AB260" i="2"/>
  <c r="AA260" i="2"/>
  <c r="U260" i="2"/>
  <c r="AE260" i="2" s="1"/>
  <c r="T260" i="2"/>
  <c r="AC259" i="2"/>
  <c r="AB259" i="2"/>
  <c r="AA259" i="2"/>
  <c r="U259" i="2"/>
  <c r="X259" i="2" s="1"/>
  <c r="T259" i="2"/>
  <c r="AC258" i="2"/>
  <c r="AB258" i="2"/>
  <c r="AA258" i="2"/>
  <c r="U258" i="2"/>
  <c r="AE258" i="2" s="1"/>
  <c r="T258" i="2"/>
  <c r="AC257" i="2"/>
  <c r="AB257" i="2"/>
  <c r="AA257" i="2"/>
  <c r="U257" i="2"/>
  <c r="AE257" i="2" s="1"/>
  <c r="T257" i="2"/>
  <c r="AC256" i="2"/>
  <c r="AB256" i="2"/>
  <c r="AA256" i="2"/>
  <c r="U256" i="2"/>
  <c r="AE256" i="2" s="1"/>
  <c r="T256" i="2"/>
  <c r="AC255" i="2"/>
  <c r="AB255" i="2"/>
  <c r="AA255" i="2"/>
  <c r="U255" i="2"/>
  <c r="AE255" i="2" s="1"/>
  <c r="T255" i="2"/>
  <c r="AC254" i="2"/>
  <c r="AB254" i="2"/>
  <c r="AA254" i="2"/>
  <c r="U254" i="2"/>
  <c r="AE254" i="2" s="1"/>
  <c r="T254" i="2"/>
  <c r="AC253" i="2"/>
  <c r="AB253" i="2"/>
  <c r="AA253" i="2"/>
  <c r="U253" i="2"/>
  <c r="V253" i="2" s="1"/>
  <c r="T253" i="2"/>
  <c r="AC252" i="2"/>
  <c r="AB252" i="2"/>
  <c r="AA252" i="2"/>
  <c r="U252" i="2"/>
  <c r="X252" i="2" s="1"/>
  <c r="Y252" i="2" s="1"/>
  <c r="Z252" i="2" s="1"/>
  <c r="T252" i="2"/>
  <c r="AC251" i="2"/>
  <c r="AB251" i="2"/>
  <c r="AA251" i="2"/>
  <c r="U251" i="2"/>
  <c r="X251" i="2" s="1"/>
  <c r="T251" i="2"/>
  <c r="AC250" i="2"/>
  <c r="AB250" i="2"/>
  <c r="AA250" i="2"/>
  <c r="U250" i="2"/>
  <c r="W250" i="2" s="1"/>
  <c r="T250" i="2"/>
  <c r="AC249" i="2"/>
  <c r="AB249" i="2"/>
  <c r="AA249" i="2"/>
  <c r="U249" i="2"/>
  <c r="AE249" i="2" s="1"/>
  <c r="T249" i="2"/>
  <c r="AC248" i="2"/>
  <c r="AB248" i="2"/>
  <c r="AA248" i="2"/>
  <c r="U248" i="2"/>
  <c r="AE248" i="2" s="1"/>
  <c r="T248" i="2"/>
  <c r="AC247" i="2"/>
  <c r="AB247" i="2"/>
  <c r="AA247" i="2"/>
  <c r="U247" i="2"/>
  <c r="AE247" i="2" s="1"/>
  <c r="T247" i="2"/>
  <c r="AC246" i="2"/>
  <c r="AB246" i="2"/>
  <c r="AA246" i="2"/>
  <c r="U246" i="2"/>
  <c r="AE246" i="2" s="1"/>
  <c r="T246" i="2"/>
  <c r="AC245" i="2"/>
  <c r="AB245" i="2"/>
  <c r="AA245" i="2"/>
  <c r="U245" i="2"/>
  <c r="AE245" i="2" s="1"/>
  <c r="T245" i="2"/>
  <c r="AC244" i="2"/>
  <c r="AB244" i="2"/>
  <c r="AA244" i="2"/>
  <c r="U244" i="2"/>
  <c r="T244" i="2"/>
  <c r="AD244" i="2"/>
  <c r="AC243" i="2"/>
  <c r="AB243" i="2"/>
  <c r="AA243" i="2"/>
  <c r="U243" i="2"/>
  <c r="T243" i="2"/>
  <c r="AC242" i="2"/>
  <c r="AB242" i="2"/>
  <c r="AA242" i="2"/>
  <c r="U242" i="2"/>
  <c r="AE242" i="2" s="1"/>
  <c r="T242" i="2"/>
  <c r="AC241" i="2"/>
  <c r="AB241" i="2"/>
  <c r="AA241" i="2"/>
  <c r="U241" i="2"/>
  <c r="AE241" i="2" s="1"/>
  <c r="T241" i="2"/>
  <c r="AC240" i="2"/>
  <c r="AB240" i="2"/>
  <c r="AA240" i="2"/>
  <c r="U240" i="2"/>
  <c r="X240" i="2" s="1"/>
  <c r="T240" i="2"/>
  <c r="AC239" i="2"/>
  <c r="AB239" i="2"/>
  <c r="AA239" i="2"/>
  <c r="U239" i="2"/>
  <c r="V239" i="2" s="1"/>
  <c r="T239" i="2"/>
  <c r="AC238" i="2"/>
  <c r="AB238" i="2"/>
  <c r="AA238" i="2"/>
  <c r="U238" i="2"/>
  <c r="AE238" i="2" s="1"/>
  <c r="T238" i="2"/>
  <c r="AC237" i="2"/>
  <c r="AB237" i="2"/>
  <c r="AA237" i="2"/>
  <c r="U237" i="2"/>
  <c r="AE237" i="2" s="1"/>
  <c r="T237" i="2"/>
  <c r="AC236" i="2"/>
  <c r="AB236" i="2"/>
  <c r="AA236" i="2"/>
  <c r="U236" i="2"/>
  <c r="W236" i="2" s="1"/>
  <c r="T236" i="2"/>
  <c r="AC235" i="2"/>
  <c r="AB235" i="2"/>
  <c r="AA235" i="2"/>
  <c r="U235" i="2"/>
  <c r="T235" i="2"/>
  <c r="AC234" i="2"/>
  <c r="AB234" i="2"/>
  <c r="AA234" i="2"/>
  <c r="U234" i="2"/>
  <c r="V234" i="2" s="1"/>
  <c r="T234" i="2"/>
  <c r="AC233" i="2"/>
  <c r="AB233" i="2"/>
  <c r="AA233" i="2"/>
  <c r="U233" i="2"/>
  <c r="W233" i="2" s="1"/>
  <c r="T233" i="2"/>
  <c r="AC232" i="2"/>
  <c r="AB232" i="2"/>
  <c r="AA232" i="2"/>
  <c r="U232" i="2"/>
  <c r="W232" i="2" s="1"/>
  <c r="T232" i="2"/>
  <c r="AC231" i="2"/>
  <c r="AB231" i="2"/>
  <c r="AA231" i="2"/>
  <c r="U231" i="2"/>
  <c r="X231" i="2" s="1"/>
  <c r="T231" i="2"/>
  <c r="AC230" i="2"/>
  <c r="AB230" i="2"/>
  <c r="AA230" i="2"/>
  <c r="U230" i="2"/>
  <c r="AE230" i="2" s="1"/>
  <c r="T230" i="2"/>
  <c r="AC229" i="2"/>
  <c r="AB229" i="2"/>
  <c r="AA229" i="2"/>
  <c r="U229" i="2"/>
  <c r="V229" i="2" s="1"/>
  <c r="T229" i="2"/>
  <c r="AC228" i="2"/>
  <c r="AB228" i="2"/>
  <c r="AA228" i="2"/>
  <c r="U228" i="2"/>
  <c r="V228" i="2" s="1"/>
  <c r="T228" i="2"/>
  <c r="AC227" i="2"/>
  <c r="AB227" i="2"/>
  <c r="AA227" i="2"/>
  <c r="U227" i="2"/>
  <c r="W227" i="2" s="1"/>
  <c r="T227" i="2"/>
  <c r="AC226" i="2"/>
  <c r="AB226" i="2"/>
  <c r="AA226" i="2"/>
  <c r="U226" i="2"/>
  <c r="AE226" i="2" s="1"/>
  <c r="T226" i="2"/>
  <c r="AC225" i="2"/>
  <c r="AB225" i="2"/>
  <c r="AA225" i="2"/>
  <c r="U225" i="2"/>
  <c r="AE225" i="2" s="1"/>
  <c r="T225" i="2"/>
  <c r="AC224" i="2"/>
  <c r="AB224" i="2"/>
  <c r="AA224" i="2"/>
  <c r="U224" i="2"/>
  <c r="AE224" i="2" s="1"/>
  <c r="T224" i="2"/>
  <c r="AC223" i="2"/>
  <c r="AB223" i="2"/>
  <c r="AA223" i="2"/>
  <c r="U223" i="2"/>
  <c r="W223" i="2" s="1"/>
  <c r="T223" i="2"/>
  <c r="AC222" i="2"/>
  <c r="AB222" i="2"/>
  <c r="AA222" i="2"/>
  <c r="U222" i="2"/>
  <c r="AE222" i="2" s="1"/>
  <c r="T222" i="2"/>
  <c r="AC221" i="2"/>
  <c r="AB221" i="2"/>
  <c r="AA221" i="2"/>
  <c r="U221" i="2"/>
  <c r="AE221" i="2" s="1"/>
  <c r="T221" i="2"/>
  <c r="AD221" i="2" s="1"/>
  <c r="AC220" i="2"/>
  <c r="AB220" i="2"/>
  <c r="AA220" i="2"/>
  <c r="U220" i="2"/>
  <c r="T220" i="2"/>
  <c r="AC219" i="2"/>
  <c r="AB219" i="2"/>
  <c r="AA219" i="2"/>
  <c r="U219" i="2"/>
  <c r="W219" i="2" s="1"/>
  <c r="T219" i="2"/>
  <c r="AC218" i="2"/>
  <c r="AB218" i="2"/>
  <c r="AA218" i="2"/>
  <c r="U218" i="2"/>
  <c r="W218" i="2" s="1"/>
  <c r="T218" i="2"/>
  <c r="AC217" i="2"/>
  <c r="AB217" i="2"/>
  <c r="AA217" i="2"/>
  <c r="U217" i="2"/>
  <c r="T217" i="2"/>
  <c r="AD217" i="2" s="1"/>
  <c r="AC216" i="2"/>
  <c r="AB216" i="2"/>
  <c r="AA216" i="2"/>
  <c r="U216" i="2"/>
  <c r="AE216" i="2" s="1"/>
  <c r="T216" i="2"/>
  <c r="AC215" i="2"/>
  <c r="AB215" i="2"/>
  <c r="AA215" i="2"/>
  <c r="U215" i="2"/>
  <c r="T215" i="2"/>
  <c r="AC214" i="2"/>
  <c r="AB214" i="2"/>
  <c r="AA214" i="2"/>
  <c r="U214" i="2"/>
  <c r="W214" i="2" s="1"/>
  <c r="T214" i="2"/>
  <c r="AC213" i="2"/>
  <c r="AB213" i="2"/>
  <c r="AA213" i="2"/>
  <c r="U213" i="2"/>
  <c r="W213" i="2" s="1"/>
  <c r="T213" i="2"/>
  <c r="AC212" i="2"/>
  <c r="AB212" i="2"/>
  <c r="AA212" i="2"/>
  <c r="U212" i="2"/>
  <c r="AE212" i="2" s="1"/>
  <c r="T212" i="2"/>
  <c r="AC211" i="2"/>
  <c r="AB211" i="2"/>
  <c r="AA211" i="2"/>
  <c r="U211" i="2"/>
  <c r="W211" i="2" s="1"/>
  <c r="T211" i="2"/>
  <c r="AC210" i="2"/>
  <c r="AB210" i="2"/>
  <c r="AA210" i="2"/>
  <c r="U210" i="2"/>
  <c r="T210" i="2"/>
  <c r="AC209" i="2"/>
  <c r="AB209" i="2"/>
  <c r="AA209" i="2"/>
  <c r="U209" i="2"/>
  <c r="AE209" i="2" s="1"/>
  <c r="T209" i="2"/>
  <c r="AC208" i="2"/>
  <c r="AB208" i="2"/>
  <c r="AA208" i="2"/>
  <c r="U208" i="2"/>
  <c r="X208" i="2" s="1"/>
  <c r="T208" i="2"/>
  <c r="AC207" i="2"/>
  <c r="AB207" i="2"/>
  <c r="AA207" i="2"/>
  <c r="U207" i="2"/>
  <c r="W207" i="2" s="1"/>
  <c r="T207" i="2"/>
  <c r="AC206" i="2"/>
  <c r="AB206" i="2"/>
  <c r="AA206" i="2"/>
  <c r="U206" i="2"/>
  <c r="T206" i="2"/>
  <c r="AC205" i="2"/>
  <c r="AB205" i="2"/>
  <c r="AA205" i="2"/>
  <c r="U205" i="2"/>
  <c r="AE205" i="2" s="1"/>
  <c r="T205" i="2"/>
  <c r="AC204" i="2"/>
  <c r="AB204" i="2"/>
  <c r="AA204" i="2"/>
  <c r="U204" i="2"/>
  <c r="X204" i="2" s="1"/>
  <c r="T204" i="2"/>
  <c r="AC203" i="2"/>
  <c r="AB203" i="2"/>
  <c r="AA203" i="2"/>
  <c r="U203" i="2"/>
  <c r="W203" i="2" s="1"/>
  <c r="T203" i="2"/>
  <c r="AC202" i="2"/>
  <c r="AB202" i="2"/>
  <c r="AA202" i="2"/>
  <c r="U202" i="2"/>
  <c r="T202" i="2"/>
  <c r="AC201" i="2"/>
  <c r="AB201" i="2"/>
  <c r="AA201" i="2"/>
  <c r="U201" i="2"/>
  <c r="V201" i="2" s="1"/>
  <c r="T201" i="2"/>
  <c r="AC200" i="2"/>
  <c r="AB200" i="2"/>
  <c r="AA200" i="2"/>
  <c r="U200" i="2"/>
  <c r="X200" i="2" s="1"/>
  <c r="T200" i="2"/>
  <c r="AC199" i="2"/>
  <c r="AB199" i="2"/>
  <c r="AA199" i="2"/>
  <c r="U199" i="2"/>
  <c r="W199" i="2" s="1"/>
  <c r="T199" i="2"/>
  <c r="AC198" i="2"/>
  <c r="AB198" i="2"/>
  <c r="AA198" i="2"/>
  <c r="U198" i="2"/>
  <c r="T198" i="2"/>
  <c r="AC197" i="2"/>
  <c r="AB197" i="2"/>
  <c r="AA197" i="2"/>
  <c r="U197" i="2"/>
  <c r="AE197" i="2" s="1"/>
  <c r="T197" i="2"/>
  <c r="AC196" i="2"/>
  <c r="AB196" i="2"/>
  <c r="AA196" i="2"/>
  <c r="U196" i="2"/>
  <c r="X196" i="2" s="1"/>
  <c r="T196" i="2"/>
  <c r="AC195" i="2"/>
  <c r="AB195" i="2"/>
  <c r="AA195" i="2"/>
  <c r="U195" i="2"/>
  <c r="W195" i="2" s="1"/>
  <c r="T195" i="2"/>
  <c r="AC194" i="2"/>
  <c r="AB194" i="2"/>
  <c r="AA194" i="2"/>
  <c r="U194" i="2"/>
  <c r="T194" i="2"/>
  <c r="AC193" i="2"/>
  <c r="AB193" i="2"/>
  <c r="AA193" i="2"/>
  <c r="U193" i="2"/>
  <c r="AE193" i="2" s="1"/>
  <c r="T193" i="2"/>
  <c r="AC192" i="2"/>
  <c r="AB192" i="2"/>
  <c r="AA192" i="2"/>
  <c r="U192" i="2"/>
  <c r="X192" i="2" s="1"/>
  <c r="T192" i="2"/>
  <c r="AC191" i="2"/>
  <c r="AB191" i="2"/>
  <c r="AA191" i="2"/>
  <c r="U191" i="2"/>
  <c r="T191" i="2"/>
  <c r="AD191" i="2" s="1"/>
  <c r="AC190" i="2"/>
  <c r="AB190" i="2"/>
  <c r="AA190" i="2"/>
  <c r="U190" i="2"/>
  <c r="T190" i="2"/>
  <c r="AC189" i="2"/>
  <c r="AB189" i="2"/>
  <c r="AA189" i="2"/>
  <c r="U189" i="2"/>
  <c r="AE189" i="2" s="1"/>
  <c r="T189" i="2"/>
  <c r="AC188" i="2"/>
  <c r="AB188" i="2"/>
  <c r="AA188" i="2"/>
  <c r="U188" i="2"/>
  <c r="X188" i="2" s="1"/>
  <c r="T188" i="2"/>
  <c r="AD188" i="2" s="1"/>
  <c r="AC187" i="2"/>
  <c r="AB187" i="2"/>
  <c r="AA187" i="2"/>
  <c r="U187" i="2"/>
  <c r="T187" i="2"/>
  <c r="AC186" i="2"/>
  <c r="AB186" i="2"/>
  <c r="AA186" i="2"/>
  <c r="U186" i="2"/>
  <c r="T186" i="2"/>
  <c r="AC185" i="2"/>
  <c r="AB185" i="2"/>
  <c r="AA185" i="2"/>
  <c r="U185" i="2"/>
  <c r="AE185" i="2" s="1"/>
  <c r="T185" i="2"/>
  <c r="AC184" i="2"/>
  <c r="AB184" i="2"/>
  <c r="AA184" i="2"/>
  <c r="U184" i="2"/>
  <c r="X184" i="2" s="1"/>
  <c r="T184" i="2"/>
  <c r="AC183" i="2"/>
  <c r="AB183" i="2"/>
  <c r="AA183" i="2"/>
  <c r="U183" i="2"/>
  <c r="X183" i="2" s="1"/>
  <c r="T183" i="2"/>
  <c r="AC182" i="2"/>
  <c r="AB182" i="2"/>
  <c r="AA182" i="2"/>
  <c r="U182" i="2"/>
  <c r="T182" i="2"/>
  <c r="AC181" i="2"/>
  <c r="AB181" i="2"/>
  <c r="AA181" i="2"/>
  <c r="U181" i="2"/>
  <c r="W181" i="2" s="1"/>
  <c r="T181" i="2"/>
  <c r="AC180" i="2"/>
  <c r="AB180" i="2"/>
  <c r="AA180" i="2"/>
  <c r="U180" i="2"/>
  <c r="X180" i="2" s="1"/>
  <c r="T180" i="2"/>
  <c r="AC179" i="2"/>
  <c r="AB179" i="2"/>
  <c r="AA179" i="2"/>
  <c r="U179" i="2"/>
  <c r="X179" i="2" s="1"/>
  <c r="T179" i="2"/>
  <c r="AC178" i="2"/>
  <c r="AB178" i="2"/>
  <c r="AA178" i="2"/>
  <c r="U178" i="2"/>
  <c r="T178" i="2"/>
  <c r="AC177" i="2"/>
  <c r="AB177" i="2"/>
  <c r="AA177" i="2"/>
  <c r="U177" i="2"/>
  <c r="W177" i="2" s="1"/>
  <c r="T177" i="2"/>
  <c r="AD177" i="2" s="1"/>
  <c r="AC176" i="2"/>
  <c r="AB176" i="2"/>
  <c r="AA176" i="2"/>
  <c r="U176" i="2"/>
  <c r="X176" i="2" s="1"/>
  <c r="T176" i="2"/>
  <c r="AC175" i="2"/>
  <c r="AB175" i="2"/>
  <c r="AA175" i="2"/>
  <c r="U175" i="2"/>
  <c r="X175" i="2" s="1"/>
  <c r="T175" i="2"/>
  <c r="AC174" i="2"/>
  <c r="AB174" i="2"/>
  <c r="AA174" i="2"/>
  <c r="U174" i="2"/>
  <c r="T174" i="2"/>
  <c r="AC173" i="2"/>
  <c r="AB173" i="2"/>
  <c r="AA173" i="2"/>
  <c r="U173" i="2"/>
  <c r="X173" i="2" s="1"/>
  <c r="Y173" i="2" s="1"/>
  <c r="Z173" i="2" s="1"/>
  <c r="T173" i="2"/>
  <c r="AC172" i="2"/>
  <c r="AB172" i="2"/>
  <c r="AA172" i="2"/>
  <c r="U172" i="2"/>
  <c r="X172" i="2" s="1"/>
  <c r="T172" i="2"/>
  <c r="AC171" i="2"/>
  <c r="AB171" i="2"/>
  <c r="AA171" i="2"/>
  <c r="U171" i="2"/>
  <c r="X171" i="2" s="1"/>
  <c r="T171" i="2"/>
  <c r="AC170" i="2"/>
  <c r="AB170" i="2"/>
  <c r="AA170" i="2"/>
  <c r="U170" i="2"/>
  <c r="T170" i="2"/>
  <c r="AC169" i="2"/>
  <c r="AB169" i="2"/>
  <c r="AA169" i="2"/>
  <c r="U169" i="2"/>
  <c r="W169" i="2" s="1"/>
  <c r="T169" i="2"/>
  <c r="AC168" i="2"/>
  <c r="AB168" i="2"/>
  <c r="AA168" i="2"/>
  <c r="U168" i="2"/>
  <c r="X168" i="2" s="1"/>
  <c r="T168" i="2"/>
  <c r="AC167" i="2"/>
  <c r="AB167" i="2"/>
  <c r="AA167" i="2"/>
  <c r="U167" i="2"/>
  <c r="X167" i="2" s="1"/>
  <c r="T167" i="2"/>
  <c r="AC166" i="2"/>
  <c r="AB166" i="2"/>
  <c r="AA166" i="2"/>
  <c r="U166" i="2"/>
  <c r="T166" i="2"/>
  <c r="AC165" i="2"/>
  <c r="AB165" i="2"/>
  <c r="AA165" i="2"/>
  <c r="U165" i="2"/>
  <c r="V165" i="2" s="1"/>
  <c r="T165" i="2"/>
  <c r="AC164" i="2"/>
  <c r="AB164" i="2"/>
  <c r="AA164" i="2"/>
  <c r="U164" i="2"/>
  <c r="X164" i="2" s="1"/>
  <c r="T164" i="2"/>
  <c r="AC163" i="2"/>
  <c r="AB163" i="2"/>
  <c r="AA163" i="2"/>
  <c r="U163" i="2"/>
  <c r="X163" i="2" s="1"/>
  <c r="T163" i="2"/>
  <c r="AC162" i="2"/>
  <c r="AB162" i="2"/>
  <c r="AA162" i="2"/>
  <c r="U162" i="2"/>
  <c r="T162" i="2"/>
  <c r="AC161" i="2"/>
  <c r="AB161" i="2"/>
  <c r="AA161" i="2"/>
  <c r="U161" i="2"/>
  <c r="V161" i="2" s="1"/>
  <c r="T161" i="2"/>
  <c r="AC160" i="2"/>
  <c r="AB160" i="2"/>
  <c r="AA160" i="2"/>
  <c r="U160" i="2"/>
  <c r="X160" i="2" s="1"/>
  <c r="T160" i="2"/>
  <c r="AC159" i="2"/>
  <c r="AB159" i="2"/>
  <c r="AA159" i="2"/>
  <c r="U159" i="2"/>
  <c r="X159" i="2" s="1"/>
  <c r="T159" i="2"/>
  <c r="AC158" i="2"/>
  <c r="AB158" i="2"/>
  <c r="AA158" i="2"/>
  <c r="U158" i="2"/>
  <c r="T158" i="2"/>
  <c r="AC157" i="2"/>
  <c r="AB157" i="2"/>
  <c r="AA157" i="2"/>
  <c r="U157" i="2"/>
  <c r="AE157" i="2" s="1"/>
  <c r="T157" i="2"/>
  <c r="AC156" i="2"/>
  <c r="AB156" i="2"/>
  <c r="AA156" i="2"/>
  <c r="U156" i="2"/>
  <c r="T156" i="2"/>
  <c r="AC155" i="2"/>
  <c r="AB155" i="2"/>
  <c r="AA155" i="2"/>
  <c r="U155" i="2"/>
  <c r="X155" i="2" s="1"/>
  <c r="T155" i="2"/>
  <c r="AC154" i="2"/>
  <c r="AB154" i="2"/>
  <c r="AA154" i="2"/>
  <c r="U154" i="2"/>
  <c r="T154" i="2"/>
  <c r="AC153" i="2"/>
  <c r="AB153" i="2"/>
  <c r="AA153" i="2"/>
  <c r="U153" i="2"/>
  <c r="AE153" i="2" s="1"/>
  <c r="T153" i="2"/>
  <c r="AC152" i="2"/>
  <c r="AB152" i="2"/>
  <c r="AA152" i="2"/>
  <c r="U152" i="2"/>
  <c r="T152" i="2"/>
  <c r="AC151" i="2"/>
  <c r="AB151" i="2"/>
  <c r="AA151" i="2"/>
  <c r="U151" i="2"/>
  <c r="X151" i="2" s="1"/>
  <c r="T151" i="2"/>
  <c r="AC150" i="2"/>
  <c r="AB150" i="2"/>
  <c r="AA150" i="2"/>
  <c r="U150" i="2"/>
  <c r="T150" i="2"/>
  <c r="AC149" i="2"/>
  <c r="AB149" i="2"/>
  <c r="AA149" i="2"/>
  <c r="U149" i="2"/>
  <c r="AE149" i="2" s="1"/>
  <c r="T149" i="2"/>
  <c r="AC148" i="2"/>
  <c r="AB148" i="2"/>
  <c r="AA148" i="2"/>
  <c r="U148" i="2"/>
  <c r="T148" i="2"/>
  <c r="AC147" i="2"/>
  <c r="AB147" i="2"/>
  <c r="AA147" i="2"/>
  <c r="U147" i="2"/>
  <c r="T147" i="2"/>
  <c r="AC146" i="2"/>
  <c r="AB146" i="2"/>
  <c r="AA146" i="2"/>
  <c r="U146" i="2"/>
  <c r="X146" i="2" s="1"/>
  <c r="T146" i="2"/>
  <c r="AC145" i="2"/>
  <c r="AB145" i="2"/>
  <c r="AA145" i="2"/>
  <c r="U145" i="2"/>
  <c r="AE145" i="2" s="1"/>
  <c r="T145" i="2"/>
  <c r="AC144" i="2"/>
  <c r="AB144" i="2"/>
  <c r="AA144" i="2"/>
  <c r="U144" i="2"/>
  <c r="T144" i="2"/>
  <c r="AC143" i="2"/>
  <c r="AB143" i="2"/>
  <c r="AA143" i="2"/>
  <c r="U143" i="2"/>
  <c r="X143" i="2" s="1"/>
  <c r="T143" i="2"/>
  <c r="AC142" i="2"/>
  <c r="AB142" i="2"/>
  <c r="AA142" i="2"/>
  <c r="U142" i="2"/>
  <c r="X142" i="2" s="1"/>
  <c r="T142" i="2"/>
  <c r="AC141" i="2"/>
  <c r="AB141" i="2"/>
  <c r="AA141" i="2"/>
  <c r="U141" i="2"/>
  <c r="AE141" i="2" s="1"/>
  <c r="T141" i="2"/>
  <c r="AC140" i="2"/>
  <c r="AB140" i="2"/>
  <c r="AA140" i="2"/>
  <c r="U140" i="2"/>
  <c r="T140" i="2"/>
  <c r="AC139" i="2"/>
  <c r="AB139" i="2"/>
  <c r="AA139" i="2"/>
  <c r="U139" i="2"/>
  <c r="T139" i="2"/>
  <c r="AC138" i="2"/>
  <c r="AB138" i="2"/>
  <c r="AA138" i="2"/>
  <c r="U138" i="2"/>
  <c r="X138" i="2" s="1"/>
  <c r="T138" i="2"/>
  <c r="AC137" i="2"/>
  <c r="AB137" i="2"/>
  <c r="AA137" i="2"/>
  <c r="U137" i="2"/>
  <c r="AE137" i="2" s="1"/>
  <c r="T137" i="2"/>
  <c r="AC136" i="2"/>
  <c r="AB136" i="2"/>
  <c r="AA136" i="2"/>
  <c r="U136" i="2"/>
  <c r="T136" i="2"/>
  <c r="AC135" i="2"/>
  <c r="AB135" i="2"/>
  <c r="AA135" i="2"/>
  <c r="U135" i="2"/>
  <c r="X135" i="2" s="1"/>
  <c r="T135" i="2"/>
  <c r="AC134" i="2"/>
  <c r="AB134" i="2"/>
  <c r="AA134" i="2"/>
  <c r="U134" i="2"/>
  <c r="X134" i="2" s="1"/>
  <c r="T134" i="2"/>
  <c r="AC133" i="2"/>
  <c r="AB133" i="2"/>
  <c r="AA133" i="2"/>
  <c r="U133" i="2"/>
  <c r="AE133" i="2" s="1"/>
  <c r="T133" i="2"/>
  <c r="AC132" i="2"/>
  <c r="AB132" i="2"/>
  <c r="AA132" i="2"/>
  <c r="U132" i="2"/>
  <c r="X132" i="2" s="1"/>
  <c r="T132" i="2"/>
  <c r="AC131" i="2"/>
  <c r="AB131" i="2"/>
  <c r="AA131" i="2"/>
  <c r="U131" i="2"/>
  <c r="X131" i="2" s="1"/>
  <c r="T131" i="2"/>
  <c r="AC130" i="2"/>
  <c r="AB130" i="2"/>
  <c r="AA130" i="2"/>
  <c r="U130" i="2"/>
  <c r="X130" i="2" s="1"/>
  <c r="T130" i="2"/>
  <c r="AC129" i="2"/>
  <c r="AB129" i="2"/>
  <c r="AA129" i="2"/>
  <c r="U129" i="2"/>
  <c r="W129" i="2" s="1"/>
  <c r="T129" i="2"/>
  <c r="AC128" i="2"/>
  <c r="AB128" i="2"/>
  <c r="AA128" i="2"/>
  <c r="U128" i="2"/>
  <c r="T128" i="2"/>
  <c r="AC127" i="2"/>
  <c r="AB127" i="2"/>
  <c r="AA127" i="2"/>
  <c r="U127" i="2"/>
  <c r="AE127" i="2" s="1"/>
  <c r="T127" i="2"/>
  <c r="AC126" i="2"/>
  <c r="AB126" i="2"/>
  <c r="AA126" i="2"/>
  <c r="U126" i="2"/>
  <c r="X126" i="2" s="1"/>
  <c r="T126" i="2"/>
  <c r="AC125" i="2"/>
  <c r="AB125" i="2"/>
  <c r="AA125" i="2"/>
  <c r="U125" i="2"/>
  <c r="V125" i="2" s="1"/>
  <c r="T125" i="2"/>
  <c r="AC124" i="2"/>
  <c r="AB124" i="2"/>
  <c r="AA124" i="2"/>
  <c r="U124" i="2"/>
  <c r="AE124" i="2" s="1"/>
  <c r="T124" i="2"/>
  <c r="AC123" i="2"/>
  <c r="AB123" i="2"/>
  <c r="AA123" i="2"/>
  <c r="U123" i="2"/>
  <c r="T123" i="2"/>
  <c r="AC122" i="2"/>
  <c r="AB122" i="2"/>
  <c r="AA122" i="2"/>
  <c r="U122" i="2"/>
  <c r="AE122" i="2" s="1"/>
  <c r="T122" i="2"/>
  <c r="AC121" i="2"/>
  <c r="AB121" i="2"/>
  <c r="AA121" i="2"/>
  <c r="U121" i="2"/>
  <c r="V121" i="2" s="1"/>
  <c r="T121" i="2"/>
  <c r="AC120" i="2"/>
  <c r="AB120" i="2"/>
  <c r="AA120" i="2"/>
  <c r="U120" i="2"/>
  <c r="W120" i="2" s="1"/>
  <c r="T120" i="2"/>
  <c r="AC119" i="2"/>
  <c r="AB119" i="2"/>
  <c r="AA119" i="2"/>
  <c r="U119" i="2"/>
  <c r="X119" i="2" s="1"/>
  <c r="T119" i="2"/>
  <c r="AC118" i="2"/>
  <c r="AB118" i="2"/>
  <c r="AA118" i="2"/>
  <c r="U118" i="2"/>
  <c r="AE118" i="2" s="1"/>
  <c r="T118" i="2"/>
  <c r="AC117" i="2"/>
  <c r="AB117" i="2"/>
  <c r="AA117" i="2"/>
  <c r="U117" i="2"/>
  <c r="V117" i="2" s="1"/>
  <c r="T117" i="2"/>
  <c r="AC116" i="2"/>
  <c r="AB116" i="2"/>
  <c r="AA116" i="2"/>
  <c r="U116" i="2"/>
  <c r="W116" i="2" s="1"/>
  <c r="T116" i="2"/>
  <c r="AC115" i="2"/>
  <c r="AB115" i="2"/>
  <c r="AA115" i="2"/>
  <c r="U115" i="2"/>
  <c r="X115" i="2" s="1"/>
  <c r="T115" i="2"/>
  <c r="AC114" i="2"/>
  <c r="AB114" i="2"/>
  <c r="AA114" i="2"/>
  <c r="U114" i="2"/>
  <c r="AE114" i="2" s="1"/>
  <c r="T114" i="2"/>
  <c r="AC113" i="2"/>
  <c r="AB113" i="2"/>
  <c r="AA113" i="2"/>
  <c r="U113" i="2"/>
  <c r="V113" i="2" s="1"/>
  <c r="T113" i="2"/>
  <c r="AC112" i="2"/>
  <c r="AB112" i="2"/>
  <c r="AA112" i="2"/>
  <c r="U112" i="2"/>
  <c r="V112" i="2" s="1"/>
  <c r="T112" i="2"/>
  <c r="AC111" i="2"/>
  <c r="AB111" i="2"/>
  <c r="AA111" i="2"/>
  <c r="U111" i="2"/>
  <c r="X111" i="2" s="1"/>
  <c r="Y111" i="2" s="1"/>
  <c r="T111" i="2"/>
  <c r="AC110" i="2"/>
  <c r="AB110" i="2"/>
  <c r="AA110" i="2"/>
  <c r="U110" i="2"/>
  <c r="AE110" i="2" s="1"/>
  <c r="T110" i="2"/>
  <c r="AC109" i="2"/>
  <c r="AB109" i="2"/>
  <c r="AA109" i="2"/>
  <c r="U109" i="2"/>
  <c r="V109" i="2" s="1"/>
  <c r="T109" i="2"/>
  <c r="AC108" i="2"/>
  <c r="AB108" i="2"/>
  <c r="AA108" i="2"/>
  <c r="U108" i="2"/>
  <c r="Y108" i="2" s="1"/>
  <c r="Z108" i="2" s="1"/>
  <c r="T108" i="2"/>
  <c r="AC107" i="2"/>
  <c r="AB107" i="2"/>
  <c r="AA107" i="2"/>
  <c r="U107" i="2"/>
  <c r="AE107" i="2" s="1"/>
  <c r="T107" i="2"/>
  <c r="AC106" i="2"/>
  <c r="AB106" i="2"/>
  <c r="AA106" i="2"/>
  <c r="U106" i="2"/>
  <c r="AE106" i="2" s="1"/>
  <c r="T106" i="2"/>
  <c r="AC105" i="2"/>
  <c r="AB105" i="2"/>
  <c r="AA105" i="2"/>
  <c r="U105" i="2"/>
  <c r="V105" i="2" s="1"/>
  <c r="T105" i="2"/>
  <c r="AC104" i="2"/>
  <c r="AB104" i="2"/>
  <c r="AA104" i="2"/>
  <c r="U104" i="2"/>
  <c r="T104" i="2"/>
  <c r="AC103" i="2"/>
  <c r="AB103" i="2"/>
  <c r="AA103" i="2"/>
  <c r="U103" i="2"/>
  <c r="AE103" i="2" s="1"/>
  <c r="T103" i="2"/>
  <c r="AC102" i="2"/>
  <c r="AB102" i="2"/>
  <c r="AA102" i="2"/>
  <c r="U102" i="2"/>
  <c r="AE102" i="2" s="1"/>
  <c r="T102" i="2"/>
  <c r="AC101" i="2"/>
  <c r="AB101" i="2"/>
  <c r="AA101" i="2"/>
  <c r="U101" i="2"/>
  <c r="V101" i="2" s="1"/>
  <c r="T101" i="2"/>
  <c r="AC100" i="2"/>
  <c r="AB100" i="2"/>
  <c r="AA100" i="2"/>
  <c r="U100" i="2"/>
  <c r="T100" i="2"/>
  <c r="AC99" i="2"/>
  <c r="AB99" i="2"/>
  <c r="AA99" i="2"/>
  <c r="U99" i="2"/>
  <c r="AE99" i="2" s="1"/>
  <c r="T99" i="2"/>
  <c r="AC98" i="2"/>
  <c r="AB98" i="2"/>
  <c r="AA98" i="2"/>
  <c r="U98" i="2"/>
  <c r="AE98" i="2" s="1"/>
  <c r="T98" i="2"/>
  <c r="AC97" i="2"/>
  <c r="AB97" i="2"/>
  <c r="AA97" i="2"/>
  <c r="U97" i="2"/>
  <c r="V97" i="2" s="1"/>
  <c r="T97" i="2"/>
  <c r="AC96" i="2"/>
  <c r="AB96" i="2"/>
  <c r="AA96" i="2"/>
  <c r="U96" i="2"/>
  <c r="T96" i="2"/>
  <c r="AC95" i="2"/>
  <c r="AB95" i="2"/>
  <c r="AA95" i="2"/>
  <c r="U95" i="2"/>
  <c r="AE95" i="2" s="1"/>
  <c r="T95" i="2"/>
  <c r="AC94" i="2"/>
  <c r="AB94" i="2"/>
  <c r="AA94" i="2"/>
  <c r="U94" i="2"/>
  <c r="AE94" i="2" s="1"/>
  <c r="T94" i="2"/>
  <c r="AC93" i="2"/>
  <c r="AB93" i="2"/>
  <c r="AA93" i="2"/>
  <c r="U93" i="2"/>
  <c r="V93" i="2" s="1"/>
  <c r="T93" i="2"/>
  <c r="AC92" i="2"/>
  <c r="AB92" i="2"/>
  <c r="AA92" i="2"/>
  <c r="U92" i="2"/>
  <c r="Y92" i="2" s="1"/>
  <c r="T92" i="2"/>
  <c r="AC91" i="2"/>
  <c r="AB91" i="2"/>
  <c r="AA91" i="2"/>
  <c r="U91" i="2"/>
  <c r="W91" i="2" s="1"/>
  <c r="T91" i="2"/>
  <c r="AC90" i="2"/>
  <c r="AB90" i="2"/>
  <c r="AA90" i="2"/>
  <c r="U90" i="2"/>
  <c r="AE90" i="2" s="1"/>
  <c r="T90" i="2"/>
  <c r="AC89" i="2"/>
  <c r="AB89" i="2"/>
  <c r="AA89" i="2"/>
  <c r="U89" i="2"/>
  <c r="V89" i="2" s="1"/>
  <c r="T89" i="2"/>
  <c r="AC88" i="2"/>
  <c r="AB88" i="2"/>
  <c r="AA88" i="2"/>
  <c r="U88" i="2"/>
  <c r="X88" i="2" s="1"/>
  <c r="T88" i="2"/>
  <c r="AC87" i="2"/>
  <c r="AB87" i="2"/>
  <c r="AA87" i="2"/>
  <c r="U87" i="2"/>
  <c r="AE87" i="2" s="1"/>
  <c r="T87" i="2"/>
  <c r="AC86" i="2"/>
  <c r="AB86" i="2"/>
  <c r="AA86" i="2"/>
  <c r="U86" i="2"/>
  <c r="AE86" i="2" s="1"/>
  <c r="T86" i="2"/>
  <c r="AC85" i="2"/>
  <c r="AB85" i="2"/>
  <c r="AA85" i="2"/>
  <c r="U85" i="2"/>
  <c r="V85" i="2" s="1"/>
  <c r="T85" i="2"/>
  <c r="AC84" i="2"/>
  <c r="AB84" i="2"/>
  <c r="AA84" i="2"/>
  <c r="U84" i="2"/>
  <c r="Y84" i="2" s="1"/>
  <c r="T84" i="2"/>
  <c r="AC83" i="2"/>
  <c r="AB83" i="2"/>
  <c r="AA83" i="2"/>
  <c r="U83" i="2"/>
  <c r="W83" i="2" s="1"/>
  <c r="T83" i="2"/>
  <c r="AC82" i="2"/>
  <c r="AB82" i="2"/>
  <c r="AA82" i="2"/>
  <c r="U82" i="2"/>
  <c r="AE82" i="2" s="1"/>
  <c r="T82" i="2"/>
  <c r="AC81" i="2"/>
  <c r="AB81" i="2"/>
  <c r="AA81" i="2"/>
  <c r="U81" i="2"/>
  <c r="V81" i="2" s="1"/>
  <c r="T81" i="2"/>
  <c r="AC80" i="2"/>
  <c r="AB80" i="2"/>
  <c r="AA80" i="2"/>
  <c r="U80" i="2"/>
  <c r="X80" i="2" s="1"/>
  <c r="T80" i="2"/>
  <c r="AC79" i="2"/>
  <c r="AB79" i="2"/>
  <c r="AA79" i="2"/>
  <c r="U79" i="2"/>
  <c r="AE79" i="2" s="1"/>
  <c r="T79" i="2"/>
  <c r="AC78" i="2"/>
  <c r="AB78" i="2"/>
  <c r="AA78" i="2"/>
  <c r="U78" i="2"/>
  <c r="AE78" i="2" s="1"/>
  <c r="T78" i="2"/>
  <c r="AC77" i="2"/>
  <c r="AB77" i="2"/>
  <c r="AA77" i="2"/>
  <c r="U77" i="2"/>
  <c r="V77" i="2" s="1"/>
  <c r="T77" i="2"/>
  <c r="AD77" i="2" s="1"/>
  <c r="AC76" i="2"/>
  <c r="AB76" i="2"/>
  <c r="AA76" i="2"/>
  <c r="U76" i="2"/>
  <c r="X76" i="2" s="1"/>
  <c r="T76" i="2"/>
  <c r="AC75" i="2"/>
  <c r="AB75" i="2"/>
  <c r="AA75" i="2"/>
  <c r="U75" i="2"/>
  <c r="X75" i="2" s="1"/>
  <c r="T75" i="2"/>
  <c r="AC74" i="2"/>
  <c r="AB74" i="2"/>
  <c r="AA74" i="2"/>
  <c r="U74" i="2"/>
  <c r="AE74" i="2" s="1"/>
  <c r="T74" i="2"/>
  <c r="AC73" i="2"/>
  <c r="AB73" i="2"/>
  <c r="AA73" i="2"/>
  <c r="U73" i="2"/>
  <c r="V73" i="2" s="1"/>
  <c r="T73" i="2"/>
  <c r="AC72" i="2"/>
  <c r="AB72" i="2"/>
  <c r="AA72" i="2"/>
  <c r="U72" i="2"/>
  <c r="T72" i="2"/>
  <c r="AC71" i="2"/>
  <c r="AB71" i="2"/>
  <c r="AA71" i="2"/>
  <c r="U71" i="2"/>
  <c r="W71" i="2" s="1"/>
  <c r="T71" i="2"/>
  <c r="AC70" i="2"/>
  <c r="AB70" i="2"/>
  <c r="AA70" i="2"/>
  <c r="U70" i="2"/>
  <c r="AE70" i="2" s="1"/>
  <c r="T70" i="2"/>
  <c r="AC69" i="2"/>
  <c r="AB69" i="2"/>
  <c r="AA69" i="2"/>
  <c r="U69" i="2"/>
  <c r="V69" i="2" s="1"/>
  <c r="T69" i="2"/>
  <c r="AC68" i="2"/>
  <c r="AB68" i="2"/>
  <c r="AA68" i="2"/>
  <c r="U68" i="2"/>
  <c r="X68" i="2" s="1"/>
  <c r="T68" i="2"/>
  <c r="AC67" i="2"/>
  <c r="AB67" i="2"/>
  <c r="AA67" i="2"/>
  <c r="U67" i="2"/>
  <c r="W67" i="2" s="1"/>
  <c r="T67" i="2"/>
  <c r="AC66" i="2"/>
  <c r="AB66" i="2"/>
  <c r="AA66" i="2"/>
  <c r="U66" i="2"/>
  <c r="AE66" i="2" s="1"/>
  <c r="T66" i="2"/>
  <c r="AC65" i="2"/>
  <c r="AB65" i="2"/>
  <c r="AA65" i="2"/>
  <c r="U65" i="2"/>
  <c r="V65" i="2" s="1"/>
  <c r="T65" i="2"/>
  <c r="AC64" i="2"/>
  <c r="AB64" i="2"/>
  <c r="AA64" i="2"/>
  <c r="U64" i="2"/>
  <c r="T64" i="2"/>
  <c r="AC63" i="2"/>
  <c r="AB63" i="2"/>
  <c r="AA63" i="2"/>
  <c r="U63" i="2"/>
  <c r="W63" i="2" s="1"/>
  <c r="T63" i="2"/>
  <c r="AC62" i="2"/>
  <c r="AB62" i="2"/>
  <c r="AA62" i="2"/>
  <c r="U62" i="2"/>
  <c r="AE62" i="2" s="1"/>
  <c r="T62" i="2"/>
  <c r="AC61" i="2"/>
  <c r="AB61" i="2"/>
  <c r="AA61" i="2"/>
  <c r="U61" i="2"/>
  <c r="V61" i="2" s="1"/>
  <c r="T61" i="2"/>
  <c r="AC60" i="2"/>
  <c r="AB60" i="2"/>
  <c r="AA60" i="2"/>
  <c r="U60" i="2"/>
  <c r="T60" i="2"/>
  <c r="AC59" i="2"/>
  <c r="AB59" i="2"/>
  <c r="AA59" i="2"/>
  <c r="U59" i="2"/>
  <c r="W59" i="2" s="1"/>
  <c r="T59" i="2"/>
  <c r="AC58" i="2"/>
  <c r="AB58" i="2"/>
  <c r="AA58" i="2"/>
  <c r="U58" i="2"/>
  <c r="AE58" i="2" s="1"/>
  <c r="T58" i="2"/>
  <c r="AC57" i="2"/>
  <c r="AB57" i="2"/>
  <c r="AA57" i="2"/>
  <c r="U57" i="2"/>
  <c r="V57" i="2" s="1"/>
  <c r="T57" i="2"/>
  <c r="AC56" i="2"/>
  <c r="AB56" i="2"/>
  <c r="AA56" i="2"/>
  <c r="U56" i="2"/>
  <c r="Y56" i="2" s="1"/>
  <c r="T56" i="2"/>
  <c r="AC55" i="2"/>
  <c r="AB55" i="2"/>
  <c r="AA55" i="2"/>
  <c r="U55" i="2"/>
  <c r="AE55" i="2" s="1"/>
  <c r="T55" i="2"/>
  <c r="AC54" i="2"/>
  <c r="AB54" i="2"/>
  <c r="AA54" i="2"/>
  <c r="U54" i="2"/>
  <c r="AE54" i="2" s="1"/>
  <c r="T54" i="2"/>
  <c r="AC53" i="2"/>
  <c r="AB53" i="2"/>
  <c r="AA53" i="2"/>
  <c r="U53" i="2"/>
  <c r="V53" i="2" s="1"/>
  <c r="T53" i="2"/>
  <c r="AC52" i="2"/>
  <c r="AB52" i="2"/>
  <c r="AA52" i="2"/>
  <c r="U52" i="2"/>
  <c r="X52" i="2" s="1"/>
  <c r="T52" i="2"/>
  <c r="AC51" i="2"/>
  <c r="AB51" i="2"/>
  <c r="AA51" i="2"/>
  <c r="U51" i="2"/>
  <c r="AE51" i="2" s="1"/>
  <c r="T51" i="2"/>
  <c r="AC50" i="2"/>
  <c r="AB50" i="2"/>
  <c r="AA50" i="2"/>
  <c r="U50" i="2"/>
  <c r="AE50" i="2" s="1"/>
  <c r="T50" i="2"/>
  <c r="AC49" i="2"/>
  <c r="AB49" i="2"/>
  <c r="AA49" i="2"/>
  <c r="U49" i="2"/>
  <c r="AE49" i="2" s="1"/>
  <c r="T49" i="2"/>
  <c r="AC48" i="2"/>
  <c r="AB48" i="2"/>
  <c r="AA48" i="2"/>
  <c r="U48" i="2"/>
  <c r="X48" i="2" s="1"/>
  <c r="T48" i="2"/>
  <c r="AC47" i="2"/>
  <c r="AB47" i="2"/>
  <c r="AA47" i="2"/>
  <c r="U47" i="2"/>
  <c r="AE47" i="2" s="1"/>
  <c r="T47" i="2"/>
  <c r="AC46" i="2"/>
  <c r="AB46" i="2"/>
  <c r="AA46" i="2"/>
  <c r="U46" i="2"/>
  <c r="AE46" i="2" s="1"/>
  <c r="T46" i="2"/>
  <c r="AD46" i="2" s="1"/>
  <c r="AC45" i="2"/>
  <c r="AB45" i="2"/>
  <c r="AA45" i="2"/>
  <c r="U45" i="2"/>
  <c r="V45" i="2" s="1"/>
  <c r="T45" i="2"/>
  <c r="AC44" i="2"/>
  <c r="AB44" i="2"/>
  <c r="AA44" i="2"/>
  <c r="U44" i="2"/>
  <c r="T44" i="2"/>
  <c r="AC43" i="2"/>
  <c r="AB43" i="2"/>
  <c r="AA43" i="2"/>
  <c r="U43" i="2"/>
  <c r="AE43" i="2" s="1"/>
  <c r="T43" i="2"/>
  <c r="AC42" i="2"/>
  <c r="AB42" i="2"/>
  <c r="AA42" i="2"/>
  <c r="U42" i="2"/>
  <c r="AE42" i="2" s="1"/>
  <c r="T42" i="2"/>
  <c r="AC41" i="2"/>
  <c r="AB41" i="2"/>
  <c r="AA41" i="2"/>
  <c r="U41" i="2"/>
  <c r="V41" i="2" s="1"/>
  <c r="T41" i="2"/>
  <c r="AC40" i="2"/>
  <c r="AB40" i="2"/>
  <c r="AA40" i="2"/>
  <c r="U40" i="2"/>
  <c r="V40" i="2" s="1"/>
  <c r="T40" i="2"/>
  <c r="AC39" i="2"/>
  <c r="AB39" i="2"/>
  <c r="AA39" i="2"/>
  <c r="U39" i="2"/>
  <c r="W39" i="2" s="1"/>
  <c r="T39" i="2"/>
  <c r="AC38" i="2"/>
  <c r="AB38" i="2"/>
  <c r="AA38" i="2"/>
  <c r="U38" i="2"/>
  <c r="AE38" i="2" s="1"/>
  <c r="T38" i="2"/>
  <c r="AC37" i="2"/>
  <c r="AB37" i="2"/>
  <c r="AA37" i="2"/>
  <c r="U37" i="2"/>
  <c r="V37" i="2" s="1"/>
  <c r="T37" i="2"/>
  <c r="AC36" i="2"/>
  <c r="AB36" i="2"/>
  <c r="AA36" i="2"/>
  <c r="U36" i="2"/>
  <c r="X36" i="2" s="1"/>
  <c r="T36" i="2"/>
  <c r="AC35" i="2"/>
  <c r="AB35" i="2"/>
  <c r="AA35" i="2"/>
  <c r="U35" i="2"/>
  <c r="AE35" i="2" s="1"/>
  <c r="T35" i="2"/>
  <c r="AC34" i="2"/>
  <c r="AB34" i="2"/>
  <c r="AA34" i="2"/>
  <c r="U34" i="2"/>
  <c r="AE34" i="2" s="1"/>
  <c r="T34" i="2"/>
  <c r="AC33" i="2"/>
  <c r="AB33" i="2"/>
  <c r="AA33" i="2"/>
  <c r="U33" i="2"/>
  <c r="V33" i="2" s="1"/>
  <c r="T33" i="2"/>
  <c r="AC32" i="2"/>
  <c r="AB32" i="2"/>
  <c r="AA32" i="2"/>
  <c r="U32" i="2"/>
  <c r="T32" i="2"/>
  <c r="AC31" i="2"/>
  <c r="AB31" i="2"/>
  <c r="AA31" i="2"/>
  <c r="U31" i="2"/>
  <c r="AE31" i="2" s="1"/>
  <c r="T31" i="2"/>
  <c r="AC30" i="2"/>
  <c r="AB30" i="2"/>
  <c r="AA30" i="2"/>
  <c r="U30" i="2"/>
  <c r="AE30" i="2" s="1"/>
  <c r="T30" i="2"/>
  <c r="AC29" i="2"/>
  <c r="AB29" i="2"/>
  <c r="AA29" i="2"/>
  <c r="U29" i="2"/>
  <c r="V29" i="2" s="1"/>
  <c r="T29" i="2"/>
  <c r="AC28" i="2"/>
  <c r="AB28" i="2"/>
  <c r="AA28" i="2"/>
  <c r="U28" i="2"/>
  <c r="X28" i="2" s="1"/>
  <c r="T28" i="2"/>
  <c r="AC27" i="2"/>
  <c r="AB27" i="2"/>
  <c r="AA27" i="2"/>
  <c r="U27" i="2"/>
  <c r="AE27" i="2" s="1"/>
  <c r="T27" i="2"/>
  <c r="AC26" i="2"/>
  <c r="AB26" i="2"/>
  <c r="AA26" i="2"/>
  <c r="U26" i="2"/>
  <c r="AE26" i="2" s="1"/>
  <c r="T26" i="2"/>
  <c r="AC25" i="2"/>
  <c r="AB25" i="2"/>
  <c r="AA25" i="2"/>
  <c r="U25" i="2"/>
  <c r="V25" i="2" s="1"/>
  <c r="T25" i="2"/>
  <c r="AC24" i="2"/>
  <c r="AB24" i="2"/>
  <c r="AA24" i="2"/>
  <c r="U24" i="2"/>
  <c r="T24" i="2"/>
  <c r="AC23" i="2"/>
  <c r="AB23" i="2"/>
  <c r="AA23" i="2"/>
  <c r="U23" i="2"/>
  <c r="AE23" i="2" s="1"/>
  <c r="T23" i="2"/>
  <c r="AC22" i="2"/>
  <c r="AB22" i="2"/>
  <c r="AA22" i="2"/>
  <c r="U22" i="2"/>
  <c r="AE22" i="2" s="1"/>
  <c r="T22" i="2"/>
  <c r="AC21" i="2"/>
  <c r="AB21" i="2"/>
  <c r="AA21" i="2"/>
  <c r="U21" i="2"/>
  <c r="V21" i="2" s="1"/>
  <c r="T21" i="2"/>
  <c r="AC20" i="2"/>
  <c r="AB20" i="2"/>
  <c r="AA20" i="2"/>
  <c r="U20" i="2"/>
  <c r="Y20" i="2" s="1"/>
  <c r="T20" i="2"/>
  <c r="AC19" i="2"/>
  <c r="AB19" i="2"/>
  <c r="AA19" i="2"/>
  <c r="U19" i="2"/>
  <c r="AE19" i="2" s="1"/>
  <c r="T19" i="2"/>
  <c r="AC18" i="2"/>
  <c r="AB18" i="2"/>
  <c r="AA18" i="2"/>
  <c r="U18" i="2"/>
  <c r="AE18" i="2" s="1"/>
  <c r="T18" i="2"/>
  <c r="AC17" i="2"/>
  <c r="AB17" i="2"/>
  <c r="AA17" i="2"/>
  <c r="U17" i="2"/>
  <c r="V17" i="2" s="1"/>
  <c r="T17" i="2"/>
  <c r="AC16" i="2"/>
  <c r="AB16" i="2"/>
  <c r="AA16" i="2"/>
  <c r="U16" i="2"/>
  <c r="X16" i="2" s="1"/>
  <c r="T16" i="2"/>
  <c r="AC15" i="2"/>
  <c r="AB15" i="2"/>
  <c r="AA15" i="2"/>
  <c r="U15" i="2"/>
  <c r="AE15" i="2" s="1"/>
  <c r="T15" i="2"/>
  <c r="AC14" i="2"/>
  <c r="AB14" i="2"/>
  <c r="AA14" i="2"/>
  <c r="U14" i="2"/>
  <c r="AE14" i="2" s="1"/>
  <c r="T14" i="2"/>
  <c r="AC13" i="2"/>
  <c r="AB13" i="2"/>
  <c r="AA13" i="2"/>
  <c r="U13" i="2"/>
  <c r="X13" i="2" s="1"/>
  <c r="Y13" i="2" s="1"/>
  <c r="T13" i="2"/>
  <c r="AC12" i="2"/>
  <c r="AB12" i="2"/>
  <c r="AA12" i="2"/>
  <c r="U12" i="2"/>
  <c r="AE12" i="2" s="1"/>
  <c r="T12" i="2"/>
  <c r="AC11" i="2"/>
  <c r="AB11" i="2"/>
  <c r="AA11" i="2"/>
  <c r="U11" i="2"/>
  <c r="AE11" i="2" s="1"/>
  <c r="T11" i="2"/>
  <c r="AC10" i="2"/>
  <c r="AB10" i="2"/>
  <c r="AA10" i="2"/>
  <c r="U10" i="2"/>
  <c r="AE10" i="2" s="1"/>
  <c r="T10" i="2"/>
  <c r="AC9" i="2"/>
  <c r="AB9" i="2"/>
  <c r="AA9" i="2"/>
  <c r="U9" i="2"/>
  <c r="V9" i="2" s="1"/>
  <c r="T9" i="2"/>
  <c r="AC8" i="2"/>
  <c r="AB8" i="2"/>
  <c r="AA8" i="2"/>
  <c r="U8" i="2"/>
  <c r="X8" i="2" s="1"/>
  <c r="T8" i="2"/>
  <c r="AC7" i="2"/>
  <c r="AB7" i="2"/>
  <c r="AA7" i="2"/>
  <c r="U7" i="2"/>
  <c r="AE7" i="2" s="1"/>
  <c r="T7" i="2"/>
  <c r="AC6" i="2"/>
  <c r="AB6" i="2"/>
  <c r="AA6" i="2"/>
  <c r="U6" i="2"/>
  <c r="AE6" i="2" s="1"/>
  <c r="T6" i="2"/>
  <c r="AC5" i="2"/>
  <c r="AB5" i="2"/>
  <c r="AA5" i="2"/>
  <c r="U5" i="2"/>
  <c r="X5" i="2" s="1"/>
  <c r="Y5" i="2" s="1"/>
  <c r="T5" i="2"/>
  <c r="AC4" i="2"/>
  <c r="AB4" i="2"/>
  <c r="AA4" i="2"/>
  <c r="U4" i="2"/>
  <c r="AE4" i="2" s="1"/>
  <c r="T4" i="2"/>
  <c r="AC3" i="2"/>
  <c r="AB3" i="2"/>
  <c r="AA3" i="2"/>
  <c r="U3" i="2"/>
  <c r="AE3" i="2" s="1"/>
  <c r="T3" i="2"/>
  <c r="AC2" i="2"/>
  <c r="AB2" i="2"/>
  <c r="AA2" i="2"/>
  <c r="U2" i="2"/>
  <c r="T2" i="2"/>
  <c r="V1097" i="2" l="1"/>
  <c r="AE223" i="2"/>
  <c r="X1597" i="2"/>
  <c r="Y1597" i="2" s="1"/>
  <c r="Z1597" i="2" s="1"/>
  <c r="W1784" i="2"/>
  <c r="AD1031" i="2"/>
  <c r="AD23" i="2"/>
  <c r="V52" i="2"/>
  <c r="X1577" i="2"/>
  <c r="V996" i="2"/>
  <c r="W261" i="2"/>
  <c r="V907" i="2"/>
  <c r="W1505" i="2"/>
  <c r="X907" i="2"/>
  <c r="V919" i="2"/>
  <c r="V1191" i="2"/>
  <c r="AE938" i="2"/>
  <c r="V1401" i="2"/>
  <c r="X1108" i="2"/>
  <c r="AD1206" i="2"/>
  <c r="W1523" i="2"/>
  <c r="X89" i="2"/>
  <c r="Y89" i="2" s="1"/>
  <c r="Z89" i="2" s="1"/>
  <c r="V413" i="2"/>
  <c r="W1654" i="2"/>
  <c r="AE518" i="2"/>
  <c r="X1757" i="2"/>
  <c r="V736" i="2"/>
  <c r="W1227" i="2"/>
  <c r="X1601" i="2"/>
  <c r="X1658" i="2"/>
  <c r="Y1658" i="2" s="1"/>
  <c r="Z1658" i="2" s="1"/>
  <c r="V1765" i="2"/>
  <c r="AE1523" i="2"/>
  <c r="AE1554" i="2"/>
  <c r="X1765" i="2"/>
  <c r="Y1765" i="2" s="1"/>
  <c r="Z1765" i="2" s="1"/>
  <c r="AE120" i="2"/>
  <c r="V1085" i="2"/>
  <c r="V1291" i="2"/>
  <c r="Y1355" i="2"/>
  <c r="X1687" i="2"/>
  <c r="AE39" i="2"/>
  <c r="AE903" i="2"/>
  <c r="AE125" i="2"/>
  <c r="V1263" i="2"/>
  <c r="V773" i="2"/>
  <c r="W1733" i="2"/>
  <c r="AD415" i="2"/>
  <c r="AD307" i="2"/>
  <c r="X588" i="2"/>
  <c r="Y588" i="2" s="1"/>
  <c r="V626" i="2"/>
  <c r="W857" i="2"/>
  <c r="W1299" i="2"/>
  <c r="W1783" i="2"/>
  <c r="X600" i="2"/>
  <c r="Y600" i="2" s="1"/>
  <c r="AE927" i="2"/>
  <c r="V205" i="2"/>
  <c r="W907" i="2"/>
  <c r="V1046" i="2"/>
  <c r="X1243" i="2"/>
  <c r="W1250" i="2"/>
  <c r="C5" i="5"/>
  <c r="D5" i="5" s="1"/>
  <c r="AD7" i="2"/>
  <c r="AD117" i="2"/>
  <c r="X480" i="2"/>
  <c r="AE484" i="2"/>
  <c r="AD549" i="2"/>
  <c r="AD552" i="2"/>
  <c r="AD558" i="2"/>
  <c r="AD561" i="2"/>
  <c r="AD564" i="2"/>
  <c r="V617" i="2"/>
  <c r="AE863" i="2"/>
  <c r="X919" i="2"/>
  <c r="Y919" i="2" s="1"/>
  <c r="Z919" i="2" s="1"/>
  <c r="Y962" i="2"/>
  <c r="Z962" i="2" s="1"/>
  <c r="Y1054" i="2"/>
  <c r="V1144" i="2"/>
  <c r="V1274" i="2"/>
  <c r="AE1371" i="2"/>
  <c r="AD1545" i="2"/>
  <c r="Y1577" i="2"/>
  <c r="Z1577" i="2" s="1"/>
  <c r="W1656" i="2"/>
  <c r="AE252" i="2"/>
  <c r="V662" i="2"/>
  <c r="V1140" i="2"/>
  <c r="V1196" i="2"/>
  <c r="W1239" i="2"/>
  <c r="V1441" i="2"/>
  <c r="W1496" i="2"/>
  <c r="V1602" i="2"/>
  <c r="V1630" i="2"/>
  <c r="V1674" i="2"/>
  <c r="W1720" i="2"/>
  <c r="X1745" i="2"/>
  <c r="W428" i="2"/>
  <c r="X1044" i="2"/>
  <c r="Y1044" i="2" s="1"/>
  <c r="Z1044" i="2" s="1"/>
  <c r="X41" i="2"/>
  <c r="Y41" i="2" s="1"/>
  <c r="Z41" i="2" s="1"/>
  <c r="V193" i="2"/>
  <c r="X406" i="2"/>
  <c r="AD545" i="2"/>
  <c r="V671" i="2"/>
  <c r="AD673" i="2"/>
  <c r="V732" i="2"/>
  <c r="AE902" i="2"/>
  <c r="AE962" i="2"/>
  <c r="Y1127" i="2"/>
  <c r="V1186" i="2"/>
  <c r="X1239" i="2"/>
  <c r="Y1239" i="2" s="1"/>
  <c r="Z1239" i="2" s="1"/>
  <c r="V1314" i="2"/>
  <c r="V1385" i="2"/>
  <c r="AD1532" i="2"/>
  <c r="W1677" i="2"/>
  <c r="W1789" i="2"/>
  <c r="AD30" i="2"/>
  <c r="AD33" i="2"/>
  <c r="AD289" i="2"/>
  <c r="AD627" i="2"/>
  <c r="AD636" i="2"/>
  <c r="AE809" i="2"/>
  <c r="AE855" i="2"/>
  <c r="AD1374" i="2"/>
  <c r="W1621" i="2"/>
  <c r="X1665" i="2"/>
  <c r="Y1665" i="2" s="1"/>
  <c r="Z1665" i="2" s="1"/>
  <c r="AE63" i="2"/>
  <c r="X378" i="2"/>
  <c r="AE388" i="2"/>
  <c r="AE428" i="2"/>
  <c r="AD511" i="2"/>
  <c r="AD697" i="2"/>
  <c r="V867" i="2"/>
  <c r="Z914" i="2"/>
  <c r="W1155" i="2"/>
  <c r="W1195" i="2"/>
  <c r="AE1311" i="2"/>
  <c r="AE1431" i="2"/>
  <c r="AD1697" i="2"/>
  <c r="V928" i="2"/>
  <c r="W1745" i="2"/>
  <c r="AE1630" i="2"/>
  <c r="AE1745" i="2"/>
  <c r="V693" i="2"/>
  <c r="X754" i="2"/>
  <c r="V1311" i="2"/>
  <c r="V542" i="2"/>
  <c r="AD547" i="2"/>
  <c r="AD550" i="2"/>
  <c r="AD559" i="2"/>
  <c r="V792" i="2"/>
  <c r="Y826" i="2"/>
  <c r="Z826" i="2" s="1"/>
  <c r="AD849" i="2"/>
  <c r="Y863" i="2"/>
  <c r="Z863" i="2" s="1"/>
  <c r="AD890" i="2"/>
  <c r="V1092" i="2"/>
  <c r="AE1127" i="2"/>
  <c r="X1371" i="2"/>
  <c r="Y1371" i="2" s="1"/>
  <c r="Z1371" i="2" s="1"/>
  <c r="V1433" i="2"/>
  <c r="V1449" i="2"/>
  <c r="AD1500" i="2"/>
  <c r="X1775" i="2"/>
  <c r="Y1775" i="2" s="1"/>
  <c r="Z1775" i="2" s="1"/>
  <c r="V1283" i="2"/>
  <c r="W792" i="2"/>
  <c r="X1058" i="2"/>
  <c r="Y1058" i="2" s="1"/>
  <c r="Z1058" i="2" s="1"/>
  <c r="Y1154" i="2"/>
  <c r="Z1154" i="2" s="1"/>
  <c r="X1340" i="2"/>
  <c r="Y1340" i="2" s="1"/>
  <c r="X1452" i="2"/>
  <c r="V1607" i="2"/>
  <c r="X21" i="2"/>
  <c r="Y21" i="2" s="1"/>
  <c r="Z21" i="2" s="1"/>
  <c r="X61" i="2"/>
  <c r="Y61" i="2" s="1"/>
  <c r="Z61" i="2" s="1"/>
  <c r="Y289" i="2"/>
  <c r="Z289" i="2" s="1"/>
  <c r="AD385" i="2"/>
  <c r="X493" i="2"/>
  <c r="Y493" i="2" s="1"/>
  <c r="Z493" i="2" s="1"/>
  <c r="AD498" i="2"/>
  <c r="AD510" i="2"/>
  <c r="AD513" i="2"/>
  <c r="X590" i="2"/>
  <c r="V657" i="2"/>
  <c r="AD812" i="2"/>
  <c r="W972" i="2"/>
  <c r="AD977" i="2"/>
  <c r="X1076" i="2"/>
  <c r="Y1076" i="2" s="1"/>
  <c r="Z1076" i="2" s="1"/>
  <c r="V1426" i="2"/>
  <c r="AD1472" i="2"/>
  <c r="X1513" i="2"/>
  <c r="W1691" i="2"/>
  <c r="AD47" i="2"/>
  <c r="AD50" i="2"/>
  <c r="AD181" i="2"/>
  <c r="AD391" i="2"/>
  <c r="AD452" i="2"/>
  <c r="AD455" i="2"/>
  <c r="AD668" i="2"/>
  <c r="AD784" i="2"/>
  <c r="AD1047" i="2"/>
  <c r="AD1109" i="2"/>
  <c r="V122" i="2"/>
  <c r="X169" i="2"/>
  <c r="Y169" i="2" s="1"/>
  <c r="Z169" i="2" s="1"/>
  <c r="V281" i="2"/>
  <c r="W341" i="2"/>
  <c r="AD403" i="2"/>
  <c r="AE424" i="2"/>
  <c r="AD469" i="2"/>
  <c r="AE474" i="2"/>
  <c r="AD581" i="2"/>
  <c r="X610" i="2"/>
  <c r="X644" i="2"/>
  <c r="Y644" i="2" s="1"/>
  <c r="Z644" i="2" s="1"/>
  <c r="AE648" i="2"/>
  <c r="X726" i="2"/>
  <c r="Y726" i="2" s="1"/>
  <c r="Z726" i="2" s="1"/>
  <c r="AE862" i="2"/>
  <c r="AD969" i="2"/>
  <c r="V1008" i="2"/>
  <c r="V1036" i="2"/>
  <c r="V1049" i="2"/>
  <c r="X1161" i="2"/>
  <c r="AD1169" i="2"/>
  <c r="AE1197" i="2"/>
  <c r="V1256" i="2"/>
  <c r="X1263" i="2"/>
  <c r="V1286" i="2"/>
  <c r="AD1310" i="2"/>
  <c r="V1407" i="2"/>
  <c r="AD1431" i="2"/>
  <c r="V1455" i="2"/>
  <c r="AE1577" i="2"/>
  <c r="V1644" i="2"/>
  <c r="W1657" i="2"/>
  <c r="AE1758" i="2"/>
  <c r="X1799" i="2"/>
  <c r="AD14" i="2"/>
  <c r="AD17" i="2"/>
  <c r="V108" i="2"/>
  <c r="Y121" i="2"/>
  <c r="Z121" i="2" s="1"/>
  <c r="W165" i="2"/>
  <c r="W234" i="2"/>
  <c r="V274" i="2"/>
  <c r="AE275" i="2"/>
  <c r="V337" i="2"/>
  <c r="AD371" i="2"/>
  <c r="Y451" i="2"/>
  <c r="AD453" i="2"/>
  <c r="AD456" i="2"/>
  <c r="X566" i="2"/>
  <c r="Y566" i="2" s="1"/>
  <c r="Z566" i="2" s="1"/>
  <c r="AD568" i="2"/>
  <c r="AD571" i="2"/>
  <c r="V653" i="2"/>
  <c r="V706" i="2"/>
  <c r="AE713" i="2"/>
  <c r="AD743" i="2"/>
  <c r="Z835" i="2"/>
  <c r="V891" i="2"/>
  <c r="V915" i="2"/>
  <c r="V935" i="2"/>
  <c r="AE996" i="2"/>
  <c r="AD1079" i="2"/>
  <c r="AD1187" i="2"/>
  <c r="Y1195" i="2"/>
  <c r="Z1195" i="2" s="1"/>
  <c r="X1205" i="2"/>
  <c r="Y1205" i="2" s="1"/>
  <c r="Z1205" i="2" s="1"/>
  <c r="AD1210" i="2"/>
  <c r="Y1243" i="2"/>
  <c r="Z1243" i="2" s="1"/>
  <c r="V1262" i="2"/>
  <c r="W1266" i="2"/>
  <c r="AE1283" i="2"/>
  <c r="W1391" i="2"/>
  <c r="AD1393" i="2"/>
  <c r="X1461" i="2"/>
  <c r="Y1461" i="2" s="1"/>
  <c r="Z1461" i="2" s="1"/>
  <c r="X1511" i="2"/>
  <c r="AD1561" i="2"/>
  <c r="AD1564" i="2"/>
  <c r="AE1569" i="2"/>
  <c r="AD1636" i="2"/>
  <c r="V1708" i="2"/>
  <c r="V1763" i="2"/>
  <c r="AE259" i="2"/>
  <c r="AE823" i="2"/>
  <c r="X891" i="2"/>
  <c r="X915" i="2"/>
  <c r="Y915" i="2" s="1"/>
  <c r="Z915" i="2" s="1"/>
  <c r="Y33" i="2"/>
  <c r="Z33" i="2" s="1"/>
  <c r="X83" i="2"/>
  <c r="Y83" i="2" s="1"/>
  <c r="Z83" i="2" s="1"/>
  <c r="X124" i="2"/>
  <c r="Y124" i="2" s="1"/>
  <c r="Z124" i="2" s="1"/>
  <c r="W149" i="2"/>
  <c r="AD151" i="2"/>
  <c r="AD329" i="2"/>
  <c r="X353" i="2"/>
  <c r="Y353" i="2" s="1"/>
  <c r="Z353" i="2" s="1"/>
  <c r="AD355" i="2"/>
  <c r="V429" i="2"/>
  <c r="AD431" i="2"/>
  <c r="W466" i="2"/>
  <c r="X681" i="2"/>
  <c r="Y681" i="2" s="1"/>
  <c r="Z681" i="2" s="1"/>
  <c r="AD683" i="2"/>
  <c r="AD686" i="2"/>
  <c r="X768" i="2"/>
  <c r="Y768" i="2" s="1"/>
  <c r="Z768" i="2" s="1"/>
  <c r="V860" i="2"/>
  <c r="V864" i="2"/>
  <c r="AD870" i="2"/>
  <c r="AD893" i="2"/>
  <c r="V911" i="2"/>
  <c r="AD913" i="2"/>
  <c r="Z918" i="2"/>
  <c r="W963" i="2"/>
  <c r="X979" i="2"/>
  <c r="Y979" i="2" s="1"/>
  <c r="Z979" i="2" s="1"/>
  <c r="V1086" i="2"/>
  <c r="X1147" i="2"/>
  <c r="Y1147" i="2" s="1"/>
  <c r="Z1147" i="2" s="1"/>
  <c r="AD1257" i="2"/>
  <c r="Y1349" i="2"/>
  <c r="Z1349" i="2" s="1"/>
  <c r="AD1351" i="2"/>
  <c r="AE1407" i="2"/>
  <c r="W1504" i="2"/>
  <c r="W1520" i="2"/>
  <c r="Y1672" i="2"/>
  <c r="Z1672" i="2" s="1"/>
  <c r="V1685" i="2"/>
  <c r="W1701" i="2"/>
  <c r="V1755" i="2"/>
  <c r="AD1771" i="2"/>
  <c r="AE1799" i="2"/>
  <c r="AD148" i="2"/>
  <c r="AD103" i="2"/>
  <c r="AD106" i="2"/>
  <c r="AD129" i="2"/>
  <c r="AD272" i="2"/>
  <c r="AD345" i="2"/>
  <c r="AD515" i="2"/>
  <c r="AD827" i="2"/>
  <c r="AD930" i="2"/>
  <c r="AD933" i="2"/>
  <c r="AD1021" i="2"/>
  <c r="AE1055" i="2"/>
  <c r="AE1116" i="2"/>
  <c r="AD1231" i="2"/>
  <c r="AD1341" i="2"/>
  <c r="AD1357" i="2"/>
  <c r="AD1363" i="2"/>
  <c r="Y1685" i="2"/>
  <c r="Z1685" i="2" s="1"/>
  <c r="X1755" i="2"/>
  <c r="AD1331" i="2"/>
  <c r="V1342" i="2"/>
  <c r="X1367" i="2"/>
  <c r="X1377" i="2"/>
  <c r="Y1377" i="2" s="1"/>
  <c r="Z1377" i="2" s="1"/>
  <c r="AD1560" i="2"/>
  <c r="V1577" i="2"/>
  <c r="V1623" i="2"/>
  <c r="W1791" i="2"/>
  <c r="X73" i="2"/>
  <c r="W142" i="2"/>
  <c r="X317" i="2"/>
  <c r="Y317" i="2" s="1"/>
  <c r="Z317" i="2" s="1"/>
  <c r="V377" i="2"/>
  <c r="AD389" i="2"/>
  <c r="AD392" i="2"/>
  <c r="Y497" i="2"/>
  <c r="Z497" i="2" s="1"/>
  <c r="V537" i="2"/>
  <c r="V577" i="2"/>
  <c r="AE578" i="2"/>
  <c r="W724" i="2"/>
  <c r="V821" i="2"/>
  <c r="AD851" i="2"/>
  <c r="W883" i="2"/>
  <c r="V903" i="2"/>
  <c r="Y927" i="2"/>
  <c r="Z927" i="2" s="1"/>
  <c r="X978" i="2"/>
  <c r="Y978" i="2" s="1"/>
  <c r="AD1002" i="2"/>
  <c r="AD1030" i="2"/>
  <c r="AD1145" i="2"/>
  <c r="AE1539" i="2"/>
  <c r="AE1555" i="2"/>
  <c r="AD1747" i="2"/>
  <c r="X341" i="2"/>
  <c r="Y341" i="2" s="1"/>
  <c r="Z341" i="2" s="1"/>
  <c r="W119" i="2"/>
  <c r="Y119" i="2"/>
  <c r="V310" i="2"/>
  <c r="V326" i="2"/>
  <c r="AD328" i="2"/>
  <c r="AD363" i="2"/>
  <c r="W377" i="2"/>
  <c r="X402" i="2"/>
  <c r="AD404" i="2"/>
  <c r="W424" i="2"/>
  <c r="AD582" i="2"/>
  <c r="V658" i="2"/>
  <c r="X774" i="2"/>
  <c r="Y799" i="2"/>
  <c r="V852" i="2"/>
  <c r="AD861" i="2"/>
  <c r="AE864" i="2"/>
  <c r="Z886" i="2"/>
  <c r="V940" i="2"/>
  <c r="AD970" i="2"/>
  <c r="AD1011" i="2"/>
  <c r="V1104" i="2"/>
  <c r="X1335" i="2"/>
  <c r="AD1350" i="2"/>
  <c r="AD1429" i="2"/>
  <c r="W1570" i="2"/>
  <c r="AE1672" i="2"/>
  <c r="AE1701" i="2"/>
  <c r="Y1738" i="2"/>
  <c r="Z1738" i="2" s="1"/>
  <c r="V1758" i="2"/>
  <c r="AD37" i="2"/>
  <c r="W157" i="2"/>
  <c r="W173" i="2"/>
  <c r="AE177" i="2"/>
  <c r="W201" i="2"/>
  <c r="AD231" i="2"/>
  <c r="V282" i="2"/>
  <c r="AE368" i="2"/>
  <c r="AE409" i="2"/>
  <c r="V434" i="2"/>
  <c r="X503" i="2"/>
  <c r="V777" i="2"/>
  <c r="W873" i="2"/>
  <c r="Z902" i="2"/>
  <c r="X943" i="2"/>
  <c r="Y943" i="2" s="1"/>
  <c r="Z943" i="2" s="1"/>
  <c r="V1018" i="2"/>
  <c r="V1037" i="2"/>
  <c r="W1072" i="2"/>
  <c r="W1091" i="2"/>
  <c r="V1111" i="2"/>
  <c r="X1171" i="2"/>
  <c r="X1316" i="2"/>
  <c r="X1373" i="2"/>
  <c r="V1481" i="2"/>
  <c r="V1544" i="2"/>
  <c r="V1557" i="2"/>
  <c r="X1632" i="2"/>
  <c r="X1648" i="2"/>
  <c r="Y1648" i="2" s="1"/>
  <c r="Z1648" i="2" s="1"/>
  <c r="W1658" i="2"/>
  <c r="Y1725" i="2"/>
  <c r="Z1725" i="2" s="1"/>
  <c r="AD529" i="2"/>
  <c r="AD532" i="2"/>
  <c r="AD572" i="2"/>
  <c r="AD656" i="2"/>
  <c r="AD747" i="2"/>
  <c r="AD1083" i="2"/>
  <c r="AD1330" i="2"/>
  <c r="AD1524" i="2"/>
  <c r="AD1552" i="2"/>
  <c r="AD1689" i="2"/>
  <c r="V341" i="2"/>
  <c r="X92" i="2"/>
  <c r="AD6" i="2"/>
  <c r="AD15" i="2"/>
  <c r="X29" i="2"/>
  <c r="Y29" i="2" s="1"/>
  <c r="AD31" i="2"/>
  <c r="V56" i="2"/>
  <c r="V119" i="2"/>
  <c r="V120" i="2"/>
  <c r="V124" i="2"/>
  <c r="AD130" i="2"/>
  <c r="AD133" i="2"/>
  <c r="V173" i="2"/>
  <c r="AE240" i="2"/>
  <c r="X255" i="2"/>
  <c r="AD257" i="2"/>
  <c r="W262" i="2"/>
  <c r="AD283" i="2"/>
  <c r="AE295" i="2"/>
  <c r="Y501" i="2"/>
  <c r="V501" i="2"/>
  <c r="AE670" i="2"/>
  <c r="AE776" i="2"/>
  <c r="V776" i="2"/>
  <c r="V1052" i="2"/>
  <c r="AE1052" i="2"/>
  <c r="X1052" i="2"/>
  <c r="Y1052" i="2" s="1"/>
  <c r="Z1052" i="2" s="1"/>
  <c r="Y115" i="2"/>
  <c r="X219" i="2"/>
  <c r="Y219" i="2" s="1"/>
  <c r="Z219" i="2" s="1"/>
  <c r="X287" i="2"/>
  <c r="Y300" i="2"/>
  <c r="Z300" i="2" s="1"/>
  <c r="AE309" i="2"/>
  <c r="W309" i="2"/>
  <c r="X390" i="2"/>
  <c r="Y390" i="2" s="1"/>
  <c r="Z390" i="2" s="1"/>
  <c r="X412" i="2"/>
  <c r="W412" i="2"/>
  <c r="AE441" i="2"/>
  <c r="X441" i="2"/>
  <c r="AE491" i="2"/>
  <c r="V491" i="2"/>
  <c r="AE646" i="2"/>
  <c r="V646" i="2"/>
  <c r="W819" i="2"/>
  <c r="AE819" i="2"/>
  <c r="AE1397" i="2"/>
  <c r="V1397" i="2"/>
  <c r="AE345" i="2"/>
  <c r="V345" i="2"/>
  <c r="AE293" i="2"/>
  <c r="V293" i="2"/>
  <c r="AE421" i="2"/>
  <c r="V421" i="2"/>
  <c r="V1048" i="2"/>
  <c r="AE1048" i="2"/>
  <c r="Y1048" i="2"/>
  <c r="W1048" i="2"/>
  <c r="X1533" i="2"/>
  <c r="Y1533" i="2" s="1"/>
  <c r="Z1533" i="2" s="1"/>
  <c r="V1533" i="2"/>
  <c r="AE357" i="2"/>
  <c r="W357" i="2"/>
  <c r="AE373" i="2"/>
  <c r="X373" i="2"/>
  <c r="V462" i="2"/>
  <c r="X462" i="2"/>
  <c r="Y462" i="2" s="1"/>
  <c r="W608" i="2"/>
  <c r="X608" i="2"/>
  <c r="AE871" i="2"/>
  <c r="X871" i="2"/>
  <c r="V871" i="2"/>
  <c r="AE1163" i="2"/>
  <c r="X1163" i="2"/>
  <c r="W1163" i="2"/>
  <c r="W55" i="2"/>
  <c r="V91" i="2"/>
  <c r="X101" i="2"/>
  <c r="Y101" i="2" s="1"/>
  <c r="AD73" i="2"/>
  <c r="X84" i="2"/>
  <c r="AD86" i="2"/>
  <c r="X91" i="2"/>
  <c r="Y91" i="2" s="1"/>
  <c r="AD121" i="2"/>
  <c r="X133" i="2"/>
  <c r="Y133" i="2" s="1"/>
  <c r="Z133" i="2" s="1"/>
  <c r="W161" i="2"/>
  <c r="AE169" i="2"/>
  <c r="AE173" i="2"/>
  <c r="W185" i="2"/>
  <c r="AD187" i="2"/>
  <c r="X201" i="2"/>
  <c r="Y201" i="2" s="1"/>
  <c r="Z201" i="2" s="1"/>
  <c r="W205" i="2"/>
  <c r="X218" i="2"/>
  <c r="Y257" i="2"/>
  <c r="Z257" i="2" s="1"/>
  <c r="X357" i="2"/>
  <c r="X408" i="2"/>
  <c r="Y408" i="2" s="1"/>
  <c r="Z408" i="2" s="1"/>
  <c r="W408" i="2"/>
  <c r="V1492" i="2"/>
  <c r="Y1492" i="2"/>
  <c r="Z1492" i="2" s="1"/>
  <c r="W1492" i="2"/>
  <c r="Y1549" i="2"/>
  <c r="Z1549" i="2" s="1"/>
  <c r="W1549" i="2"/>
  <c r="W35" i="2"/>
  <c r="V48" i="2"/>
  <c r="AE111" i="2"/>
  <c r="AE115" i="2"/>
  <c r="AE119" i="2"/>
  <c r="X161" i="2"/>
  <c r="AE232" i="2"/>
  <c r="W564" i="2"/>
  <c r="X564" i="2"/>
  <c r="Y564" i="2" s="1"/>
  <c r="V1187" i="2"/>
  <c r="AE1187" i="2"/>
  <c r="W1326" i="2"/>
  <c r="AE1326" i="2"/>
  <c r="V1326" i="2"/>
  <c r="X71" i="2"/>
  <c r="AD82" i="2"/>
  <c r="Y161" i="2"/>
  <c r="Z161" i="2" s="1"/>
  <c r="AE333" i="2"/>
  <c r="V333" i="2"/>
  <c r="AE385" i="2"/>
  <c r="X385" i="2"/>
  <c r="Y385" i="2" s="1"/>
  <c r="Z385" i="2" s="1"/>
  <c r="V385" i="2"/>
  <c r="V1516" i="2"/>
  <c r="W1516" i="2"/>
  <c r="AE469" i="2"/>
  <c r="X469" i="2"/>
  <c r="Y469" i="2" s="1"/>
  <c r="Z469" i="2" s="1"/>
  <c r="AE71" i="2"/>
  <c r="AD102" i="2"/>
  <c r="AD159" i="2"/>
  <c r="AD180" i="2"/>
  <c r="AD183" i="2"/>
  <c r="V224" i="2"/>
  <c r="AD271" i="2"/>
  <c r="AE627" i="2"/>
  <c r="W670" i="2"/>
  <c r="AE361" i="2"/>
  <c r="V361" i="2"/>
  <c r="X9" i="2"/>
  <c r="Y9" i="2" s="1"/>
  <c r="X17" i="2"/>
  <c r="Y17" i="2" s="1"/>
  <c r="X33" i="2"/>
  <c r="X57" i="2"/>
  <c r="Y57" i="2" s="1"/>
  <c r="Y113" i="2"/>
  <c r="AE201" i="2"/>
  <c r="AD209" i="2"/>
  <c r="AE211" i="2"/>
  <c r="W224" i="2"/>
  <c r="AD258" i="2"/>
  <c r="W285" i="2"/>
  <c r="AD287" i="2"/>
  <c r="X333" i="2"/>
  <c r="AE467" i="2"/>
  <c r="X467" i="2"/>
  <c r="X486" i="2"/>
  <c r="Y486" i="2" s="1"/>
  <c r="AE486" i="2"/>
  <c r="AE701" i="2"/>
  <c r="V701" i="2"/>
  <c r="AE1177" i="2"/>
  <c r="Y1177" i="2"/>
  <c r="Z1177" i="2" s="1"/>
  <c r="AE875" i="2"/>
  <c r="X875" i="2"/>
  <c r="Y875" i="2" s="1"/>
  <c r="Z875" i="2" s="1"/>
  <c r="W875" i="2"/>
  <c r="V875" i="2"/>
  <c r="V111" i="2"/>
  <c r="AD22" i="2"/>
  <c r="AD25" i="2"/>
  <c r="AD75" i="2"/>
  <c r="AD91" i="2"/>
  <c r="AD149" i="2"/>
  <c r="AD195" i="2"/>
  <c r="AD212" i="2"/>
  <c r="AD222" i="2"/>
  <c r="AD248" i="2"/>
  <c r="AD261" i="2"/>
  <c r="AD280" i="2"/>
  <c r="AD341" i="2"/>
  <c r="AE349" i="2"/>
  <c r="Y349" i="2"/>
  <c r="Z349" i="2" s="1"/>
  <c r="AE365" i="2"/>
  <c r="V365" i="2"/>
  <c r="AE426" i="2"/>
  <c r="X426" i="2"/>
  <c r="AE448" i="2"/>
  <c r="X448" i="2"/>
  <c r="X882" i="2"/>
  <c r="Y882" i="2"/>
  <c r="Z882" i="2" s="1"/>
  <c r="Y1369" i="2"/>
  <c r="X1369" i="2"/>
  <c r="X25" i="2"/>
  <c r="Y25" i="2" s="1"/>
  <c r="AD9" i="2"/>
  <c r="X93" i="2"/>
  <c r="Y93" i="2" s="1"/>
  <c r="AD95" i="2"/>
  <c r="AD98" i="2"/>
  <c r="AD152" i="2"/>
  <c r="AD165" i="2"/>
  <c r="V177" i="2"/>
  <c r="AD205" i="2"/>
  <c r="X213" i="2"/>
  <c r="AD380" i="2"/>
  <c r="AD383" i="2"/>
  <c r="AD399" i="2"/>
  <c r="X416" i="2"/>
  <c r="Y416" i="2" s="1"/>
  <c r="Z416" i="2" s="1"/>
  <c r="AE416" i="2"/>
  <c r="W416" i="2"/>
  <c r="V666" i="2"/>
  <c r="AE666" i="2"/>
  <c r="W666" i="2"/>
  <c r="AD321" i="2"/>
  <c r="AD324" i="2"/>
  <c r="AD375" i="2"/>
  <c r="AD423" i="2"/>
  <c r="AD427" i="2"/>
  <c r="AD535" i="2"/>
  <c r="AD610" i="2"/>
  <c r="W732" i="2"/>
  <c r="AE746" i="2"/>
  <c r="AD763" i="2"/>
  <c r="X778" i="2"/>
  <c r="AE782" i="2"/>
  <c r="AD796" i="2"/>
  <c r="AD799" i="2"/>
  <c r="X814" i="2"/>
  <c r="AD879" i="2"/>
  <c r="V899" i="2"/>
  <c r="AD901" i="2"/>
  <c r="Y907" i="2"/>
  <c r="Z907" i="2" s="1"/>
  <c r="AD986" i="2"/>
  <c r="AD999" i="2"/>
  <c r="AE1001" i="2"/>
  <c r="X1016" i="2"/>
  <c r="Y1016" i="2" s="1"/>
  <c r="AD1018" i="2"/>
  <c r="AD1025" i="2"/>
  <c r="AE1047" i="2"/>
  <c r="X1054" i="2"/>
  <c r="X1068" i="2"/>
  <c r="AE1082" i="2"/>
  <c r="X1141" i="2"/>
  <c r="Y1141" i="2" s="1"/>
  <c r="V1158" i="2"/>
  <c r="V1168" i="2"/>
  <c r="AE1173" i="2"/>
  <c r="V1204" i="2"/>
  <c r="V1212" i="2"/>
  <c r="V1246" i="2"/>
  <c r="AD1258" i="2"/>
  <c r="Y1263" i="2"/>
  <c r="Z1263" i="2" s="1"/>
  <c r="W1270" i="2"/>
  <c r="AD1282" i="2"/>
  <c r="AD1289" i="2"/>
  <c r="V1378" i="2"/>
  <c r="X1395" i="2"/>
  <c r="Y1395" i="2" s="1"/>
  <c r="V1405" i="2"/>
  <c r="V1409" i="2"/>
  <c r="V1445" i="2"/>
  <c r="W1465" i="2"/>
  <c r="X1484" i="2"/>
  <c r="W1501" i="2"/>
  <c r="X1521" i="2"/>
  <c r="V1568" i="2"/>
  <c r="V1589" i="2"/>
  <c r="AD1601" i="2"/>
  <c r="AE1608" i="2"/>
  <c r="V1614" i="2"/>
  <c r="V1634" i="2"/>
  <c r="AE1646" i="2"/>
  <c r="AE1650" i="2"/>
  <c r="V1667" i="2"/>
  <c r="W1685" i="2"/>
  <c r="AD1711" i="2"/>
  <c r="AE1741" i="2"/>
  <c r="AD1767" i="2"/>
  <c r="X1589" i="2"/>
  <c r="X1614" i="2"/>
  <c r="Y1614" i="2" s="1"/>
  <c r="Z1614" i="2" s="1"/>
  <c r="X1634" i="2"/>
  <c r="W1667" i="2"/>
  <c r="AD311" i="2"/>
  <c r="AD419" i="2"/>
  <c r="AD503" i="2"/>
  <c r="AD519" i="2"/>
  <c r="AD522" i="2"/>
  <c r="AD591" i="2"/>
  <c r="AD594" i="2"/>
  <c r="AD597" i="2"/>
  <c r="AD629" i="2"/>
  <c r="AD632" i="2"/>
  <c r="AE634" i="2"/>
  <c r="X738" i="2"/>
  <c r="Y738" i="2" s="1"/>
  <c r="Z738" i="2" s="1"/>
  <c r="V748" i="2"/>
  <c r="V784" i="2"/>
  <c r="V800" i="2"/>
  <c r="X810" i="2"/>
  <c r="AD826" i="2"/>
  <c r="V840" i="2"/>
  <c r="AD842" i="2"/>
  <c r="AD845" i="2"/>
  <c r="V887" i="2"/>
  <c r="V895" i="2"/>
  <c r="AD939" i="2"/>
  <c r="Z950" i="2"/>
  <c r="V970" i="2"/>
  <c r="AD979" i="2"/>
  <c r="X990" i="2"/>
  <c r="Y990" i="2" s="1"/>
  <c r="Z990" i="2" s="1"/>
  <c r="V1022" i="2"/>
  <c r="AD1056" i="2"/>
  <c r="W1064" i="2"/>
  <c r="AD1086" i="2"/>
  <c r="AD1093" i="2"/>
  <c r="Y1137" i="2"/>
  <c r="AD1139" i="2"/>
  <c r="V1147" i="2"/>
  <c r="V1195" i="2"/>
  <c r="V1200" i="2"/>
  <c r="AE1205" i="2"/>
  <c r="V1208" i="2"/>
  <c r="Y1215" i="2"/>
  <c r="W1231" i="2"/>
  <c r="AE1239" i="2"/>
  <c r="AE1291" i="2"/>
  <c r="V1394" i="2"/>
  <c r="V1421" i="2"/>
  <c r="W1461" i="2"/>
  <c r="AD1476" i="2"/>
  <c r="AD1479" i="2"/>
  <c r="Y1567" i="2"/>
  <c r="Z1567" i="2" s="1"/>
  <c r="V1648" i="2"/>
  <c r="V1677" i="2"/>
  <c r="V1681" i="2"/>
  <c r="V1698" i="2"/>
  <c r="W1725" i="2"/>
  <c r="AE1727" i="2"/>
  <c r="Y1797" i="2"/>
  <c r="Z1797" i="2" s="1"/>
  <c r="X800" i="2"/>
  <c r="Y800" i="2" s="1"/>
  <c r="AE801" i="2"/>
  <c r="AE858" i="2"/>
  <c r="X895" i="2"/>
  <c r="Y895" i="2" s="1"/>
  <c r="Z895" i="2" s="1"/>
  <c r="AE934" i="2"/>
  <c r="AE984" i="2"/>
  <c r="X1022" i="2"/>
  <c r="Y1064" i="2"/>
  <c r="Z1064" i="2" s="1"/>
  <c r="AE1172" i="2"/>
  <c r="AE1798" i="2"/>
  <c r="AD323" i="2"/>
  <c r="X582" i="2"/>
  <c r="AD625" i="2"/>
  <c r="V642" i="2"/>
  <c r="X652" i="2"/>
  <c r="Y652" i="2" s="1"/>
  <c r="Z652" i="2" s="1"/>
  <c r="V673" i="2"/>
  <c r="AD675" i="2"/>
  <c r="AD691" i="2"/>
  <c r="AD736" i="2"/>
  <c r="W760" i="2"/>
  <c r="AD795" i="2"/>
  <c r="AD822" i="2"/>
  <c r="W833" i="2"/>
  <c r="AD835" i="2"/>
  <c r="AD859" i="2"/>
  <c r="X883" i="2"/>
  <c r="Y883" i="2" s="1"/>
  <c r="Z883" i="2" s="1"/>
  <c r="Z894" i="2"/>
  <c r="AD922" i="2"/>
  <c r="V943" i="2"/>
  <c r="V969" i="2"/>
  <c r="X1038" i="2"/>
  <c r="Y1038" i="2" s="1"/>
  <c r="Z1038" i="2" s="1"/>
  <c r="AD1043" i="2"/>
  <c r="AD1059" i="2"/>
  <c r="AE1068" i="2"/>
  <c r="V1080" i="2"/>
  <c r="AD1102" i="2"/>
  <c r="AD1119" i="2"/>
  <c r="X1133" i="2"/>
  <c r="Y1133" i="2" s="1"/>
  <c r="AD1142" i="2"/>
  <c r="V1150" i="2"/>
  <c r="AD1183" i="2"/>
  <c r="X1191" i="2"/>
  <c r="Y1191" i="2" s="1"/>
  <c r="Z1191" i="2" s="1"/>
  <c r="X1195" i="2"/>
  <c r="W1207" i="2"/>
  <c r="V1227" i="2"/>
  <c r="AE1263" i="2"/>
  <c r="W1276" i="2"/>
  <c r="V1299" i="2"/>
  <c r="AD1322" i="2"/>
  <c r="W1327" i="2"/>
  <c r="AD1339" i="2"/>
  <c r="AD1379" i="2"/>
  <c r="AE1395" i="2"/>
  <c r="AD1413" i="2"/>
  <c r="AD1419" i="2"/>
  <c r="V1437" i="2"/>
  <c r="AD1446" i="2"/>
  <c r="W1493" i="2"/>
  <c r="W1553" i="2"/>
  <c r="Y1557" i="2"/>
  <c r="Z1557" i="2" s="1"/>
  <c r="AD1569" i="2"/>
  <c r="X1626" i="2"/>
  <c r="Y1626" i="2" s="1"/>
  <c r="Z1626" i="2" s="1"/>
  <c r="W1640" i="2"/>
  <c r="W1655" i="2"/>
  <c r="X1677" i="2"/>
  <c r="Y1677" i="2" s="1"/>
  <c r="Z1677" i="2" s="1"/>
  <c r="AD1713" i="2"/>
  <c r="W1721" i="2"/>
  <c r="AD1731" i="2"/>
  <c r="AD1759" i="2"/>
  <c r="X1783" i="2"/>
  <c r="W1790" i="2"/>
  <c r="AD1565" i="2"/>
  <c r="AE1589" i="2"/>
  <c r="X1640" i="2"/>
  <c r="AE1667" i="2"/>
  <c r="AE1685" i="2"/>
  <c r="AE1715" i="2"/>
  <c r="AD1775" i="2"/>
  <c r="AD297" i="2"/>
  <c r="AD300" i="2"/>
  <c r="X337" i="2"/>
  <c r="Y337" i="2" s="1"/>
  <c r="Z337" i="2" s="1"/>
  <c r="AD488" i="2"/>
  <c r="AD502" i="2"/>
  <c r="AD540" i="2"/>
  <c r="AD703" i="2"/>
  <c r="AD719" i="2"/>
  <c r="AD752" i="2"/>
  <c r="AD788" i="2"/>
  <c r="X852" i="2"/>
  <c r="Y852" i="2" s="1"/>
  <c r="Z852" i="2" s="1"/>
  <c r="AD903" i="2"/>
  <c r="AE950" i="2"/>
  <c r="AD1007" i="2"/>
  <c r="AD1058" i="2"/>
  <c r="AD1105" i="2"/>
  <c r="AD1138" i="2"/>
  <c r="AD1216" i="2"/>
  <c r="AD1222" i="2"/>
  <c r="X1299" i="2"/>
  <c r="Y1299" i="2" s="1"/>
  <c r="Z1299" i="2" s="1"/>
  <c r="AD1345" i="2"/>
  <c r="Y1407" i="2"/>
  <c r="Z1407" i="2" s="1"/>
  <c r="AD1518" i="2"/>
  <c r="X1523" i="2"/>
  <c r="Y1523" i="2" s="1"/>
  <c r="Z1523" i="2" s="1"/>
  <c r="AE1567" i="2"/>
  <c r="W1605" i="2"/>
  <c r="V1665" i="2"/>
  <c r="AD1668" i="2"/>
  <c r="W1704" i="2"/>
  <c r="AD1716" i="2"/>
  <c r="W1738" i="2"/>
  <c r="Y1742" i="2"/>
  <c r="W1749" i="2"/>
  <c r="AE1797" i="2"/>
  <c r="AD602" i="2"/>
  <c r="AD637" i="2"/>
  <c r="AD640" i="2"/>
  <c r="AD684" i="2"/>
  <c r="AD712" i="2"/>
  <c r="AD831" i="2"/>
  <c r="AD847" i="2"/>
  <c r="AE890" i="2"/>
  <c r="AD967" i="2"/>
  <c r="AD1023" i="2"/>
  <c r="AD1068" i="2"/>
  <c r="AD1141" i="2"/>
  <c r="AD1358" i="2"/>
  <c r="AD376" i="2"/>
  <c r="V518" i="2"/>
  <c r="AD586" i="2"/>
  <c r="AD794" i="2"/>
  <c r="AD804" i="2"/>
  <c r="AD807" i="2"/>
  <c r="W851" i="2"/>
  <c r="W855" i="2"/>
  <c r="AE894" i="2"/>
  <c r="AD927" i="2"/>
  <c r="V952" i="2"/>
  <c r="AD954" i="2"/>
  <c r="AD957" i="2"/>
  <c r="AE969" i="2"/>
  <c r="AD1042" i="2"/>
  <c r="W1099" i="2"/>
  <c r="AD1121" i="2"/>
  <c r="AD1127" i="2"/>
  <c r="AD1151" i="2"/>
  <c r="V1180" i="2"/>
  <c r="AD1238" i="2"/>
  <c r="V1243" i="2"/>
  <c r="X1288" i="2"/>
  <c r="V1302" i="2"/>
  <c r="AE1327" i="2"/>
  <c r="V1365" i="2"/>
  <c r="W1456" i="2"/>
  <c r="AD1468" i="2"/>
  <c r="W1526" i="2"/>
  <c r="W1608" i="2"/>
  <c r="AD1627" i="2"/>
  <c r="V1646" i="2"/>
  <c r="W1650" i="2"/>
  <c r="V1727" i="2"/>
  <c r="Y855" i="2"/>
  <c r="Z855" i="2" s="1"/>
  <c r="W1243" i="2"/>
  <c r="W1485" i="2"/>
  <c r="W1661" i="2"/>
  <c r="X1713" i="2"/>
  <c r="Y1713" i="2" s="1"/>
  <c r="Z1713" i="2" s="1"/>
  <c r="W1727" i="2"/>
  <c r="C4" i="5"/>
  <c r="D4" i="5" s="1"/>
  <c r="AD520" i="2"/>
  <c r="AD523" i="2"/>
  <c r="AD542" i="2"/>
  <c r="AD592" i="2"/>
  <c r="AD595" i="2"/>
  <c r="AD611" i="2"/>
  <c r="AD614" i="2"/>
  <c r="AD617" i="2"/>
  <c r="AD702" i="2"/>
  <c r="AD963" i="2"/>
  <c r="AD993" i="2"/>
  <c r="AD996" i="2"/>
  <c r="AD1003" i="2"/>
  <c r="AD1094" i="2"/>
  <c r="AD1507" i="2"/>
  <c r="AD1537" i="2"/>
  <c r="AD1652" i="2"/>
  <c r="AD1684" i="2"/>
  <c r="Z1727" i="2"/>
  <c r="AE401" i="2"/>
  <c r="W401" i="2"/>
  <c r="AD3" i="2"/>
  <c r="AD19" i="2"/>
  <c r="AD43" i="2"/>
  <c r="AD58" i="2"/>
  <c r="AE67" i="2"/>
  <c r="AD94" i="2"/>
  <c r="AD115" i="2"/>
  <c r="AD137" i="2"/>
  <c r="AD153" i="2"/>
  <c r="AD167" i="2"/>
  <c r="AD245" i="2"/>
  <c r="AD252" i="2"/>
  <c r="AD259" i="2"/>
  <c r="AD284" i="2"/>
  <c r="AD351" i="2"/>
  <c r="AD368" i="2"/>
  <c r="AD379" i="2"/>
  <c r="W1000" i="2"/>
  <c r="Y1000" i="2"/>
  <c r="X1000" i="2"/>
  <c r="W47" i="2"/>
  <c r="X69" i="2"/>
  <c r="Y69" i="2" s="1"/>
  <c r="Y73" i="2"/>
  <c r="Z73" i="2" s="1"/>
  <c r="X117" i="2"/>
  <c r="W337" i="2"/>
  <c r="Y360" i="2"/>
  <c r="Z360" i="2" s="1"/>
  <c r="W361" i="2"/>
  <c r="W365" i="2"/>
  <c r="W440" i="2"/>
  <c r="X526" i="2"/>
  <c r="V526" i="2"/>
  <c r="Y117" i="2"/>
  <c r="Z117" i="2" s="1"/>
  <c r="AE669" i="2"/>
  <c r="V669" i="2"/>
  <c r="AD5" i="2"/>
  <c r="AD18" i="2"/>
  <c r="AD21" i="2"/>
  <c r="AD53" i="2"/>
  <c r="AE59" i="2"/>
  <c r="X65" i="2"/>
  <c r="Y65" i="2" s="1"/>
  <c r="W79" i="2"/>
  <c r="W107" i="2"/>
  <c r="W111" i="2"/>
  <c r="X127" i="2"/>
  <c r="Y127" i="2" s="1"/>
  <c r="Z127" i="2" s="1"/>
  <c r="X157" i="2"/>
  <c r="Y157" i="2" s="1"/>
  <c r="Z157" i="2" s="1"/>
  <c r="V189" i="2"/>
  <c r="V226" i="2"/>
  <c r="X234" i="2"/>
  <c r="AE239" i="2"/>
  <c r="W242" i="2"/>
  <c r="W273" i="2"/>
  <c r="V277" i="2"/>
  <c r="Y336" i="2"/>
  <c r="AD381" i="2"/>
  <c r="Y397" i="2"/>
  <c r="Z397" i="2" s="1"/>
  <c r="X959" i="2"/>
  <c r="Y959" i="2" s="1"/>
  <c r="Z959" i="2" s="1"/>
  <c r="AE959" i="2"/>
  <c r="AE1041" i="2"/>
  <c r="V1041" i="2"/>
  <c r="W43" i="2"/>
  <c r="AD45" i="2"/>
  <c r="X79" i="2"/>
  <c r="Y79" i="2" s="1"/>
  <c r="Z79" i="2" s="1"/>
  <c r="X97" i="2"/>
  <c r="Y97" i="2" s="1"/>
  <c r="V115" i="2"/>
  <c r="W137" i="2"/>
  <c r="W153" i="2"/>
  <c r="V185" i="2"/>
  <c r="V213" i="2"/>
  <c r="AD220" i="2"/>
  <c r="W226" i="2"/>
  <c r="AD232" i="2"/>
  <c r="Y234" i="2"/>
  <c r="AD236" i="2"/>
  <c r="AD240" i="2"/>
  <c r="V245" i="2"/>
  <c r="AD275" i="2"/>
  <c r="W277" i="2"/>
  <c r="X301" i="2"/>
  <c r="Y301" i="2" s="1"/>
  <c r="Z301" i="2" s="1"/>
  <c r="AD303" i="2"/>
  <c r="X318" i="2"/>
  <c r="Y318" i="2" s="1"/>
  <c r="Z318" i="2" s="1"/>
  <c r="AD353" i="2"/>
  <c r="AE372" i="2"/>
  <c r="X393" i="2"/>
  <c r="AD395" i="2"/>
  <c r="X400" i="2"/>
  <c r="Y400" i="2" s="1"/>
  <c r="Z400" i="2" s="1"/>
  <c r="AE400" i="2"/>
  <c r="AE839" i="2"/>
  <c r="Y839" i="2"/>
  <c r="Z839" i="2" s="1"/>
  <c r="W839" i="2"/>
  <c r="V839" i="2"/>
  <c r="AD11" i="2"/>
  <c r="AD27" i="2"/>
  <c r="AD74" i="2"/>
  <c r="W115" i="2"/>
  <c r="X137" i="2"/>
  <c r="Y137" i="2" s="1"/>
  <c r="Z137" i="2" s="1"/>
  <c r="AD197" i="2"/>
  <c r="X226" i="2"/>
  <c r="Y226" i="2" s="1"/>
  <c r="X277" i="2"/>
  <c r="Y277" i="2" s="1"/>
  <c r="Z277" i="2" s="1"/>
  <c r="AD309" i="2"/>
  <c r="AD313" i="2"/>
  <c r="AD320" i="2"/>
  <c r="X432" i="2"/>
  <c r="Y432" i="2" s="1"/>
  <c r="Z432" i="2" s="1"/>
  <c r="W432" i="2"/>
  <c r="AE440" i="2"/>
  <c r="AE772" i="2"/>
  <c r="X772" i="2"/>
  <c r="Y772" i="2" s="1"/>
  <c r="Z772" i="2" s="1"/>
  <c r="V772" i="2"/>
  <c r="AE1073" i="2"/>
  <c r="V1073" i="2"/>
  <c r="AE83" i="2"/>
  <c r="V126" i="2"/>
  <c r="W133" i="2"/>
  <c r="X185" i="2"/>
  <c r="V209" i="2"/>
  <c r="Y213" i="2"/>
  <c r="Z213" i="2" s="1"/>
  <c r="AE218" i="2"/>
  <c r="V225" i="2"/>
  <c r="AE227" i="2"/>
  <c r="W237" i="2"/>
  <c r="X241" i="2"/>
  <c r="Y241" i="2" s="1"/>
  <c r="Z241" i="2" s="1"/>
  <c r="V251" i="2"/>
  <c r="X269" i="2"/>
  <c r="Y269" i="2" s="1"/>
  <c r="Z269" i="2" s="1"/>
  <c r="W317" i="2"/>
  <c r="Y321" i="2"/>
  <c r="Z321" i="2" s="1"/>
  <c r="AE360" i="2"/>
  <c r="AE364" i="2"/>
  <c r="X392" i="2"/>
  <c r="Y392" i="2" s="1"/>
  <c r="Z392" i="2" s="1"/>
  <c r="AE392" i="2"/>
  <c r="V478" i="2"/>
  <c r="X478" i="2"/>
  <c r="Y478" i="2" s="1"/>
  <c r="Z478" i="2" s="1"/>
  <c r="W478" i="2"/>
  <c r="V622" i="2"/>
  <c r="AE622" i="2"/>
  <c r="AE762" i="2"/>
  <c r="X762" i="2"/>
  <c r="AE955" i="2"/>
  <c r="X955" i="2"/>
  <c r="Y955" i="2" s="1"/>
  <c r="Z955" i="2" s="1"/>
  <c r="W955" i="2"/>
  <c r="V955" i="2"/>
  <c r="AD246" i="2"/>
  <c r="AD253" i="2"/>
  <c r="AD264" i="2"/>
  <c r="AD305" i="2"/>
  <c r="AD348" i="2"/>
  <c r="X354" i="2"/>
  <c r="AD360" i="2"/>
  <c r="AD369" i="2"/>
  <c r="AD372" i="2"/>
  <c r="AD401" i="2"/>
  <c r="X420" i="2"/>
  <c r="Y420" i="2" s="1"/>
  <c r="Z420" i="2" s="1"/>
  <c r="W420" i="2"/>
  <c r="AE438" i="2"/>
  <c r="X438" i="2"/>
  <c r="Y438" i="2" s="1"/>
  <c r="Z438" i="2" s="1"/>
  <c r="V438" i="2"/>
  <c r="X487" i="2"/>
  <c r="V487" i="2"/>
  <c r="AD10" i="2"/>
  <c r="AD13" i="2"/>
  <c r="AD26" i="2"/>
  <c r="AD29" i="2"/>
  <c r="X49" i="2"/>
  <c r="Y49" i="2" s="1"/>
  <c r="AD51" i="2"/>
  <c r="AD83" i="2"/>
  <c r="Y85" i="2"/>
  <c r="Z85" i="2" s="1"/>
  <c r="AD87" i="2"/>
  <c r="W99" i="2"/>
  <c r="AD101" i="2"/>
  <c r="X109" i="2"/>
  <c r="Y109" i="2" s="1"/>
  <c r="AD111" i="2"/>
  <c r="X120" i="2"/>
  <c r="AD157" i="2"/>
  <c r="X177" i="2"/>
  <c r="Y177" i="2" s="1"/>
  <c r="Z177" i="2" s="1"/>
  <c r="AD199" i="2"/>
  <c r="X205" i="2"/>
  <c r="Y205" i="2" s="1"/>
  <c r="Z205" i="2" s="1"/>
  <c r="Y223" i="2"/>
  <c r="Z223" i="2" s="1"/>
  <c r="X224" i="2"/>
  <c r="V236" i="2"/>
  <c r="AD249" i="2"/>
  <c r="X265" i="2"/>
  <c r="Y265" i="2" s="1"/>
  <c r="Z265" i="2" s="1"/>
  <c r="AD281" i="2"/>
  <c r="AD288" i="2"/>
  <c r="X293" i="2"/>
  <c r="Y293" i="2" s="1"/>
  <c r="Z293" i="2" s="1"/>
  <c r="AD308" i="2"/>
  <c r="AD312" i="2"/>
  <c r="V330" i="2"/>
  <c r="W349" i="2"/>
  <c r="V353" i="2"/>
  <c r="X377" i="2"/>
  <c r="AE396" i="2"/>
  <c r="AE432" i="2"/>
  <c r="W1004" i="2"/>
  <c r="V1004" i="2"/>
  <c r="AD107" i="2"/>
  <c r="Y120" i="2"/>
  <c r="Z120" i="2" s="1"/>
  <c r="AD164" i="2"/>
  <c r="AD175" i="2"/>
  <c r="AD179" i="2"/>
  <c r="AE213" i="2"/>
  <c r="AD226" i="2"/>
  <c r="AD227" i="2"/>
  <c r="AD238" i="2"/>
  <c r="AE251" i="2"/>
  <c r="AD273" i="2"/>
  <c r="AD291" i="2"/>
  <c r="AD325" i="2"/>
  <c r="AD336" i="2"/>
  <c r="X342" i="2"/>
  <c r="AD344" i="2"/>
  <c r="X349" i="2"/>
  <c r="W353" i="2"/>
  <c r="V357" i="2"/>
  <c r="AD364" i="2"/>
  <c r="X409" i="2"/>
  <c r="Y409" i="2" s="1"/>
  <c r="Z409" i="2" s="1"/>
  <c r="AE454" i="2"/>
  <c r="W454" i="2"/>
  <c r="AE514" i="2"/>
  <c r="X514" i="2"/>
  <c r="V514" i="2"/>
  <c r="X543" i="2"/>
  <c r="AE543" i="2"/>
  <c r="V892" i="2"/>
  <c r="X892" i="2"/>
  <c r="W951" i="2"/>
  <c r="AE951" i="2"/>
  <c r="X951" i="2"/>
  <c r="Y951" i="2" s="1"/>
  <c r="Z951" i="2" s="1"/>
  <c r="V951" i="2"/>
  <c r="Y1189" i="2"/>
  <c r="Z1189" i="2" s="1"/>
  <c r="X1272" i="2"/>
  <c r="W1272" i="2"/>
  <c r="W1322" i="2"/>
  <c r="V1322" i="2"/>
  <c r="AE1411" i="2"/>
  <c r="X1411" i="2"/>
  <c r="Y1411" i="2" s="1"/>
  <c r="W1411" i="2"/>
  <c r="V1411" i="2"/>
  <c r="V1282" i="2"/>
  <c r="W1282" i="2"/>
  <c r="AE1307" i="2"/>
  <c r="V1307" i="2"/>
  <c r="X1307" i="2"/>
  <c r="W1339" i="2"/>
  <c r="AE1339" i="2"/>
  <c r="X1339" i="2"/>
  <c r="AE1393" i="2"/>
  <c r="Y1393" i="2"/>
  <c r="V1414" i="2"/>
  <c r="AE1414" i="2"/>
  <c r="AE1417" i="2"/>
  <c r="V1417" i="2"/>
  <c r="AE408" i="2"/>
  <c r="AD603" i="2"/>
  <c r="AD624" i="2"/>
  <c r="AD641" i="2"/>
  <c r="AD645" i="2"/>
  <c r="AD707" i="2"/>
  <c r="AD714" i="2"/>
  <c r="AD724" i="2"/>
  <c r="AD760" i="2"/>
  <c r="AD764" i="2"/>
  <c r="AD779" i="2"/>
  <c r="AE781" i="2"/>
  <c r="X784" i="2"/>
  <c r="AE786" i="2"/>
  <c r="X792" i="2"/>
  <c r="Y792" i="2" s="1"/>
  <c r="AD802" i="2"/>
  <c r="AD808" i="2"/>
  <c r="AE814" i="2"/>
  <c r="X851" i="2"/>
  <c r="AE870" i="2"/>
  <c r="AE879" i="2"/>
  <c r="AD885" i="2"/>
  <c r="W887" i="2"/>
  <c r="AE914" i="2"/>
  <c r="AD946" i="2"/>
  <c r="AD961" i="2"/>
  <c r="AD968" i="2"/>
  <c r="AD973" i="2"/>
  <c r="AE991" i="2"/>
  <c r="X1008" i="2"/>
  <c r="Y1008" i="2" s="1"/>
  <c r="X1018" i="2"/>
  <c r="Y1018" i="2" s="1"/>
  <c r="Z1018" i="2" s="1"/>
  <c r="Y1022" i="2"/>
  <c r="AD1024" i="2"/>
  <c r="AD1028" i="2"/>
  <c r="X1036" i="2"/>
  <c r="AD1075" i="2"/>
  <c r="W1080" i="2"/>
  <c r="X1153" i="2"/>
  <c r="V1162" i="2"/>
  <c r="Y1163" i="2"/>
  <c r="AE1164" i="2"/>
  <c r="V1170" i="2"/>
  <c r="V1175" i="2"/>
  <c r="V1184" i="2"/>
  <c r="W1217" i="2"/>
  <c r="V1217" i="2"/>
  <c r="V1303" i="2"/>
  <c r="W1303" i="2"/>
  <c r="W1307" i="2"/>
  <c r="W1318" i="2"/>
  <c r="Y1339" i="2"/>
  <c r="X1417" i="2"/>
  <c r="Y1417" i="2" s="1"/>
  <c r="AD416" i="2"/>
  <c r="X418" i="2"/>
  <c r="AD424" i="2"/>
  <c r="V426" i="2"/>
  <c r="AD440" i="2"/>
  <c r="AD447" i="2"/>
  <c r="AD454" i="2"/>
  <c r="AD538" i="2"/>
  <c r="AD541" i="2"/>
  <c r="V546" i="2"/>
  <c r="AE566" i="2"/>
  <c r="AE619" i="2"/>
  <c r="AD631" i="2"/>
  <c r="AD634" i="2"/>
  <c r="AE654" i="2"/>
  <c r="AD672" i="2"/>
  <c r="AD679" i="2"/>
  <c r="AE682" i="2"/>
  <c r="AD693" i="2"/>
  <c r="AD700" i="2"/>
  <c r="AD775" i="2"/>
  <c r="AE785" i="2"/>
  <c r="AD787" i="2"/>
  <c r="AD790" i="2"/>
  <c r="AE793" i="2"/>
  <c r="AE841" i="2"/>
  <c r="AE861" i="2"/>
  <c r="X887" i="2"/>
  <c r="Y887" i="2" s="1"/>
  <c r="Z887" i="2" s="1"/>
  <c r="AD902" i="2"/>
  <c r="AD915" i="2"/>
  <c r="AD938" i="2"/>
  <c r="AD942" i="2"/>
  <c r="AD976" i="2"/>
  <c r="AD987" i="2"/>
  <c r="AE990" i="2"/>
  <c r="AD992" i="2"/>
  <c r="AE1005" i="2"/>
  <c r="AD1010" i="2"/>
  <c r="AD1013" i="2"/>
  <c r="AD1016" i="2"/>
  <c r="AD1020" i="2"/>
  <c r="AE1030" i="2"/>
  <c r="Y1036" i="2"/>
  <c r="Z1036" i="2" s="1"/>
  <c r="AD1039" i="2"/>
  <c r="AD1046" i="2"/>
  <c r="AE1059" i="2"/>
  <c r="X1080" i="2"/>
  <c r="Y1080" i="2" s="1"/>
  <c r="Z1080" i="2" s="1"/>
  <c r="AD1114" i="2"/>
  <c r="AD1165" i="2"/>
  <c r="W1175" i="2"/>
  <c r="AE1185" i="2"/>
  <c r="AE1192" i="2"/>
  <c r="V1192" i="2"/>
  <c r="AE1223" i="2"/>
  <c r="X1223" i="2"/>
  <c r="Y1223" i="2" s="1"/>
  <c r="Z1223" i="2" s="1"/>
  <c r="Y1307" i="2"/>
  <c r="Z1307" i="2" s="1"/>
  <c r="V1310" i="2"/>
  <c r="W1310" i="2"/>
  <c r="AD432" i="2"/>
  <c r="AD464" i="2"/>
  <c r="AD476" i="2"/>
  <c r="AE479" i="2"/>
  <c r="AD484" i="2"/>
  <c r="AD489" i="2"/>
  <c r="AE499" i="2"/>
  <c r="AD521" i="2"/>
  <c r="AD524" i="2"/>
  <c r="AD528" i="2"/>
  <c r="AD531" i="2"/>
  <c r="AD551" i="2"/>
  <c r="AD567" i="2"/>
  <c r="AD570" i="2"/>
  <c r="AD573" i="2"/>
  <c r="AD580" i="2"/>
  <c r="AE922" i="2"/>
  <c r="X1175" i="2"/>
  <c r="Y1175" i="2" s="1"/>
  <c r="Z1175" i="2" s="1"/>
  <c r="AE1183" i="2"/>
  <c r="Y1183" i="2"/>
  <c r="AE1189" i="2"/>
  <c r="W1213" i="2"/>
  <c r="V1213" i="2"/>
  <c r="X1271" i="2"/>
  <c r="Y1271" i="2" s="1"/>
  <c r="Z1271" i="2" s="1"/>
  <c r="AE1271" i="2"/>
  <c r="V1271" i="2"/>
  <c r="AE1413" i="2"/>
  <c r="V1413" i="2"/>
  <c r="W1423" i="2"/>
  <c r="X1423" i="2"/>
  <c r="Y1423" i="2" s="1"/>
  <c r="Z1423" i="2" s="1"/>
  <c r="V1423" i="2"/>
  <c r="AD397" i="2"/>
  <c r="AD408" i="2"/>
  <c r="Y417" i="2"/>
  <c r="Z417" i="2" s="1"/>
  <c r="Y425" i="2"/>
  <c r="Z425" i="2" s="1"/>
  <c r="X434" i="2"/>
  <c r="AD436" i="2"/>
  <c r="Y448" i="2"/>
  <c r="Z448" i="2" s="1"/>
  <c r="AD467" i="2"/>
  <c r="V469" i="2"/>
  <c r="V470" i="2"/>
  <c r="X491" i="2"/>
  <c r="AD517" i="2"/>
  <c r="X542" i="2"/>
  <c r="X574" i="2"/>
  <c r="Y574" i="2" s="1"/>
  <c r="Z574" i="2" s="1"/>
  <c r="V597" i="2"/>
  <c r="V621" i="2"/>
  <c r="V638" i="2"/>
  <c r="AD644" i="2"/>
  <c r="AD651" i="2"/>
  <c r="X664" i="2"/>
  <c r="Y664" i="2" s="1"/>
  <c r="Z664" i="2" s="1"/>
  <c r="X673" i="2"/>
  <c r="Y673" i="2" s="1"/>
  <c r="AD696" i="2"/>
  <c r="AD739" i="2"/>
  <c r="X750" i="2"/>
  <c r="AD811" i="2"/>
  <c r="AD814" i="2"/>
  <c r="V816" i="2"/>
  <c r="V820" i="2"/>
  <c r="AE840" i="2"/>
  <c r="AE860" i="2"/>
  <c r="AE883" i="2"/>
  <c r="AD898" i="2"/>
  <c r="X904" i="2"/>
  <c r="AD914" i="2"/>
  <c r="AD926" i="2"/>
  <c r="V931" i="2"/>
  <c r="Y939" i="2"/>
  <c r="Z939" i="2" s="1"/>
  <c r="W943" i="2"/>
  <c r="AE963" i="2"/>
  <c r="Y977" i="2"/>
  <c r="AD983" i="2"/>
  <c r="AD990" i="2"/>
  <c r="AD998" i="2"/>
  <c r="AD1038" i="2"/>
  <c r="V1040" i="2"/>
  <c r="X1048" i="2"/>
  <c r="Y1049" i="2"/>
  <c r="Z1049" i="2" s="1"/>
  <c r="AD1055" i="2"/>
  <c r="AE1058" i="2"/>
  <c r="V1065" i="2"/>
  <c r="AD1067" i="2"/>
  <c r="X1072" i="2"/>
  <c r="Y1072" i="2" s="1"/>
  <c r="Z1072" i="2" s="1"/>
  <c r="V1084" i="2"/>
  <c r="X1096" i="2"/>
  <c r="Y1096" i="2" s="1"/>
  <c r="V1100" i="2"/>
  <c r="AD1110" i="2"/>
  <c r="AD1126" i="2"/>
  <c r="V1131" i="2"/>
  <c r="AD1134" i="2"/>
  <c r="W1139" i="2"/>
  <c r="AD1150" i="2"/>
  <c r="V1152" i="2"/>
  <c r="X1157" i="2"/>
  <c r="W1179" i="2"/>
  <c r="W1183" i="2"/>
  <c r="X1236" i="2"/>
  <c r="V1236" i="2"/>
  <c r="V1255" i="2"/>
  <c r="W1256" i="2"/>
  <c r="W1334" i="2"/>
  <c r="X1334" i="2"/>
  <c r="Y1334" i="2" s="1"/>
  <c r="Z1334" i="2" s="1"/>
  <c r="X1413" i="2"/>
  <c r="Y1413" i="2" s="1"/>
  <c r="Y433" i="2"/>
  <c r="Z433" i="2" s="1"/>
  <c r="W469" i="2"/>
  <c r="W470" i="2"/>
  <c r="W816" i="2"/>
  <c r="X820" i="2"/>
  <c r="Y820" i="2" s="1"/>
  <c r="Z820" i="2" s="1"/>
  <c r="W931" i="2"/>
  <c r="AE1008" i="2"/>
  <c r="W1084" i="2"/>
  <c r="W1131" i="2"/>
  <c r="Y1157" i="2"/>
  <c r="Z1157" i="2" s="1"/>
  <c r="W1209" i="2"/>
  <c r="AE1209" i="2"/>
  <c r="V1240" i="2"/>
  <c r="X1240" i="2"/>
  <c r="W1240" i="2"/>
  <c r="W1255" i="2"/>
  <c r="AE1259" i="2"/>
  <c r="W1259" i="2"/>
  <c r="AE1358" i="2"/>
  <c r="V1358" i="2"/>
  <c r="AD589" i="2"/>
  <c r="AD608" i="2"/>
  <c r="AD612" i="2"/>
  <c r="AE614" i="2"/>
  <c r="X624" i="2"/>
  <c r="Y624" i="2" s="1"/>
  <c r="X628" i="2"/>
  <c r="Y628" i="2" s="1"/>
  <c r="Z628" i="2" s="1"/>
  <c r="AD630" i="2"/>
  <c r="AD633" i="2"/>
  <c r="AD647" i="2"/>
  <c r="AD654" i="2"/>
  <c r="V663" i="2"/>
  <c r="AD678" i="2"/>
  <c r="X707" i="2"/>
  <c r="Y707" i="2" s="1"/>
  <c r="Z707" i="2" s="1"/>
  <c r="AD709" i="2"/>
  <c r="V724" i="2"/>
  <c r="AD731" i="2"/>
  <c r="X736" i="2"/>
  <c r="Y736" i="2" s="1"/>
  <c r="AD738" i="2"/>
  <c r="V760" i="2"/>
  <c r="X834" i="2"/>
  <c r="W863" i="2"/>
  <c r="AD866" i="2"/>
  <c r="AD874" i="2"/>
  <c r="AE886" i="2"/>
  <c r="W895" i="2"/>
  <c r="AD910" i="2"/>
  <c r="X916" i="2"/>
  <c r="X931" i="2"/>
  <c r="Y931" i="2" s="1"/>
  <c r="Z931" i="2" s="1"/>
  <c r="W935" i="2"/>
  <c r="AD1001" i="2"/>
  <c r="AD1009" i="2"/>
  <c r="AD1012" i="2"/>
  <c r="AD1019" i="2"/>
  <c r="AD1022" i="2"/>
  <c r="V1024" i="2"/>
  <c r="AE1036" i="2"/>
  <c r="AD1054" i="2"/>
  <c r="X1064" i="2"/>
  <c r="AE1076" i="2"/>
  <c r="V1083" i="2"/>
  <c r="V1088" i="2"/>
  <c r="AD1090" i="2"/>
  <c r="X1092" i="2"/>
  <c r="Y1092" i="2" s="1"/>
  <c r="Z1092" i="2" s="1"/>
  <c r="AD1098" i="2"/>
  <c r="AD1116" i="2"/>
  <c r="X1131" i="2"/>
  <c r="Y1131" i="2" s="1"/>
  <c r="AD1133" i="2"/>
  <c r="W1143" i="2"/>
  <c r="AD1146" i="2"/>
  <c r="W1147" i="2"/>
  <c r="Y1151" i="2"/>
  <c r="AD1159" i="2"/>
  <c r="X1173" i="2"/>
  <c r="V1203" i="2"/>
  <c r="W1232" i="2"/>
  <c r="X1232" i="2"/>
  <c r="V1251" i="2"/>
  <c r="AD1253" i="2"/>
  <c r="X1255" i="2"/>
  <c r="Y1255" i="2" s="1"/>
  <c r="Z1255" i="2" s="1"/>
  <c r="V1259" i="2"/>
  <c r="AE1267" i="2"/>
  <c r="V1267" i="2"/>
  <c r="AD1286" i="2"/>
  <c r="AE1303" i="2"/>
  <c r="Y1341" i="2"/>
  <c r="Z1341" i="2" s="1"/>
  <c r="V1341" i="2"/>
  <c r="AE660" i="2"/>
  <c r="AE831" i="2"/>
  <c r="AE958" i="2"/>
  <c r="X1024" i="2"/>
  <c r="Y1024" i="2" s="1"/>
  <c r="Z1024" i="2" s="1"/>
  <c r="AE1148" i="2"/>
  <c r="AE1161" i="2"/>
  <c r="W1203" i="2"/>
  <c r="AE1235" i="2"/>
  <c r="X1235" i="2"/>
  <c r="Y1235" i="2" s="1"/>
  <c r="Z1235" i="2" s="1"/>
  <c r="V1235" i="2"/>
  <c r="X1259" i="2"/>
  <c r="Y1259" i="2" s="1"/>
  <c r="Z1259" i="2" s="1"/>
  <c r="V1287" i="2"/>
  <c r="AE1287" i="2"/>
  <c r="W1287" i="2"/>
  <c r="X1351" i="2"/>
  <c r="AE1351" i="2"/>
  <c r="W1351" i="2"/>
  <c r="AE1374" i="2"/>
  <c r="V1374" i="2"/>
  <c r="AE1425" i="2"/>
  <c r="V1425" i="2"/>
  <c r="AD411" i="2"/>
  <c r="AD435" i="2"/>
  <c r="Y457" i="2"/>
  <c r="Z457" i="2" s="1"/>
  <c r="V489" i="2"/>
  <c r="AD492" i="2"/>
  <c r="AD516" i="2"/>
  <c r="AD536" i="2"/>
  <c r="X560" i="2"/>
  <c r="Y560" i="2" s="1"/>
  <c r="AD562" i="2"/>
  <c r="V609" i="2"/>
  <c r="X616" i="2"/>
  <c r="Y616" i="2" s="1"/>
  <c r="Z616" i="2" s="1"/>
  <c r="AD622" i="2"/>
  <c r="AD650" i="2"/>
  <c r="AD661" i="2"/>
  <c r="AD695" i="2"/>
  <c r="X713" i="2"/>
  <c r="Y713" i="2" s="1"/>
  <c r="X724" i="2"/>
  <c r="Y724" i="2" s="1"/>
  <c r="Z724" i="2" s="1"/>
  <c r="V728" i="2"/>
  <c r="W756" i="2"/>
  <c r="X760" i="2"/>
  <c r="Y760" i="2" s="1"/>
  <c r="AD772" i="2"/>
  <c r="V786" i="2"/>
  <c r="AD839" i="2"/>
  <c r="Y862" i="2"/>
  <c r="W879" i="2"/>
  <c r="AD905" i="2"/>
  <c r="AD925" i="2"/>
  <c r="AE939" i="2"/>
  <c r="AD951" i="2"/>
  <c r="AD955" i="2"/>
  <c r="AD982" i="2"/>
  <c r="V991" i="2"/>
  <c r="AD997" i="2"/>
  <c r="AD1000" i="2"/>
  <c r="AD1066" i="2"/>
  <c r="AE1100" i="2"/>
  <c r="X1120" i="2"/>
  <c r="AD1122" i="2"/>
  <c r="AD1125" i="2"/>
  <c r="V1146" i="2"/>
  <c r="AD1149" i="2"/>
  <c r="V1155" i="2"/>
  <c r="X1207" i="2"/>
  <c r="Y1207" i="2" s="1"/>
  <c r="V1207" i="2"/>
  <c r="W1235" i="2"/>
  <c r="V1247" i="2"/>
  <c r="X1287" i="2"/>
  <c r="Y1287" i="2" s="1"/>
  <c r="Z1287" i="2" s="1"/>
  <c r="X1344" i="2"/>
  <c r="X1425" i="2"/>
  <c r="Y1425" i="2" s="1"/>
  <c r="Z1425" i="2" s="1"/>
  <c r="AD486" i="2"/>
  <c r="Y489" i="2"/>
  <c r="AD509" i="2"/>
  <c r="AD512" i="2"/>
  <c r="AD575" i="2"/>
  <c r="AD588" i="2"/>
  <c r="AD601" i="2"/>
  <c r="AE606" i="2"/>
  <c r="AD639" i="2"/>
  <c r="AD642" i="2"/>
  <c r="AE664" i="2"/>
  <c r="W728" i="2"/>
  <c r="AD751" i="2"/>
  <c r="AD754" i="2"/>
  <c r="X756" i="2"/>
  <c r="Y756" i="2" s="1"/>
  <c r="AD768" i="2"/>
  <c r="AD780" i="2"/>
  <c r="AD803" i="2"/>
  <c r="AE816" i="2"/>
  <c r="AD821" i="2"/>
  <c r="AD825" i="2"/>
  <c r="AD869" i="2"/>
  <c r="AD873" i="2"/>
  <c r="Y879" i="2"/>
  <c r="Z879" i="2" s="1"/>
  <c r="AD891" i="2"/>
  <c r="AE946" i="2"/>
  <c r="AD962" i="2"/>
  <c r="AD966" i="2"/>
  <c r="AE968" i="2"/>
  <c r="AD974" i="2"/>
  <c r="AD978" i="2"/>
  <c r="AD1044" i="2"/>
  <c r="AE1084" i="2"/>
  <c r="AD1097" i="2"/>
  <c r="AD1158" i="2"/>
  <c r="W1211" i="2"/>
  <c r="V1211" i="2"/>
  <c r="AD1237" i="2"/>
  <c r="V1290" i="2"/>
  <c r="W1290" i="2"/>
  <c r="V1315" i="2"/>
  <c r="W1315" i="2"/>
  <c r="V1319" i="2"/>
  <c r="X1319" i="2"/>
  <c r="AE1398" i="2"/>
  <c r="V1398" i="2"/>
  <c r="AE1435" i="2"/>
  <c r="Y1435" i="2"/>
  <c r="X1435" i="2"/>
  <c r="V1435" i="2"/>
  <c r="V513" i="2"/>
  <c r="X728" i="2"/>
  <c r="Y728" i="2" s="1"/>
  <c r="W800" i="2"/>
  <c r="Z906" i="2"/>
  <c r="W919" i="2"/>
  <c r="X1005" i="2"/>
  <c r="V1030" i="2"/>
  <c r="AD1048" i="2"/>
  <c r="AE1083" i="2"/>
  <c r="AE1092" i="2"/>
  <c r="X1155" i="2"/>
  <c r="V1163" i="2"/>
  <c r="AD1166" i="2"/>
  <c r="AE1193" i="2"/>
  <c r="Y1193" i="2"/>
  <c r="Z1193" i="2" s="1"/>
  <c r="V1218" i="2"/>
  <c r="V1238" i="2"/>
  <c r="W1242" i="2"/>
  <c r="X1315" i="2"/>
  <c r="Y1315" i="2" s="1"/>
  <c r="Z1315" i="2" s="1"/>
  <c r="Y1319" i="2"/>
  <c r="Z1319" i="2" s="1"/>
  <c r="AD1226" i="2"/>
  <c r="AD1230" i="2"/>
  <c r="AD1234" i="2"/>
  <c r="AD1270" i="2"/>
  <c r="AD1297" i="2"/>
  <c r="AE1329" i="2"/>
  <c r="AD1342" i="2"/>
  <c r="AD1369" i="2"/>
  <c r="AD1373" i="2"/>
  <c r="AE1430" i="2"/>
  <c r="X1437" i="2"/>
  <c r="Y1437" i="2" s="1"/>
  <c r="Z1437" i="2" s="1"/>
  <c r="X1441" i="2"/>
  <c r="AD1475" i="2"/>
  <c r="Y1520" i="2"/>
  <c r="Z1520" i="2" s="1"/>
  <c r="Y1521" i="2"/>
  <c r="Z1521" i="2" s="1"/>
  <c r="X1525" i="2"/>
  <c r="Y1525" i="2" s="1"/>
  <c r="Z1525" i="2" s="1"/>
  <c r="X1526" i="2"/>
  <c r="W1545" i="2"/>
  <c r="X1549" i="2"/>
  <c r="X1553" i="2"/>
  <c r="Y1553" i="2" s="1"/>
  <c r="Z1553" i="2" s="1"/>
  <c r="V1565" i="2"/>
  <c r="W1566" i="2"/>
  <c r="AD1581" i="2"/>
  <c r="AD1584" i="2"/>
  <c r="AE1597" i="2"/>
  <c r="AD1615" i="2"/>
  <c r="AD1626" i="2"/>
  <c r="Y1632" i="2"/>
  <c r="Z1632" i="2" s="1"/>
  <c r="V1638" i="2"/>
  <c r="W1648" i="2"/>
  <c r="X1654" i="2"/>
  <c r="Y1654" i="2" s="1"/>
  <c r="Z1654" i="2" s="1"/>
  <c r="AE1658" i="2"/>
  <c r="W1681" i="2"/>
  <c r="Y1720" i="2"/>
  <c r="Z1720" i="2" s="1"/>
  <c r="X1721" i="2"/>
  <c r="Y1721" i="2" s="1"/>
  <c r="Z1721" i="2" s="1"/>
  <c r="X1725" i="2"/>
  <c r="V1743" i="2"/>
  <c r="W1755" i="2"/>
  <c r="V1789" i="2"/>
  <c r="V1790" i="2"/>
  <c r="AE1793" i="2"/>
  <c r="X1545" i="2"/>
  <c r="Y1545" i="2" s="1"/>
  <c r="Z1545" i="2" s="1"/>
  <c r="W1565" i="2"/>
  <c r="X1566" i="2"/>
  <c r="X1638" i="2"/>
  <c r="Y1638" i="2" s="1"/>
  <c r="Z1638" i="2" s="1"/>
  <c r="W1743" i="2"/>
  <c r="AD1185" i="2"/>
  <c r="X1231" i="2"/>
  <c r="Y1231" i="2" s="1"/>
  <c r="Z1231" i="2" s="1"/>
  <c r="AE1366" i="2"/>
  <c r="AE1367" i="2"/>
  <c r="AD1395" i="2"/>
  <c r="AD1399" i="2"/>
  <c r="AD1503" i="2"/>
  <c r="AD1531" i="2"/>
  <c r="W1533" i="2"/>
  <c r="X1557" i="2"/>
  <c r="V1561" i="2"/>
  <c r="Y1565" i="2"/>
  <c r="Z1565" i="2" s="1"/>
  <c r="W1589" i="2"/>
  <c r="V1636" i="2"/>
  <c r="AD1640" i="2"/>
  <c r="X1642" i="2"/>
  <c r="Y1642" i="2" s="1"/>
  <c r="Z1642" i="2" s="1"/>
  <c r="AE1656" i="2"/>
  <c r="V1669" i="2"/>
  <c r="X1670" i="2"/>
  <c r="V1679" i="2"/>
  <c r="AE1682" i="2"/>
  <c r="AE1696" i="2"/>
  <c r="AD1701" i="2"/>
  <c r="W1708" i="2"/>
  <c r="AD1728" i="2"/>
  <c r="W1731" i="2"/>
  <c r="X1743" i="2"/>
  <c r="W1747" i="2"/>
  <c r="W1763" i="2"/>
  <c r="AE1773" i="2"/>
  <c r="X1789" i="2"/>
  <c r="Y1789" i="2" s="1"/>
  <c r="Z1789" i="2" s="1"/>
  <c r="AE1624" i="2"/>
  <c r="X1636" i="2"/>
  <c r="W1669" i="2"/>
  <c r="W1679" i="2"/>
  <c r="X1731" i="2"/>
  <c r="X1747" i="2"/>
  <c r="Y1747" i="2" s="1"/>
  <c r="Z1747" i="2" s="1"/>
  <c r="AD1233" i="2"/>
  <c r="X1275" i="2"/>
  <c r="Y1275" i="2" s="1"/>
  <c r="Z1275" i="2" s="1"/>
  <c r="AD1324" i="2"/>
  <c r="X1326" i="2"/>
  <c r="Y1326" i="2" s="1"/>
  <c r="Z1326" i="2" s="1"/>
  <c r="AD1329" i="2"/>
  <c r="AD1383" i="2"/>
  <c r="AD1394" i="2"/>
  <c r="AD1405" i="2"/>
  <c r="AD1438" i="2"/>
  <c r="AD1449" i="2"/>
  <c r="X1454" i="2"/>
  <c r="X1458" i="2"/>
  <c r="Y1458" i="2" s="1"/>
  <c r="Z1458" i="2" s="1"/>
  <c r="AD1464" i="2"/>
  <c r="X1472" i="2"/>
  <c r="AD1484" i="2"/>
  <c r="W1500" i="2"/>
  <c r="X1504" i="2"/>
  <c r="Y1504" i="2" s="1"/>
  <c r="Z1504" i="2" s="1"/>
  <c r="Z1511" i="2"/>
  <c r="AE1525" i="2"/>
  <c r="X1532" i="2"/>
  <c r="AD1538" i="2"/>
  <c r="V1540" i="2"/>
  <c r="AE1553" i="2"/>
  <c r="AD1568" i="2"/>
  <c r="W1578" i="2"/>
  <c r="AD1580" i="2"/>
  <c r="AD1583" i="2"/>
  <c r="V1593" i="2"/>
  <c r="V1594" i="2"/>
  <c r="AE1616" i="2"/>
  <c r="V1622" i="2"/>
  <c r="X1630" i="2"/>
  <c r="Y1630" i="2" s="1"/>
  <c r="Z1630" i="2" s="1"/>
  <c r="AE1632" i="2"/>
  <c r="Y1636" i="2"/>
  <c r="Z1636" i="2" s="1"/>
  <c r="X1646" i="2"/>
  <c r="Y1646" i="2" s="1"/>
  <c r="Z1646" i="2" s="1"/>
  <c r="AE1654" i="2"/>
  <c r="V1668" i="2"/>
  <c r="X1669" i="2"/>
  <c r="Y1669" i="2" s="1"/>
  <c r="Z1669" i="2" s="1"/>
  <c r="W1674" i="2"/>
  <c r="Y1679" i="2"/>
  <c r="Z1679" i="2" s="1"/>
  <c r="AE1681" i="2"/>
  <c r="W1684" i="2"/>
  <c r="V1693" i="2"/>
  <c r="W1694" i="2"/>
  <c r="V1706" i="2"/>
  <c r="X1718" i="2"/>
  <c r="Y1718" i="2" s="1"/>
  <c r="Z1718" i="2" s="1"/>
  <c r="AE1720" i="2"/>
  <c r="V1729" i="2"/>
  <c r="W1730" i="2"/>
  <c r="W1770" i="2"/>
  <c r="V1779" i="2"/>
  <c r="V1793" i="2"/>
  <c r="V1801" i="2"/>
  <c r="AD1194" i="2"/>
  <c r="AD1277" i="2"/>
  <c r="AE1335" i="2"/>
  <c r="AD1390" i="2"/>
  <c r="AD1414" i="2"/>
  <c r="AD1418" i="2"/>
  <c r="AD1425" i="2"/>
  <c r="AD1460" i="2"/>
  <c r="AD1477" i="2"/>
  <c r="AD1506" i="2"/>
  <c r="AD1521" i="2"/>
  <c r="AE1566" i="2"/>
  <c r="Z1569" i="2"/>
  <c r="W1593" i="2"/>
  <c r="AD1596" i="2"/>
  <c r="Y1601" i="2"/>
  <c r="Z1601" i="2" s="1"/>
  <c r="X1622" i="2"/>
  <c r="Y1622" i="2" s="1"/>
  <c r="Z1622" i="2" s="1"/>
  <c r="AE1638" i="2"/>
  <c r="Y1684" i="2"/>
  <c r="W1693" i="2"/>
  <c r="X1694" i="2"/>
  <c r="W1706" i="2"/>
  <c r="AE1725" i="2"/>
  <c r="W1729" i="2"/>
  <c r="X1730" i="2"/>
  <c r="Y1730" i="2" s="1"/>
  <c r="Z1730" i="2" s="1"/>
  <c r="Y1757" i="2"/>
  <c r="Z1757" i="2" s="1"/>
  <c r="Y1770" i="2"/>
  <c r="Z1770" i="2" s="1"/>
  <c r="AE1771" i="2"/>
  <c r="W1779" i="2"/>
  <c r="W1793" i="2"/>
  <c r="W1801" i="2"/>
  <c r="X1215" i="2"/>
  <c r="AE1231" i="2"/>
  <c r="AD1250" i="2"/>
  <c r="X1252" i="2"/>
  <c r="AD1336" i="2"/>
  <c r="AD1340" i="2"/>
  <c r="AD1355" i="2"/>
  <c r="AD1366" i="2"/>
  <c r="AD1401" i="2"/>
  <c r="AD1437" i="2"/>
  <c r="AD1480" i="2"/>
  <c r="AD1498" i="2"/>
  <c r="AD1520" i="2"/>
  <c r="AE1533" i="2"/>
  <c r="AD1549" i="2"/>
  <c r="AE1565" i="2"/>
  <c r="W1569" i="2"/>
  <c r="AD1572" i="2"/>
  <c r="X1593" i="2"/>
  <c r="W1601" i="2"/>
  <c r="Y1640" i="2"/>
  <c r="Z1640" i="2" s="1"/>
  <c r="AE1642" i="2"/>
  <c r="AE1670" i="2"/>
  <c r="X1693" i="2"/>
  <c r="Y1693" i="2" s="1"/>
  <c r="Z1693" i="2" s="1"/>
  <c r="W1698" i="2"/>
  <c r="Y1701" i="2"/>
  <c r="Z1701" i="2" s="1"/>
  <c r="X1706" i="2"/>
  <c r="Y1706" i="2" s="1"/>
  <c r="Z1706" i="2" s="1"/>
  <c r="X1729" i="2"/>
  <c r="Y1729" i="2" s="1"/>
  <c r="Z1729" i="2" s="1"/>
  <c r="W1757" i="2"/>
  <c r="W1758" i="2"/>
  <c r="Z1769" i="2"/>
  <c r="W1775" i="2"/>
  <c r="X1779" i="2"/>
  <c r="V1783" i="2"/>
  <c r="AE1785" i="2"/>
  <c r="X1793" i="2"/>
  <c r="AE1759" i="2"/>
  <c r="Y1793" i="2"/>
  <c r="Z1793" i="2" s="1"/>
  <c r="AD1298" i="2"/>
  <c r="AD1302" i="2"/>
  <c r="AD1314" i="2"/>
  <c r="AD1328" i="2"/>
  <c r="AD1335" i="2"/>
  <c r="AD1347" i="2"/>
  <c r="W1367" i="2"/>
  <c r="AD1448" i="2"/>
  <c r="AD1459" i="2"/>
  <c r="AD1494" i="2"/>
  <c r="AD1512" i="2"/>
  <c r="AD1516" i="2"/>
  <c r="AD1533" i="2"/>
  <c r="AD1541" i="2"/>
  <c r="AD1557" i="2"/>
  <c r="V1605" i="2"/>
  <c r="V1650" i="2"/>
  <c r="V1656" i="2"/>
  <c r="V1657" i="2"/>
  <c r="W1672" i="2"/>
  <c r="AD1675" i="2"/>
  <c r="Y1697" i="2"/>
  <c r="Z1697" i="2" s="1"/>
  <c r="AD1708" i="2"/>
  <c r="V1713" i="2"/>
  <c r="AE1718" i="2"/>
  <c r="V1733" i="2"/>
  <c r="AD1739" i="2"/>
  <c r="V1749" i="2"/>
  <c r="V1773" i="2"/>
  <c r="W1774" i="2"/>
  <c r="V1797" i="2"/>
  <c r="AE1622" i="2"/>
  <c r="AE1636" i="2"/>
  <c r="AE1679" i="2"/>
  <c r="AE1684" i="2"/>
  <c r="AE1694" i="2"/>
  <c r="W1773" i="2"/>
  <c r="Y1774" i="2"/>
  <c r="Z1774" i="2" s="1"/>
  <c r="V1782" i="2"/>
  <c r="W1797" i="2"/>
  <c r="AD1378" i="2"/>
  <c r="AD1407" i="2"/>
  <c r="AD1444" i="2"/>
  <c r="W1452" i="2"/>
  <c r="AD1508" i="2"/>
  <c r="V1521" i="2"/>
  <c r="X1530" i="2"/>
  <c r="W1586" i="2"/>
  <c r="AD1607" i="2"/>
  <c r="W1620" i="2"/>
  <c r="AD1623" i="2"/>
  <c r="W1632" i="2"/>
  <c r="W1644" i="2"/>
  <c r="V1661" i="2"/>
  <c r="W1665" i="2"/>
  <c r="X1682" i="2"/>
  <c r="V1691" i="2"/>
  <c r="AE1693" i="2"/>
  <c r="AD1699" i="2"/>
  <c r="V1704" i="2"/>
  <c r="V1721" i="2"/>
  <c r="AD1785" i="2"/>
  <c r="V1791" i="2"/>
  <c r="C6" i="5"/>
  <c r="D6" i="5" s="1"/>
  <c r="X4" i="2"/>
  <c r="X12" i="2"/>
  <c r="X20" i="2"/>
  <c r="X24" i="2"/>
  <c r="Y24" i="2" s="1"/>
  <c r="Z24" i="2" s="1"/>
  <c r="X32" i="2"/>
  <c r="Y32" i="2" s="1"/>
  <c r="Z32" i="2" s="1"/>
  <c r="Y36" i="2"/>
  <c r="X45" i="2"/>
  <c r="Y45" i="2" s="1"/>
  <c r="X103" i="2"/>
  <c r="Y103" i="2" s="1"/>
  <c r="Z103" i="2" s="1"/>
  <c r="V107" i="2"/>
  <c r="AE165" i="2"/>
  <c r="X181" i="2"/>
  <c r="Y181" i="2" s="1"/>
  <c r="Z181" i="2" s="1"/>
  <c r="X212" i="2"/>
  <c r="Y212" i="2" s="1"/>
  <c r="Z212" i="2" s="1"/>
  <c r="V214" i="2"/>
  <c r="V219" i="2"/>
  <c r="Y231" i="2"/>
  <c r="V242" i="2"/>
  <c r="X257" i="2"/>
  <c r="V261" i="2"/>
  <c r="V262" i="2"/>
  <c r="AE270" i="2"/>
  <c r="V273" i="2"/>
  <c r="X289" i="2"/>
  <c r="Y304" i="2"/>
  <c r="Z304" i="2" s="1"/>
  <c r="X305" i="2"/>
  <c r="Y305" i="2" s="1"/>
  <c r="Z305" i="2" s="1"/>
  <c r="V309" i="2"/>
  <c r="Y328" i="2"/>
  <c r="Z328" i="2" s="1"/>
  <c r="X329" i="2"/>
  <c r="Y329" i="2" s="1"/>
  <c r="Z329" i="2" s="1"/>
  <c r="X397" i="2"/>
  <c r="V401" i="2"/>
  <c r="AD443" i="2"/>
  <c r="AD450" i="2"/>
  <c r="V456" i="2"/>
  <c r="W461" i="2"/>
  <c r="X461" i="2"/>
  <c r="Y461" i="2" s="1"/>
  <c r="Z461" i="2" s="1"/>
  <c r="X483" i="2"/>
  <c r="AE483" i="2"/>
  <c r="AE488" i="2"/>
  <c r="X488" i="2"/>
  <c r="Y488" i="2" s="1"/>
  <c r="X524" i="2"/>
  <c r="Y524" i="2" s="1"/>
  <c r="Z524" i="2" s="1"/>
  <c r="AE573" i="2"/>
  <c r="V573" i="2"/>
  <c r="V1156" i="2"/>
  <c r="AE1156" i="2"/>
  <c r="W1198" i="2"/>
  <c r="V1198" i="2"/>
  <c r="X1660" i="2"/>
  <c r="Y1660" i="2" s="1"/>
  <c r="Z1660" i="2" s="1"/>
  <c r="W1660" i="2"/>
  <c r="AE1660" i="2"/>
  <c r="V1660" i="2"/>
  <c r="X1703" i="2"/>
  <c r="Y1703" i="2" s="1"/>
  <c r="Z1703" i="2" s="1"/>
  <c r="W1703" i="2"/>
  <c r="AE1703" i="2"/>
  <c r="V1703" i="2"/>
  <c r="W3" i="2"/>
  <c r="W7" i="2"/>
  <c r="W11" i="2"/>
  <c r="W15" i="2"/>
  <c r="W19" i="2"/>
  <c r="W23" i="2"/>
  <c r="W27" i="2"/>
  <c r="W31" i="2"/>
  <c r="AD34" i="2"/>
  <c r="AD38" i="2"/>
  <c r="X40" i="2"/>
  <c r="Y40" i="2" s="1"/>
  <c r="Z40" i="2" s="1"/>
  <c r="V44" i="2"/>
  <c r="Y48" i="2"/>
  <c r="X53" i="2"/>
  <c r="Y53" i="2" s="1"/>
  <c r="AD55" i="2"/>
  <c r="AD81" i="2"/>
  <c r="V87" i="2"/>
  <c r="AD105" i="2"/>
  <c r="X107" i="2"/>
  <c r="X108" i="2"/>
  <c r="AD118" i="2"/>
  <c r="Z119" i="2"/>
  <c r="W122" i="2"/>
  <c r="AD125" i="2"/>
  <c r="AD141" i="2"/>
  <c r="AD145" i="2"/>
  <c r="AD160" i="2"/>
  <c r="AD169" i="2"/>
  <c r="Y185" i="2"/>
  <c r="Z185" i="2" s="1"/>
  <c r="W189" i="2"/>
  <c r="W193" i="2"/>
  <c r="V197" i="2"/>
  <c r="X214" i="2"/>
  <c r="Y214" i="2" s="1"/>
  <c r="Z214" i="2" s="1"/>
  <c r="Y218" i="2"/>
  <c r="Z218" i="2" s="1"/>
  <c r="Y224" i="2"/>
  <c r="Z224" i="2" s="1"/>
  <c r="AD228" i="2"/>
  <c r="AD233" i="2"/>
  <c r="AE233" i="2"/>
  <c r="AD239" i="2"/>
  <c r="X242" i="2"/>
  <c r="W246" i="2"/>
  <c r="X250" i="2"/>
  <c r="X261" i="2"/>
  <c r="Y261" i="2" s="1"/>
  <c r="Z261" i="2" s="1"/>
  <c r="X262" i="2"/>
  <c r="Y262" i="2" s="1"/>
  <c r="Z262" i="2" s="1"/>
  <c r="AD265" i="2"/>
  <c r="AD269" i="2"/>
  <c r="X273" i="2"/>
  <c r="Y273" i="2" s="1"/>
  <c r="Z273" i="2" s="1"/>
  <c r="AD276" i="2"/>
  <c r="V278" i="2"/>
  <c r="V297" i="2"/>
  <c r="X298" i="2"/>
  <c r="AD301" i="2"/>
  <c r="Y308" i="2"/>
  <c r="Z308" i="2" s="1"/>
  <c r="X309" i="2"/>
  <c r="Y309" i="2" s="1"/>
  <c r="Z309" i="2" s="1"/>
  <c r="V313" i="2"/>
  <c r="AD316" i="2"/>
  <c r="AD331" i="2"/>
  <c r="Y333" i="2"/>
  <c r="Z333" i="2" s="1"/>
  <c r="Y357" i="2"/>
  <c r="Z357" i="2" s="1"/>
  <c r="AD359" i="2"/>
  <c r="AD373" i="2"/>
  <c r="Y377" i="2"/>
  <c r="Z377" i="2" s="1"/>
  <c r="V381" i="2"/>
  <c r="AD384" i="2"/>
  <c r="AD393" i="2"/>
  <c r="X401" i="2"/>
  <c r="Y401" i="2" s="1"/>
  <c r="Z401" i="2" s="1"/>
  <c r="V405" i="2"/>
  <c r="Y412" i="2"/>
  <c r="Z412" i="2" s="1"/>
  <c r="W413" i="2"/>
  <c r="V414" i="2"/>
  <c r="AE417" i="2"/>
  <c r="W421" i="2"/>
  <c r="V422" i="2"/>
  <c r="AE425" i="2"/>
  <c r="W429" i="2"/>
  <c r="V430" i="2"/>
  <c r="AE433" i="2"/>
  <c r="W436" i="2"/>
  <c r="V437" i="2"/>
  <c r="W444" i="2"/>
  <c r="V445" i="2"/>
  <c r="V446" i="2"/>
  <c r="AD449" i="2"/>
  <c r="Y455" i="2"/>
  <c r="W460" i="2"/>
  <c r="AE460" i="2"/>
  <c r="X460" i="2"/>
  <c r="Y460" i="2" s="1"/>
  <c r="Z460" i="2" s="1"/>
  <c r="AD485" i="2"/>
  <c r="X492" i="2"/>
  <c r="Y492" i="2" s="1"/>
  <c r="AE586" i="2"/>
  <c r="X586" i="2"/>
  <c r="AD42" i="2"/>
  <c r="X44" i="2"/>
  <c r="Y44" i="2" s="1"/>
  <c r="Z44" i="2" s="1"/>
  <c r="Y52" i="2"/>
  <c r="Z52" i="2" s="1"/>
  <c r="AD59" i="2"/>
  <c r="AD63" i="2"/>
  <c r="AD67" i="2"/>
  <c r="AD71" i="2"/>
  <c r="AE75" i="2"/>
  <c r="AD85" i="2"/>
  <c r="W87" i="2"/>
  <c r="AD90" i="2"/>
  <c r="Z91" i="2"/>
  <c r="AD99" i="2"/>
  <c r="Y107" i="2"/>
  <c r="Z107" i="2" s="1"/>
  <c r="AD110" i="2"/>
  <c r="Z111" i="2"/>
  <c r="X113" i="2"/>
  <c r="AE116" i="2"/>
  <c r="X122" i="2"/>
  <c r="Y122" i="2" s="1"/>
  <c r="Z122" i="2" s="1"/>
  <c r="AD156" i="2"/>
  <c r="AD173" i="2"/>
  <c r="X189" i="2"/>
  <c r="Y189" i="2" s="1"/>
  <c r="Z189" i="2" s="1"/>
  <c r="X193" i="2"/>
  <c r="Y193" i="2" s="1"/>
  <c r="Z193" i="2" s="1"/>
  <c r="W197" i="2"/>
  <c r="AD216" i="2"/>
  <c r="AD234" i="2"/>
  <c r="Y242" i="2"/>
  <c r="Z242" i="2" s="1"/>
  <c r="X246" i="2"/>
  <c r="Y250" i="2"/>
  <c r="AD285" i="2"/>
  <c r="AD295" i="2"/>
  <c r="W297" i="2"/>
  <c r="W313" i="2"/>
  <c r="V317" i="2"/>
  <c r="AD335" i="2"/>
  <c r="AD340" i="2"/>
  <c r="AD349" i="2"/>
  <c r="W381" i="2"/>
  <c r="AD388" i="2"/>
  <c r="W405" i="2"/>
  <c r="X413" i="2"/>
  <c r="Y413" i="2" s="1"/>
  <c r="Z413" i="2" s="1"/>
  <c r="X414" i="2"/>
  <c r="X421" i="2"/>
  <c r="Y421" i="2" s="1"/>
  <c r="Z421" i="2" s="1"/>
  <c r="X422" i="2"/>
  <c r="Y422" i="2" s="1"/>
  <c r="Z422" i="2" s="1"/>
  <c r="X429" i="2"/>
  <c r="Y429" i="2" s="1"/>
  <c r="Z429" i="2" s="1"/>
  <c r="X430" i="2"/>
  <c r="Y436" i="2"/>
  <c r="Z436" i="2" s="1"/>
  <c r="W437" i="2"/>
  <c r="Y444" i="2"/>
  <c r="Z444" i="2" s="1"/>
  <c r="W445" i="2"/>
  <c r="X446" i="2"/>
  <c r="AD494" i="2"/>
  <c r="AE495" i="2"/>
  <c r="X495" i="2"/>
  <c r="X87" i="2"/>
  <c r="AE181" i="2"/>
  <c r="X197" i="2"/>
  <c r="Y197" i="2" s="1"/>
  <c r="Z197" i="2" s="1"/>
  <c r="AE231" i="2"/>
  <c r="X297" i="2"/>
  <c r="X313" i="2"/>
  <c r="Y313" i="2" s="1"/>
  <c r="Z313" i="2" s="1"/>
  <c r="X381" i="2"/>
  <c r="X405" i="2"/>
  <c r="Y405" i="2" s="1"/>
  <c r="Z405" i="2" s="1"/>
  <c r="X437" i="2"/>
  <c r="Y437" i="2" s="1"/>
  <c r="Z437" i="2" s="1"/>
  <c r="X445" i="2"/>
  <c r="Y445" i="2" s="1"/>
  <c r="Z445" i="2" s="1"/>
  <c r="AE450" i="2"/>
  <c r="Y450" i="2"/>
  <c r="V450" i="2"/>
  <c r="W612" i="2"/>
  <c r="X612" i="2"/>
  <c r="Y612" i="2" s="1"/>
  <c r="Z612" i="2" s="1"/>
  <c r="Y88" i="2"/>
  <c r="Z88" i="2" s="1"/>
  <c r="Y297" i="2"/>
  <c r="Z297" i="2" s="1"/>
  <c r="AE376" i="2"/>
  <c r="Y381" i="2"/>
  <c r="Z381" i="2" s="1"/>
  <c r="V389" i="2"/>
  <c r="W450" i="2"/>
  <c r="AE685" i="2"/>
  <c r="X685" i="2"/>
  <c r="Y685" i="2" s="1"/>
  <c r="V685" i="2"/>
  <c r="AD41" i="2"/>
  <c r="W51" i="2"/>
  <c r="AD54" i="2"/>
  <c r="X56" i="2"/>
  <c r="X60" i="2"/>
  <c r="Y60" i="2" s="1"/>
  <c r="Z60" i="2" s="1"/>
  <c r="X64" i="2"/>
  <c r="Y64" i="2" s="1"/>
  <c r="Z64" i="2" s="1"/>
  <c r="X77" i="2"/>
  <c r="Y77" i="2" s="1"/>
  <c r="Z77" i="2" s="1"/>
  <c r="AD79" i="2"/>
  <c r="AD89" i="2"/>
  <c r="V95" i="2"/>
  <c r="X96" i="2"/>
  <c r="Y96" i="2" s="1"/>
  <c r="Z96" i="2" s="1"/>
  <c r="AD109" i="2"/>
  <c r="X112" i="2"/>
  <c r="Y112" i="2" s="1"/>
  <c r="Z112" i="2" s="1"/>
  <c r="AD140" i="2"/>
  <c r="AD144" i="2"/>
  <c r="X149" i="2"/>
  <c r="Y149" i="2" s="1"/>
  <c r="Z149" i="2" s="1"/>
  <c r="X153" i="2"/>
  <c r="Y153" i="2" s="1"/>
  <c r="Z153" i="2" s="1"/>
  <c r="AD155" i="2"/>
  <c r="X165" i="2"/>
  <c r="AD168" i="2"/>
  <c r="AD185" i="2"/>
  <c r="AD203" i="2"/>
  <c r="W209" i="2"/>
  <c r="W221" i="2"/>
  <c r="AD224" i="2"/>
  <c r="V254" i="2"/>
  <c r="AD268" i="2"/>
  <c r="V270" i="2"/>
  <c r="X271" i="2"/>
  <c r="W281" i="2"/>
  <c r="X282" i="2"/>
  <c r="Y282" i="2" s="1"/>
  <c r="Z282" i="2" s="1"/>
  <c r="AD293" i="2"/>
  <c r="V302" i="2"/>
  <c r="AD315" i="2"/>
  <c r="V321" i="2"/>
  <c r="V325" i="2"/>
  <c r="AD333" i="2"/>
  <c r="Z336" i="2"/>
  <c r="AD339" i="2"/>
  <c r="W345" i="2"/>
  <c r="AD357" i="2"/>
  <c r="V369" i="2"/>
  <c r="AD377" i="2"/>
  <c r="W389" i="2"/>
  <c r="Y441" i="2"/>
  <c r="Z441" i="2" s="1"/>
  <c r="W449" i="2"/>
  <c r="V449" i="2"/>
  <c r="X450" i="2"/>
  <c r="AE455" i="2"/>
  <c r="X485" i="2"/>
  <c r="Y485" i="2" s="1"/>
  <c r="Z485" i="2" s="1"/>
  <c r="AE502" i="2"/>
  <c r="V502" i="2"/>
  <c r="AE637" i="2"/>
  <c r="V637" i="2"/>
  <c r="Y68" i="2"/>
  <c r="Z68" i="2" s="1"/>
  <c r="AD62" i="2"/>
  <c r="AD66" i="2"/>
  <c r="AD70" i="2"/>
  <c r="X72" i="2"/>
  <c r="Y72" i="2" s="1"/>
  <c r="Z72" i="2" s="1"/>
  <c r="X81" i="2"/>
  <c r="Y81" i="2" s="1"/>
  <c r="Z81" i="2" s="1"/>
  <c r="W95" i="2"/>
  <c r="X105" i="2"/>
  <c r="Y105" i="2" s="1"/>
  <c r="Z105" i="2" s="1"/>
  <c r="W125" i="2"/>
  <c r="AD132" i="2"/>
  <c r="W134" i="2"/>
  <c r="W141" i="2"/>
  <c r="W145" i="2"/>
  <c r="AD163" i="2"/>
  <c r="Y165" i="2"/>
  <c r="Z165" i="2" s="1"/>
  <c r="V169" i="2"/>
  <c r="AD172" i="2"/>
  <c r="AD207" i="2"/>
  <c r="X209" i="2"/>
  <c r="Y209" i="2" s="1"/>
  <c r="Z209" i="2" s="1"/>
  <c r="AD214" i="2"/>
  <c r="AD219" i="2"/>
  <c r="X228" i="2"/>
  <c r="Y228" i="2" s="1"/>
  <c r="Z228" i="2" s="1"/>
  <c r="V233" i="2"/>
  <c r="AD242" i="2"/>
  <c r="AE250" i="2"/>
  <c r="Y254" i="2"/>
  <c r="Z254" i="2" s="1"/>
  <c r="V265" i="2"/>
  <c r="V269" i="2"/>
  <c r="W270" i="2"/>
  <c r="X281" i="2"/>
  <c r="Y281" i="2" s="1"/>
  <c r="Z281" i="2" s="1"/>
  <c r="V301" i="2"/>
  <c r="W321" i="2"/>
  <c r="W325" i="2"/>
  <c r="X345" i="2"/>
  <c r="AD367" i="2"/>
  <c r="W369" i="2"/>
  <c r="V373" i="2"/>
  <c r="V374" i="2"/>
  <c r="AD387" i="2"/>
  <c r="X389" i="2"/>
  <c r="Y389" i="2" s="1"/>
  <c r="Z389" i="2" s="1"/>
  <c r="V393" i="2"/>
  <c r="V409" i="2"/>
  <c r="V410" i="2"/>
  <c r="AE412" i="2"/>
  <c r="V417" i="2"/>
  <c r="V425" i="2"/>
  <c r="V433" i="2"/>
  <c r="V441" i="2"/>
  <c r="V442" i="2"/>
  <c r="W448" i="2"/>
  <c r="V448" i="2"/>
  <c r="X449" i="2"/>
  <c r="Y449" i="2" s="1"/>
  <c r="Z449" i="2" s="1"/>
  <c r="AD462" i="2"/>
  <c r="AE482" i="2"/>
  <c r="AE490" i="2"/>
  <c r="Y490" i="2"/>
  <c r="Z490" i="2" s="1"/>
  <c r="V490" i="2"/>
  <c r="X502" i="2"/>
  <c r="AE758" i="2"/>
  <c r="X758" i="2"/>
  <c r="AE806" i="2"/>
  <c r="X806" i="2"/>
  <c r="Y806" i="2" s="1"/>
  <c r="Z806" i="2" s="1"/>
  <c r="V806" i="2"/>
  <c r="X930" i="2"/>
  <c r="AE930" i="2"/>
  <c r="Y930" i="2"/>
  <c r="Z930" i="2" s="1"/>
  <c r="AD49" i="2"/>
  <c r="Y76" i="2"/>
  <c r="Z76" i="2" s="1"/>
  <c r="X85" i="2"/>
  <c r="AD93" i="2"/>
  <c r="X95" i="2"/>
  <c r="Y95" i="2" s="1"/>
  <c r="Z95" i="2" s="1"/>
  <c r="V99" i="2"/>
  <c r="X100" i="2"/>
  <c r="Y100" i="2" s="1"/>
  <c r="Z100" i="2" s="1"/>
  <c r="AD114" i="2"/>
  <c r="Z115" i="2"/>
  <c r="AD128" i="2"/>
  <c r="AD136" i="2"/>
  <c r="X141" i="2"/>
  <c r="X145" i="2"/>
  <c r="Y145" i="2" s="1"/>
  <c r="Z145" i="2" s="1"/>
  <c r="AD147" i="2"/>
  <c r="AD176" i="2"/>
  <c r="AD189" i="2"/>
  <c r="AD193" i="2"/>
  <c r="X233" i="2"/>
  <c r="Y233" i="2" s="1"/>
  <c r="Z233" i="2" s="1"/>
  <c r="AD237" i="2"/>
  <c r="AD247" i="2"/>
  <c r="AD256" i="2"/>
  <c r="AD263" i="2"/>
  <c r="W265" i="2"/>
  <c r="W269" i="2"/>
  <c r="V285" i="2"/>
  <c r="W301" i="2"/>
  <c r="AD319" i="2"/>
  <c r="X321" i="2"/>
  <c r="X325" i="2"/>
  <c r="Y325" i="2" s="1"/>
  <c r="Z325" i="2" s="1"/>
  <c r="AD343" i="2"/>
  <c r="Y345" i="2"/>
  <c r="Z345" i="2" s="1"/>
  <c r="AD347" i="2"/>
  <c r="V349" i="2"/>
  <c r="AD352" i="2"/>
  <c r="X369" i="2"/>
  <c r="Y369" i="2" s="1"/>
  <c r="Z369" i="2" s="1"/>
  <c r="W373" i="2"/>
  <c r="AE380" i="2"/>
  <c r="W393" i="2"/>
  <c r="AD396" i="2"/>
  <c r="AE404" i="2"/>
  <c r="AD407" i="2"/>
  <c r="AD412" i="2"/>
  <c r="W417" i="2"/>
  <c r="V418" i="2"/>
  <c r="W425" i="2"/>
  <c r="W433" i="2"/>
  <c r="AE436" i="2"/>
  <c r="AD439" i="2"/>
  <c r="W441" i="2"/>
  <c r="X442" i="2"/>
  <c r="AE444" i="2"/>
  <c r="AD461" i="2"/>
  <c r="AD483" i="2"/>
  <c r="AE519" i="2"/>
  <c r="X519" i="2"/>
  <c r="Y519" i="2" s="1"/>
  <c r="Z519" i="2" s="1"/>
  <c r="Y525" i="2"/>
  <c r="Z525" i="2" s="1"/>
  <c r="W568" i="2"/>
  <c r="Y568" i="2"/>
  <c r="Z568" i="2" s="1"/>
  <c r="X568" i="2"/>
  <c r="W632" i="2"/>
  <c r="X632" i="2"/>
  <c r="Y632" i="2" s="1"/>
  <c r="Z632" i="2" s="1"/>
  <c r="Y680" i="2"/>
  <c r="Z680" i="2" s="1"/>
  <c r="AE498" i="2"/>
  <c r="AE798" i="2"/>
  <c r="X798" i="2"/>
  <c r="V798" i="2"/>
  <c r="AD35" i="2"/>
  <c r="X37" i="2"/>
  <c r="Y37" i="2" s="1"/>
  <c r="AD39" i="2"/>
  <c r="AD57" i="2"/>
  <c r="AD61" i="2"/>
  <c r="AD65" i="2"/>
  <c r="AD69" i="2"/>
  <c r="W75" i="2"/>
  <c r="AD78" i="2"/>
  <c r="AE91" i="2"/>
  <c r="AD97" i="2"/>
  <c r="X99" i="2"/>
  <c r="Y99" i="2" s="1"/>
  <c r="Z99" i="2" s="1"/>
  <c r="V103" i="2"/>
  <c r="X104" i="2"/>
  <c r="Y104" i="2" s="1"/>
  <c r="Z104" i="2" s="1"/>
  <c r="AD113" i="2"/>
  <c r="V116" i="2"/>
  <c r="AD119" i="2"/>
  <c r="AD127" i="2"/>
  <c r="AD139" i="2"/>
  <c r="AD161" i="2"/>
  <c r="AE161" i="2"/>
  <c r="AD171" i="2"/>
  <c r="V181" i="2"/>
  <c r="AD184" i="2"/>
  <c r="AD201" i="2"/>
  <c r="V212" i="2"/>
  <c r="V231" i="2"/>
  <c r="AD241" i="2"/>
  <c r="V257" i="2"/>
  <c r="AD260" i="2"/>
  <c r="AD277" i="2"/>
  <c r="X285" i="2"/>
  <c r="Y285" i="2" s="1"/>
  <c r="Z285" i="2" s="1"/>
  <c r="V289" i="2"/>
  <c r="AD292" i="2"/>
  <c r="V294" i="2"/>
  <c r="V305" i="2"/>
  <c r="AD317" i="2"/>
  <c r="AD327" i="2"/>
  <c r="V329" i="2"/>
  <c r="AD332" i="2"/>
  <c r="AD337" i="2"/>
  <c r="Y348" i="2"/>
  <c r="Z348" i="2" s="1"/>
  <c r="AD356" i="2"/>
  <c r="AD361" i="2"/>
  <c r="AD365" i="2"/>
  <c r="Y373" i="2"/>
  <c r="Z373" i="2" s="1"/>
  <c r="AE384" i="2"/>
  <c r="Y393" i="2"/>
  <c r="Z393" i="2" s="1"/>
  <c r="V397" i="2"/>
  <c r="AD400" i="2"/>
  <c r="AD420" i="2"/>
  <c r="AD428" i="2"/>
  <c r="V458" i="2"/>
  <c r="AD460" i="2"/>
  <c r="V463" i="2"/>
  <c r="AE740" i="2"/>
  <c r="Y740" i="2"/>
  <c r="X740" i="2"/>
  <c r="W740" i="2"/>
  <c r="V740" i="2"/>
  <c r="Y80" i="2"/>
  <c r="Z80" i="2" s="1"/>
  <c r="Y8" i="2"/>
  <c r="Y16" i="2"/>
  <c r="Z16" i="2" s="1"/>
  <c r="Y28" i="2"/>
  <c r="Z28" i="2" s="1"/>
  <c r="W103" i="2"/>
  <c r="X116" i="2"/>
  <c r="Y116" i="2" s="1"/>
  <c r="Z116" i="2" s="1"/>
  <c r="W212" i="2"/>
  <c r="W257" i="2"/>
  <c r="W289" i="2"/>
  <c r="W305" i="2"/>
  <c r="W329" i="2"/>
  <c r="W397" i="2"/>
  <c r="W456" i="2"/>
  <c r="X456" i="2"/>
  <c r="Y456" i="2" s="1"/>
  <c r="Z456" i="2" s="1"/>
  <c r="AE457" i="2"/>
  <c r="V457" i="2"/>
  <c r="AE462" i="2"/>
  <c r="W462" i="2"/>
  <c r="X500" i="2"/>
  <c r="Y500" i="2" s="1"/>
  <c r="Z500" i="2" s="1"/>
  <c r="Y541" i="2"/>
  <c r="Z541" i="2" s="1"/>
  <c r="X541" i="2"/>
  <c r="V541" i="2"/>
  <c r="AD480" i="2"/>
  <c r="AD495" i="2"/>
  <c r="AD500" i="2"/>
  <c r="V525" i="2"/>
  <c r="AD557" i="2"/>
  <c r="AD563" i="2"/>
  <c r="V569" i="2"/>
  <c r="AD576" i="2"/>
  <c r="AD585" i="2"/>
  <c r="AD598" i="2"/>
  <c r="X604" i="2"/>
  <c r="Y604" i="2" s="1"/>
  <c r="AD607" i="2"/>
  <c r="V613" i="2"/>
  <c r="AD620" i="2"/>
  <c r="V633" i="2"/>
  <c r="AD692" i="2"/>
  <c r="AD718" i="2"/>
  <c r="AD726" i="2"/>
  <c r="AD735" i="2"/>
  <c r="AD748" i="2"/>
  <c r="AD771" i="2"/>
  <c r="AD776" i="2"/>
  <c r="AD783" i="2"/>
  <c r="AD833" i="2"/>
  <c r="AD843" i="2"/>
  <c r="AD855" i="2"/>
  <c r="X942" i="2"/>
  <c r="AE942" i="2"/>
  <c r="Y942" i="2"/>
  <c r="Z942" i="2" s="1"/>
  <c r="W1020" i="2"/>
  <c r="AE1020" i="2"/>
  <c r="Y1020" i="2"/>
  <c r="Z1020" i="2" s="1"/>
  <c r="X1020" i="2"/>
  <c r="V1020" i="2"/>
  <c r="AD457" i="2"/>
  <c r="AD465" i="2"/>
  <c r="AD474" i="2"/>
  <c r="AD478" i="2"/>
  <c r="AD479" i="2"/>
  <c r="AD493" i="2"/>
  <c r="AD499" i="2"/>
  <c r="AD505" i="2"/>
  <c r="AD508" i="2"/>
  <c r="AE527" i="2"/>
  <c r="AD539" i="2"/>
  <c r="AD553" i="2"/>
  <c r="AD556" i="2"/>
  <c r="AD566" i="2"/>
  <c r="AE570" i="2"/>
  <c r="AD584" i="2"/>
  <c r="AD593" i="2"/>
  <c r="AD606" i="2"/>
  <c r="Y608" i="2"/>
  <c r="AD615" i="2"/>
  <c r="AD619" i="2"/>
  <c r="AE623" i="2"/>
  <c r="AD635" i="2"/>
  <c r="AD655" i="2"/>
  <c r="AD660" i="2"/>
  <c r="AD666" i="2"/>
  <c r="AE672" i="2"/>
  <c r="AD674" i="2"/>
  <c r="AD688" i="2"/>
  <c r="X693" i="2"/>
  <c r="AD713" i="2"/>
  <c r="AD730" i="2"/>
  <c r="X732" i="2"/>
  <c r="Y732" i="2" s="1"/>
  <c r="Z732" i="2" s="1"/>
  <c r="AD734" i="2"/>
  <c r="W736" i="2"/>
  <c r="AE742" i="2"/>
  <c r="AD756" i="2"/>
  <c r="AD770" i="2"/>
  <c r="W772" i="2"/>
  <c r="AD782" i="2"/>
  <c r="W784" i="2"/>
  <c r="AE794" i="2"/>
  <c r="Z799" i="2"/>
  <c r="AE802" i="2"/>
  <c r="AD810" i="2"/>
  <c r="AD823" i="2"/>
  <c r="AD828" i="2"/>
  <c r="AD837" i="2"/>
  <c r="X839" i="2"/>
  <c r="W844" i="2"/>
  <c r="V844" i="2"/>
  <c r="W848" i="2"/>
  <c r="V848" i="2"/>
  <c r="AE848" i="2"/>
  <c r="AD850" i="2"/>
  <c r="Y851" i="2"/>
  <c r="Z851" i="2" s="1"/>
  <c r="V851" i="2"/>
  <c r="X866" i="2"/>
  <c r="AE866" i="2"/>
  <c r="Y866" i="2"/>
  <c r="Z866" i="2" s="1"/>
  <c r="X874" i="2"/>
  <c r="AE874" i="2"/>
  <c r="Y874" i="2"/>
  <c r="Z874" i="2" s="1"/>
  <c r="AE1042" i="2"/>
  <c r="Y1042" i="2"/>
  <c r="Z1042" i="2" s="1"/>
  <c r="X1042" i="2"/>
  <c r="V1042" i="2"/>
  <c r="X1102" i="2"/>
  <c r="Y1102" i="2" s="1"/>
  <c r="Z1102" i="2" s="1"/>
  <c r="V1102" i="2"/>
  <c r="V517" i="2"/>
  <c r="X523" i="2"/>
  <c r="X540" i="2"/>
  <c r="Y540" i="2" s="1"/>
  <c r="V558" i="2"/>
  <c r="X572" i="2"/>
  <c r="V581" i="2"/>
  <c r="X594" i="2"/>
  <c r="X631" i="2"/>
  <c r="X636" i="2"/>
  <c r="Y636" i="2" s="1"/>
  <c r="Z636" i="2" s="1"/>
  <c r="V641" i="2"/>
  <c r="X656" i="2"/>
  <c r="Y656" i="2" s="1"/>
  <c r="Z656" i="2" s="1"/>
  <c r="X668" i="2"/>
  <c r="W675" i="2"/>
  <c r="V697" i="2"/>
  <c r="V744" i="2"/>
  <c r="X766" i="2"/>
  <c r="Y784" i="2"/>
  <c r="V790" i="2"/>
  <c r="V796" i="2"/>
  <c r="V797" i="2"/>
  <c r="V804" i="2"/>
  <c r="V805" i="2"/>
  <c r="V812" i="2"/>
  <c r="W829" i="2"/>
  <c r="Y843" i="2"/>
  <c r="Z843" i="2" s="1"/>
  <c r="W843" i="2"/>
  <c r="AE843" i="2"/>
  <c r="X517" i="2"/>
  <c r="AD527" i="2"/>
  <c r="AD534" i="2"/>
  <c r="AD544" i="2"/>
  <c r="AD548" i="2"/>
  <c r="V557" i="2"/>
  <c r="X558" i="2"/>
  <c r="AD565" i="2"/>
  <c r="Y572" i="2"/>
  <c r="Z572" i="2" s="1"/>
  <c r="X576" i="2"/>
  <c r="Y576" i="2" s="1"/>
  <c r="Z576" i="2" s="1"/>
  <c r="AD579" i="2"/>
  <c r="V585" i="2"/>
  <c r="AD596" i="2"/>
  <c r="X598" i="2"/>
  <c r="Y598" i="2" s="1"/>
  <c r="Z598" i="2" s="1"/>
  <c r="AD605" i="2"/>
  <c r="AD618" i="2"/>
  <c r="X620" i="2"/>
  <c r="AD623" i="2"/>
  <c r="AD648" i="2"/>
  <c r="AD659" i="2"/>
  <c r="AD665" i="2"/>
  <c r="Y668" i="2"/>
  <c r="Z668" i="2" s="1"/>
  <c r="X675" i="2"/>
  <c r="AD682" i="2"/>
  <c r="AD687" i="2"/>
  <c r="X697" i="2"/>
  <c r="Y697" i="2" s="1"/>
  <c r="Z697" i="2" s="1"/>
  <c r="AD704" i="2"/>
  <c r="AD708" i="2"/>
  <c r="AD720" i="2"/>
  <c r="AD742" i="2"/>
  <c r="W744" i="2"/>
  <c r="X790" i="2"/>
  <c r="W796" i="2"/>
  <c r="W804" i="2"/>
  <c r="W812" i="2"/>
  <c r="W847" i="2"/>
  <c r="V847" i="2"/>
  <c r="X847" i="2"/>
  <c r="Y847" i="2" s="1"/>
  <c r="Z847" i="2" s="1"/>
  <c r="AD863" i="2"/>
  <c r="AE1081" i="2"/>
  <c r="V1081" i="2"/>
  <c r="X1119" i="2"/>
  <c r="V1119" i="2"/>
  <c r="AE1145" i="2"/>
  <c r="X1145" i="2"/>
  <c r="Y1145" i="2" s="1"/>
  <c r="Z1145" i="2" s="1"/>
  <c r="AD468" i="2"/>
  <c r="AD473" i="2"/>
  <c r="AD477" i="2"/>
  <c r="AD491" i="2"/>
  <c r="V494" i="2"/>
  <c r="AD497" i="2"/>
  <c r="AD504" i="2"/>
  <c r="AD507" i="2"/>
  <c r="AD514" i="2"/>
  <c r="X516" i="2"/>
  <c r="Y516" i="2" s="1"/>
  <c r="Z516" i="2" s="1"/>
  <c r="V522" i="2"/>
  <c r="AD526" i="2"/>
  <c r="AD537" i="2"/>
  <c r="AD555" i="2"/>
  <c r="X557" i="2"/>
  <c r="Y557" i="2" s="1"/>
  <c r="Z557" i="2" s="1"/>
  <c r="AD560" i="2"/>
  <c r="V562" i="2"/>
  <c r="AD574" i="2"/>
  <c r="X580" i="2"/>
  <c r="Y580" i="2" s="1"/>
  <c r="Z580" i="2" s="1"/>
  <c r="AD583" i="2"/>
  <c r="V589" i="2"/>
  <c r="AD600" i="2"/>
  <c r="X602" i="2"/>
  <c r="Y602" i="2" s="1"/>
  <c r="Z602" i="2" s="1"/>
  <c r="AD609" i="2"/>
  <c r="Y620" i="2"/>
  <c r="Z620" i="2" s="1"/>
  <c r="V625" i="2"/>
  <c r="AD628" i="2"/>
  <c r="V630" i="2"/>
  <c r="AD638" i="2"/>
  <c r="X640" i="2"/>
  <c r="Y640" i="2" s="1"/>
  <c r="Z640" i="2" s="1"/>
  <c r="AD643" i="2"/>
  <c r="V645" i="2"/>
  <c r="V650" i="2"/>
  <c r="AE652" i="2"/>
  <c r="V661" i="2"/>
  <c r="AD664" i="2"/>
  <c r="V667" i="2"/>
  <c r="Y675" i="2"/>
  <c r="Z675" i="2" s="1"/>
  <c r="AD681" i="2"/>
  <c r="W696" i="2"/>
  <c r="X701" i="2"/>
  <c r="Y701" i="2" s="1"/>
  <c r="Z701" i="2" s="1"/>
  <c r="AD723" i="2"/>
  <c r="AD728" i="2"/>
  <c r="X744" i="2"/>
  <c r="Y744" i="2" s="1"/>
  <c r="AD746" i="2"/>
  <c r="W748" i="2"/>
  <c r="V752" i="2"/>
  <c r="AD755" i="2"/>
  <c r="AD774" i="2"/>
  <c r="W776" i="2"/>
  <c r="AD786" i="2"/>
  <c r="V788" i="2"/>
  <c r="V789" i="2"/>
  <c r="AD792" i="2"/>
  <c r="X796" i="2"/>
  <c r="Y796" i="2" s="1"/>
  <c r="Z796" i="2" s="1"/>
  <c r="AD800" i="2"/>
  <c r="X804" i="2"/>
  <c r="Y804" i="2" s="1"/>
  <c r="Y810" i="2"/>
  <c r="Z810" i="2" s="1"/>
  <c r="Y811" i="2"/>
  <c r="Z811" i="2" s="1"/>
  <c r="X812" i="2"/>
  <c r="AD815" i="2"/>
  <c r="V818" i="2"/>
  <c r="X824" i="2"/>
  <c r="Y824" i="2" s="1"/>
  <c r="Z824" i="2" s="1"/>
  <c r="X843" i="2"/>
  <c r="W859" i="2"/>
  <c r="V859" i="2"/>
  <c r="AE859" i="2"/>
  <c r="X859" i="2"/>
  <c r="Y859" i="2" s="1"/>
  <c r="Z859" i="2" s="1"/>
  <c r="AD444" i="2"/>
  <c r="AD482" i="2"/>
  <c r="AD490" i="2"/>
  <c r="X494" i="2"/>
  <c r="AD525" i="2"/>
  <c r="AD530" i="2"/>
  <c r="X539" i="2"/>
  <c r="AD543" i="2"/>
  <c r="X556" i="2"/>
  <c r="Y556" i="2" s="1"/>
  <c r="Z556" i="2" s="1"/>
  <c r="X562" i="2"/>
  <c r="Y562" i="2" s="1"/>
  <c r="Z562" i="2" s="1"/>
  <c r="AD569" i="2"/>
  <c r="AD578" i="2"/>
  <c r="X584" i="2"/>
  <c r="Y584" i="2" s="1"/>
  <c r="AD587" i="2"/>
  <c r="V593" i="2"/>
  <c r="AD604" i="2"/>
  <c r="AD613" i="2"/>
  <c r="AD653" i="2"/>
  <c r="AD658" i="2"/>
  <c r="X660" i="2"/>
  <c r="Y660" i="2" s="1"/>
  <c r="AD670" i="2"/>
  <c r="V674" i="2"/>
  <c r="AE679" i="2"/>
  <c r="AD690" i="2"/>
  <c r="AD694" i="2"/>
  <c r="X696" i="2"/>
  <c r="Y696" i="2" s="1"/>
  <c r="Z696" i="2" s="1"/>
  <c r="AD699" i="2"/>
  <c r="AD711" i="2"/>
  <c r="AD716" i="2"/>
  <c r="AD732" i="2"/>
  <c r="X734" i="2"/>
  <c r="X748" i="2"/>
  <c r="Y748" i="2" s="1"/>
  <c r="AD750" i="2"/>
  <c r="W752" i="2"/>
  <c r="V756" i="2"/>
  <c r="AD759" i="2"/>
  <c r="X770" i="2"/>
  <c r="X776" i="2"/>
  <c r="Y776" i="2" s="1"/>
  <c r="W788" i="2"/>
  <c r="V810" i="2"/>
  <c r="Y812" i="2"/>
  <c r="Z812" i="2" s="1"/>
  <c r="AE834" i="2"/>
  <c r="Y891" i="2"/>
  <c r="Z891" i="2" s="1"/>
  <c r="AE966" i="2"/>
  <c r="V966" i="2"/>
  <c r="X752" i="2"/>
  <c r="Y752" i="2" s="1"/>
  <c r="X788" i="2"/>
  <c r="Y1021" i="2"/>
  <c r="V1021" i="2"/>
  <c r="X515" i="2"/>
  <c r="V538" i="2"/>
  <c r="X552" i="2"/>
  <c r="V570" i="2"/>
  <c r="X592" i="2"/>
  <c r="Y592" i="2" s="1"/>
  <c r="Z592" i="2" s="1"/>
  <c r="V601" i="2"/>
  <c r="V629" i="2"/>
  <c r="V649" i="2"/>
  <c r="AE656" i="2"/>
  <c r="AE668" i="2"/>
  <c r="X672" i="2"/>
  <c r="Y672" i="2" s="1"/>
  <c r="Z672" i="2" s="1"/>
  <c r="W712" i="2"/>
  <c r="AD740" i="2"/>
  <c r="AD758" i="2"/>
  <c r="V764" i="2"/>
  <c r="AD767" i="2"/>
  <c r="V780" i="2"/>
  <c r="Y788" i="2"/>
  <c r="V794" i="2"/>
  <c r="AD798" i="2"/>
  <c r="V802" i="2"/>
  <c r="AD806" i="2"/>
  <c r="V808" i="2"/>
  <c r="AD830" i="2"/>
  <c r="W836" i="2"/>
  <c r="V836" i="2"/>
  <c r="AE847" i="2"/>
  <c r="X868" i="2"/>
  <c r="Y868" i="2" s="1"/>
  <c r="Z868" i="2" s="1"/>
  <c r="V868" i="2"/>
  <c r="AE1079" i="2"/>
  <c r="W1079" i="2"/>
  <c r="V1079" i="2"/>
  <c r="AD466" i="2"/>
  <c r="AD472" i="2"/>
  <c r="AD481" i="2"/>
  <c r="AD487" i="2"/>
  <c r="AD496" i="2"/>
  <c r="AD501" i="2"/>
  <c r="AD506" i="2"/>
  <c r="AD518" i="2"/>
  <c r="Y537" i="2"/>
  <c r="Z537" i="2" s="1"/>
  <c r="X538" i="2"/>
  <c r="AD546" i="2"/>
  <c r="X548" i="2"/>
  <c r="Y552" i="2"/>
  <c r="AD554" i="2"/>
  <c r="AD577" i="2"/>
  <c r="AD590" i="2"/>
  <c r="X596" i="2"/>
  <c r="Y596" i="2" s="1"/>
  <c r="Z596" i="2" s="1"/>
  <c r="AD599" i="2"/>
  <c r="V605" i="2"/>
  <c r="AD616" i="2"/>
  <c r="AD621" i="2"/>
  <c r="AD626" i="2"/>
  <c r="AD646" i="2"/>
  <c r="X648" i="2"/>
  <c r="Y648" i="2" s="1"/>
  <c r="Z648" i="2" s="1"/>
  <c r="AD657" i="2"/>
  <c r="AD662" i="2"/>
  <c r="V665" i="2"/>
  <c r="AD669" i="2"/>
  <c r="AD676" i="2"/>
  <c r="V682" i="2"/>
  <c r="AD698" i="2"/>
  <c r="AD706" i="2"/>
  <c r="AD710" i="2"/>
  <c r="AD715" i="2"/>
  <c r="AD722" i="2"/>
  <c r="AD727" i="2"/>
  <c r="AD762" i="2"/>
  <c r="W764" i="2"/>
  <c r="V768" i="2"/>
  <c r="AD778" i="2"/>
  <c r="W780" i="2"/>
  <c r="AD791" i="2"/>
  <c r="W808" i="2"/>
  <c r="AD819" i="2"/>
  <c r="V822" i="2"/>
  <c r="AE824" i="2"/>
  <c r="V827" i="2"/>
  <c r="V831" i="2"/>
  <c r="X836" i="2"/>
  <c r="Y836" i="2" s="1"/>
  <c r="Z836" i="2" s="1"/>
  <c r="W849" i="2"/>
  <c r="AE849" i="2"/>
  <c r="Y903" i="2"/>
  <c r="Z903" i="2" s="1"/>
  <c r="X954" i="2"/>
  <c r="Y954" i="2" s="1"/>
  <c r="Z954" i="2" s="1"/>
  <c r="AE954" i="2"/>
  <c r="AE999" i="2"/>
  <c r="V999" i="2"/>
  <c r="Y548" i="2"/>
  <c r="Z548" i="2" s="1"/>
  <c r="AD744" i="2"/>
  <c r="X764" i="2"/>
  <c r="Y764" i="2" s="1"/>
  <c r="AD766" i="2"/>
  <c r="W768" i="2"/>
  <c r="X780" i="2"/>
  <c r="Y780" i="2" s="1"/>
  <c r="X808" i="2"/>
  <c r="Y808" i="2" s="1"/>
  <c r="Z808" i="2" s="1"/>
  <c r="W820" i="2"/>
  <c r="AE821" i="2"/>
  <c r="W821" i="2"/>
  <c r="W826" i="2"/>
  <c r="V826" i="2"/>
  <c r="X831" i="2"/>
  <c r="Y831" i="2" s="1"/>
  <c r="Z831" i="2" s="1"/>
  <c r="Y871" i="2"/>
  <c r="Z871" i="2" s="1"/>
  <c r="W1028" i="2"/>
  <c r="AE1028" i="2"/>
  <c r="X1028" i="2"/>
  <c r="Y1028" i="2" s="1"/>
  <c r="V1028" i="2"/>
  <c r="AE1043" i="2"/>
  <c r="V1043" i="2"/>
  <c r="AE1169" i="2"/>
  <c r="Y1169" i="2"/>
  <c r="Z1169" i="2" s="1"/>
  <c r="X1169" i="2"/>
  <c r="AE1202" i="2"/>
  <c r="Y1202" i="2"/>
  <c r="Z1202" i="2" s="1"/>
  <c r="W1202" i="2"/>
  <c r="V1202" i="2"/>
  <c r="AD865" i="2"/>
  <c r="AE878" i="2"/>
  <c r="AE926" i="2"/>
  <c r="AD929" i="2"/>
  <c r="AD934" i="2"/>
  <c r="AD941" i="2"/>
  <c r="AD953" i="2"/>
  <c r="AD965" i="2"/>
  <c r="AD971" i="2"/>
  <c r="AD980" i="2"/>
  <c r="AD984" i="2"/>
  <c r="AD994" i="2"/>
  <c r="AE997" i="2"/>
  <c r="V1000" i="2"/>
  <c r="AD1014" i="2"/>
  <c r="V1016" i="2"/>
  <c r="AD1026" i="2"/>
  <c r="AD1027" i="2"/>
  <c r="AD1032" i="2"/>
  <c r="W1044" i="2"/>
  <c r="V1045" i="2"/>
  <c r="AD1050" i="2"/>
  <c r="AD1051" i="2"/>
  <c r="V1054" i="2"/>
  <c r="AD1060" i="2"/>
  <c r="AD1070" i="2"/>
  <c r="AE1075" i="2"/>
  <c r="AD1087" i="2"/>
  <c r="AD1115" i="2"/>
  <c r="AE1115" i="2"/>
  <c r="AD1117" i="2"/>
  <c r="AD1123" i="2"/>
  <c r="AE1123" i="2"/>
  <c r="Z1137" i="2"/>
  <c r="AE1159" i="2"/>
  <c r="AD1174" i="2"/>
  <c r="V1182" i="2"/>
  <c r="AD1197" i="2"/>
  <c r="AD1201" i="2"/>
  <c r="V1214" i="2"/>
  <c r="W1214" i="2"/>
  <c r="AD862" i="2"/>
  <c r="W867" i="2"/>
  <c r="AD871" i="2"/>
  <c r="AE1067" i="2"/>
  <c r="AE1074" i="2"/>
  <c r="AE1181" i="2"/>
  <c r="W1296" i="2"/>
  <c r="X1296" i="2"/>
  <c r="AE1403" i="2"/>
  <c r="X1403" i="2"/>
  <c r="Y1403" i="2" s="1"/>
  <c r="Z1403" i="2" s="1"/>
  <c r="W1403" i="2"/>
  <c r="V1403" i="2"/>
  <c r="V959" i="2"/>
  <c r="AE992" i="2"/>
  <c r="V1006" i="2"/>
  <c r="AE1012" i="2"/>
  <c r="V1034" i="2"/>
  <c r="W1052" i="2"/>
  <c r="V1053" i="2"/>
  <c r="V1062" i="2"/>
  <c r="V1063" i="2"/>
  <c r="V1071" i="2"/>
  <c r="V1078" i="2"/>
  <c r="V1099" i="2"/>
  <c r="X1101" i="2"/>
  <c r="Y1101" i="2" s="1"/>
  <c r="V1135" i="2"/>
  <c r="V1143" i="2"/>
  <c r="V1154" i="2"/>
  <c r="V1176" i="2"/>
  <c r="X1181" i="2"/>
  <c r="Y1181" i="2" s="1"/>
  <c r="Z1181" i="2" s="1"/>
  <c r="Y1254" i="2"/>
  <c r="Z1254" i="2" s="1"/>
  <c r="V1254" i="2"/>
  <c r="Y1360" i="2"/>
  <c r="V923" i="2"/>
  <c r="V947" i="2"/>
  <c r="V958" i="2"/>
  <c r="W959" i="2"/>
  <c r="X1006" i="2"/>
  <c r="Y1006" i="2" s="1"/>
  <c r="Z1006" i="2" s="1"/>
  <c r="X1034" i="2"/>
  <c r="Y1034" i="2" s="1"/>
  <c r="Z1034" i="2" s="1"/>
  <c r="AE1056" i="2"/>
  <c r="Y1078" i="2"/>
  <c r="Z1078" i="2" s="1"/>
  <c r="V1118" i="2"/>
  <c r="X1129" i="2"/>
  <c r="W1135" i="2"/>
  <c r="AE1167" i="2"/>
  <c r="V1167" i="2"/>
  <c r="W1174" i="2"/>
  <c r="V1174" i="2"/>
  <c r="W1201" i="2"/>
  <c r="AE1201" i="2"/>
  <c r="AE882" i="2"/>
  <c r="W899" i="2"/>
  <c r="W911" i="2"/>
  <c r="W923" i="2"/>
  <c r="Z934" i="2"/>
  <c r="X935" i="2"/>
  <c r="Y935" i="2" s="1"/>
  <c r="Z935" i="2" s="1"/>
  <c r="W947" i="2"/>
  <c r="Z958" i="2"/>
  <c r="V980" i="2"/>
  <c r="X1004" i="2"/>
  <c r="Y1004" i="2" s="1"/>
  <c r="Z1004" i="2" s="1"/>
  <c r="V1014" i="2"/>
  <c r="AE1016" i="2"/>
  <c r="V1026" i="2"/>
  <c r="V1032" i="2"/>
  <c r="V1033" i="2"/>
  <c r="X1040" i="2"/>
  <c r="Y1040" i="2" s="1"/>
  <c r="Z1040" i="2" s="1"/>
  <c r="Y1041" i="2"/>
  <c r="Z1041" i="2" s="1"/>
  <c r="V1050" i="2"/>
  <c r="V1051" i="2"/>
  <c r="W1060" i="2"/>
  <c r="V1061" i="2"/>
  <c r="Y1062" i="2"/>
  <c r="Z1062" i="2" s="1"/>
  <c r="V1070" i="2"/>
  <c r="AD1074" i="2"/>
  <c r="V1087" i="2"/>
  <c r="W1088" i="2"/>
  <c r="V1089" i="2"/>
  <c r="X1099" i="2"/>
  <c r="Y1099" i="2" s="1"/>
  <c r="Z1099" i="2" s="1"/>
  <c r="X1106" i="2"/>
  <c r="Y1106" i="2" s="1"/>
  <c r="Z1106" i="2" s="1"/>
  <c r="W1111" i="2"/>
  <c r="V1115" i="2"/>
  <c r="X1117" i="2"/>
  <c r="Y1117" i="2" s="1"/>
  <c r="Z1117" i="2" s="1"/>
  <c r="V1123" i="2"/>
  <c r="Y1129" i="2"/>
  <c r="Z1129" i="2" s="1"/>
  <c r="X1135" i="2"/>
  <c r="Y1135" i="2" s="1"/>
  <c r="Z1135" i="2" s="1"/>
  <c r="X1143" i="2"/>
  <c r="Y1143" i="2" s="1"/>
  <c r="Z1143" i="2" s="1"/>
  <c r="Z1151" i="2"/>
  <c r="Y1153" i="2"/>
  <c r="Z1153" i="2" s="1"/>
  <c r="W1167" i="2"/>
  <c r="Y1174" i="2"/>
  <c r="Z1174" i="2" s="1"/>
  <c r="W1190" i="2"/>
  <c r="V1190" i="2"/>
  <c r="X1201" i="2"/>
  <c r="Y1201" i="2" s="1"/>
  <c r="Z1201" i="2" s="1"/>
  <c r="AE1295" i="2"/>
  <c r="X1295" i="2"/>
  <c r="Y1295" i="2" s="1"/>
  <c r="Z1295" i="2" s="1"/>
  <c r="V1295" i="2"/>
  <c r="X1308" i="2"/>
  <c r="Y1308" i="2" s="1"/>
  <c r="Z1308" i="2" s="1"/>
  <c r="Y1348" i="2"/>
  <c r="Z1348" i="2" s="1"/>
  <c r="AE1410" i="2"/>
  <c r="V1410" i="2"/>
  <c r="W1457" i="2"/>
  <c r="V1457" i="2"/>
  <c r="AD841" i="2"/>
  <c r="V855" i="2"/>
  <c r="V863" i="2"/>
  <c r="AD877" i="2"/>
  <c r="V879" i="2"/>
  <c r="AD883" i="2"/>
  <c r="AD889" i="2"/>
  <c r="AD897" i="2"/>
  <c r="X899" i="2"/>
  <c r="Y899" i="2" s="1"/>
  <c r="Z899" i="2" s="1"/>
  <c r="AD909" i="2"/>
  <c r="X911" i="2"/>
  <c r="Y911" i="2" s="1"/>
  <c r="Z911" i="2" s="1"/>
  <c r="AD921" i="2"/>
  <c r="X923" i="2"/>
  <c r="Y923" i="2" s="1"/>
  <c r="Z923" i="2" s="1"/>
  <c r="V927" i="2"/>
  <c r="V939" i="2"/>
  <c r="AD945" i="2"/>
  <c r="X947" i="2"/>
  <c r="Y947" i="2" s="1"/>
  <c r="Z947" i="2" s="1"/>
  <c r="V979" i="2"/>
  <c r="X980" i="2"/>
  <c r="AD991" i="2"/>
  <c r="AE1000" i="2"/>
  <c r="AD1008" i="2"/>
  <c r="X1014" i="2"/>
  <c r="Y1014" i="2" s="1"/>
  <c r="Z1014" i="2" s="1"/>
  <c r="AD1017" i="2"/>
  <c r="X1026" i="2"/>
  <c r="X1032" i="2"/>
  <c r="Y1032" i="2" s="1"/>
  <c r="Z1032" i="2" s="1"/>
  <c r="Y1033" i="2"/>
  <c r="AD1036" i="2"/>
  <c r="AE1044" i="2"/>
  <c r="X1050" i="2"/>
  <c r="Y1050" i="2" s="1"/>
  <c r="Z1050" i="2" s="1"/>
  <c r="X1060" i="2"/>
  <c r="Y1060" i="2" s="1"/>
  <c r="Z1060" i="2" s="1"/>
  <c r="Y1061" i="2"/>
  <c r="Z1061" i="2" s="1"/>
  <c r="W1076" i="2"/>
  <c r="V1077" i="2"/>
  <c r="AD1082" i="2"/>
  <c r="W1087" i="2"/>
  <c r="X1088" i="2"/>
  <c r="Y1088" i="2" s="1"/>
  <c r="Z1088" i="2" s="1"/>
  <c r="AD1091" i="2"/>
  <c r="AD1096" i="2"/>
  <c r="X1110" i="2"/>
  <c r="W1115" i="2"/>
  <c r="V1116" i="2"/>
  <c r="W1123" i="2"/>
  <c r="V1127" i="2"/>
  <c r="AD1131" i="2"/>
  <c r="AE1137" i="2"/>
  <c r="Z1141" i="2"/>
  <c r="V1142" i="2"/>
  <c r="AD1147" i="2"/>
  <c r="V1151" i="2"/>
  <c r="V1159" i="2"/>
  <c r="V1160" i="2"/>
  <c r="X1167" i="2"/>
  <c r="AD1170" i="2"/>
  <c r="AD1178" i="2"/>
  <c r="AE1179" i="2"/>
  <c r="Y1179" i="2"/>
  <c r="Z1179" i="2" s="1"/>
  <c r="V1179" i="2"/>
  <c r="AE1220" i="2"/>
  <c r="X1220" i="2"/>
  <c r="W1223" i="2"/>
  <c r="V1223" i="2"/>
  <c r="AE1279" i="2"/>
  <c r="X1279" i="2"/>
  <c r="Y1279" i="2" s="1"/>
  <c r="Z1279" i="2" s="1"/>
  <c r="V1279" i="2"/>
  <c r="W1295" i="2"/>
  <c r="AE1387" i="2"/>
  <c r="X1387" i="2"/>
  <c r="Y1387" i="2" s="1"/>
  <c r="Z1387" i="2" s="1"/>
  <c r="W1387" i="2"/>
  <c r="AE906" i="2"/>
  <c r="AE918" i="2"/>
  <c r="W927" i="2"/>
  <c r="W939" i="2"/>
  <c r="Y1026" i="2"/>
  <c r="Z1026" i="2" s="1"/>
  <c r="AE1064" i="2"/>
  <c r="AE1072" i="2"/>
  <c r="AD1103" i="2"/>
  <c r="AD1113" i="2"/>
  <c r="X1115" i="2"/>
  <c r="Y1115" i="2" s="1"/>
  <c r="Z1115" i="2" s="1"/>
  <c r="X1123" i="2"/>
  <c r="Y1123" i="2" s="1"/>
  <c r="Z1123" i="2" s="1"/>
  <c r="W1127" i="2"/>
  <c r="W1151" i="2"/>
  <c r="W1159" i="2"/>
  <c r="Y1167" i="2"/>
  <c r="AE1206" i="2"/>
  <c r="V1206" i="2"/>
  <c r="W1206" i="2"/>
  <c r="AE1359" i="2"/>
  <c r="X1359" i="2"/>
  <c r="Y1359" i="2" s="1"/>
  <c r="W1359" i="2"/>
  <c r="AD824" i="2"/>
  <c r="AD829" i="2"/>
  <c r="AD834" i="2"/>
  <c r="AD853" i="2"/>
  <c r="Z862" i="2"/>
  <c r="AD867" i="2"/>
  <c r="Y870" i="2"/>
  <c r="Z870" i="2" s="1"/>
  <c r="W871" i="2"/>
  <c r="AD875" i="2"/>
  <c r="Z878" i="2"/>
  <c r="AD887" i="2"/>
  <c r="Y890" i="2"/>
  <c r="Z890" i="2" s="1"/>
  <c r="W891" i="2"/>
  <c r="AD895" i="2"/>
  <c r="W903" i="2"/>
  <c r="AD907" i="2"/>
  <c r="W915" i="2"/>
  <c r="AD919" i="2"/>
  <c r="Z926" i="2"/>
  <c r="AD931" i="2"/>
  <c r="AD937" i="2"/>
  <c r="AD943" i="2"/>
  <c r="AD949" i="2"/>
  <c r="V962" i="2"/>
  <c r="V963" i="2"/>
  <c r="AD972" i="2"/>
  <c r="AD995" i="2"/>
  <c r="AD1029" i="2"/>
  <c r="AE1034" i="2"/>
  <c r="V1038" i="2"/>
  <c r="AD1064" i="2"/>
  <c r="W1068" i="2"/>
  <c r="V1069" i="2"/>
  <c r="AD1072" i="2"/>
  <c r="AE1078" i="2"/>
  <c r="AD1137" i="2"/>
  <c r="V1139" i="2"/>
  <c r="X1151" i="2"/>
  <c r="AD1155" i="2"/>
  <c r="Y1159" i="2"/>
  <c r="Z1159" i="2" s="1"/>
  <c r="V1166" i="2"/>
  <c r="AE1171" i="2"/>
  <c r="Y1171" i="2"/>
  <c r="Z1171" i="2" s="1"/>
  <c r="AD1177" i="2"/>
  <c r="Z1183" i="2"/>
  <c r="V1183" i="2"/>
  <c r="AD1218" i="2"/>
  <c r="W1306" i="2"/>
  <c r="Y1323" i="2"/>
  <c r="Z1323" i="2" s="1"/>
  <c r="X1323" i="2"/>
  <c r="W1323" i="2"/>
  <c r="V1323" i="2"/>
  <c r="AE1323" i="2"/>
  <c r="AE1062" i="2"/>
  <c r="AE1129" i="2"/>
  <c r="X1165" i="2"/>
  <c r="W1194" i="2"/>
  <c r="V1194" i="2"/>
  <c r="Y1194" i="2"/>
  <c r="Z1194" i="2" s="1"/>
  <c r="AE1199" i="2"/>
  <c r="W1199" i="2"/>
  <c r="V1199" i="2"/>
  <c r="AE1219" i="2"/>
  <c r="X1219" i="2"/>
  <c r="Y1219" i="2" s="1"/>
  <c r="Z1219" i="2" s="1"/>
  <c r="V1219" i="2"/>
  <c r="W1294" i="2"/>
  <c r="V1294" i="2"/>
  <c r="Y1596" i="2"/>
  <c r="Z1596" i="2" s="1"/>
  <c r="AD857" i="2"/>
  <c r="AD886" i="2"/>
  <c r="AD894" i="2"/>
  <c r="AE898" i="2"/>
  <c r="AD906" i="2"/>
  <c r="AE910" i="2"/>
  <c r="AD918" i="2"/>
  <c r="AD935" i="2"/>
  <c r="AD959" i="2"/>
  <c r="AD975" i="2"/>
  <c r="AD985" i="2"/>
  <c r="AD989" i="2"/>
  <c r="V992" i="2"/>
  <c r="X996" i="2"/>
  <c r="Y996" i="2" s="1"/>
  <c r="AE1004" i="2"/>
  <c r="AD1006" i="2"/>
  <c r="V1012" i="2"/>
  <c r="AE1014" i="2"/>
  <c r="AD1034" i="2"/>
  <c r="AE1040" i="2"/>
  <c r="X1046" i="2"/>
  <c r="Y1046" i="2" s="1"/>
  <c r="Z1046" i="2" s="1"/>
  <c r="AD1052" i="2"/>
  <c r="W1056" i="2"/>
  <c r="V1057" i="2"/>
  <c r="AD1062" i="2"/>
  <c r="AD1063" i="2"/>
  <c r="V1066" i="2"/>
  <c r="Y1068" i="2"/>
  <c r="Z1068" i="2" s="1"/>
  <c r="AD1071" i="2"/>
  <c r="AD1078" i="2"/>
  <c r="Y1085" i="2"/>
  <c r="Z1085" i="2" s="1"/>
  <c r="AD1095" i="2"/>
  <c r="X1097" i="2"/>
  <c r="AD1099" i="2"/>
  <c r="AD1101" i="2"/>
  <c r="AD1107" i="2"/>
  <c r="X1121" i="2"/>
  <c r="AD1130" i="2"/>
  <c r="AD1135" i="2"/>
  <c r="AE1135" i="2"/>
  <c r="X1139" i="2"/>
  <c r="Y1139" i="2" s="1"/>
  <c r="Z1139" i="2" s="1"/>
  <c r="AD1143" i="2"/>
  <c r="X1149" i="2"/>
  <c r="Y1149" i="2" s="1"/>
  <c r="Z1149" i="2" s="1"/>
  <c r="AD1162" i="2"/>
  <c r="Y1165" i="2"/>
  <c r="Z1165" i="2" s="1"/>
  <c r="W1170" i="2"/>
  <c r="Z1170" i="2"/>
  <c r="W1171" i="2"/>
  <c r="W1178" i="2"/>
  <c r="V1178" i="2"/>
  <c r="AD1181" i="2"/>
  <c r="X1183" i="2"/>
  <c r="AE1188" i="2"/>
  <c r="V1188" i="2"/>
  <c r="X1199" i="2"/>
  <c r="Y1199" i="2" s="1"/>
  <c r="Z1199" i="2" s="1"/>
  <c r="AD1209" i="2"/>
  <c r="W1219" i="2"/>
  <c r="V1222" i="2"/>
  <c r="W1222" i="2"/>
  <c r="W1278" i="2"/>
  <c r="V1278" i="2"/>
  <c r="Y1483" i="2"/>
  <c r="Z1483" i="2" s="1"/>
  <c r="X1483" i="2"/>
  <c r="AD881" i="2"/>
  <c r="AD899" i="2"/>
  <c r="AD911" i="2"/>
  <c r="AD923" i="2"/>
  <c r="AD947" i="2"/>
  <c r="AD958" i="2"/>
  <c r="AD981" i="2"/>
  <c r="X992" i="2"/>
  <c r="Y992" i="2" s="1"/>
  <c r="Z992" i="2" s="1"/>
  <c r="AD1004" i="2"/>
  <c r="AD1005" i="2"/>
  <c r="X1012" i="2"/>
  <c r="Y1012" i="2" s="1"/>
  <c r="AD1015" i="2"/>
  <c r="Z1022" i="2"/>
  <c r="AE1026" i="2"/>
  <c r="AE1032" i="2"/>
  <c r="AD1040" i="2"/>
  <c r="AE1050" i="2"/>
  <c r="Z1054" i="2"/>
  <c r="X1056" i="2"/>
  <c r="Y1056" i="2" s="1"/>
  <c r="Z1056" i="2" s="1"/>
  <c r="AE1060" i="2"/>
  <c r="X1066" i="2"/>
  <c r="Y1066" i="2" s="1"/>
  <c r="Z1066" i="2" s="1"/>
  <c r="AD1100" i="2"/>
  <c r="AD1106" i="2"/>
  <c r="AD1111" i="2"/>
  <c r="AD1118" i="2"/>
  <c r="AD1129" i="2"/>
  <c r="AD1153" i="2"/>
  <c r="AE1210" i="2"/>
  <c r="W1210" i="2"/>
  <c r="V1210" i="2"/>
  <c r="AD1213" i="2"/>
  <c r="X1451" i="2"/>
  <c r="Y1451" i="2" s="1"/>
  <c r="Z1451" i="2" s="1"/>
  <c r="V1451" i="2"/>
  <c r="AD1189" i="2"/>
  <c r="Y1237" i="2"/>
  <c r="Z1237" i="2" s="1"/>
  <c r="AD1246" i="2"/>
  <c r="AD1266" i="2"/>
  <c r="AD1317" i="2"/>
  <c r="W1319" i="2"/>
  <c r="AE1341" i="2"/>
  <c r="AD1343" i="2"/>
  <c r="X1345" i="2"/>
  <c r="X1350" i="2"/>
  <c r="Y1350" i="2" s="1"/>
  <c r="Z1350" i="2" s="1"/>
  <c r="AD1353" i="2"/>
  <c r="X1355" i="2"/>
  <c r="X1356" i="2"/>
  <c r="Y1356" i="2" s="1"/>
  <c r="AD1381" i="2"/>
  <c r="AD1385" i="2"/>
  <c r="X1393" i="2"/>
  <c r="X1399" i="2"/>
  <c r="Y1399" i="2" s="1"/>
  <c r="AD1402" i="2"/>
  <c r="AD1426" i="2"/>
  <c r="X1429" i="2"/>
  <c r="Y1429" i="2" s="1"/>
  <c r="Z1429" i="2" s="1"/>
  <c r="X1442" i="2"/>
  <c r="Y1442" i="2" s="1"/>
  <c r="Z1442" i="2" s="1"/>
  <c r="AE1448" i="2"/>
  <c r="AD1455" i="2"/>
  <c r="AD1461" i="2"/>
  <c r="AD1478" i="2"/>
  <c r="AD1499" i="2"/>
  <c r="Y1519" i="2"/>
  <c r="Z1519" i="2" s="1"/>
  <c r="AD1585" i="2"/>
  <c r="X1689" i="2"/>
  <c r="W1689" i="2"/>
  <c r="V1689" i="2"/>
  <c r="AE1722" i="2"/>
  <c r="X1722" i="2"/>
  <c r="Y1722" i="2" s="1"/>
  <c r="Z1722" i="2" s="1"/>
  <c r="W1722" i="2"/>
  <c r="W1737" i="2"/>
  <c r="V1737" i="2"/>
  <c r="AE1737" i="2"/>
  <c r="X1754" i="2"/>
  <c r="Y1754" i="2" s="1"/>
  <c r="Z1754" i="2" s="1"/>
  <c r="W1754" i="2"/>
  <c r="Y1767" i="2"/>
  <c r="Z1767" i="2" s="1"/>
  <c r="W1767" i="2"/>
  <c r="V1767" i="2"/>
  <c r="AE1767" i="2"/>
  <c r="AE1330" i="2"/>
  <c r="Y1495" i="2"/>
  <c r="Z1495" i="2" s="1"/>
  <c r="X1495" i="2"/>
  <c r="Y1543" i="2"/>
  <c r="Y1609" i="2"/>
  <c r="X1609" i="2"/>
  <c r="W1609" i="2"/>
  <c r="V1699" i="2"/>
  <c r="X1699" i="2"/>
  <c r="W1699" i="2"/>
  <c r="AE1709" i="2"/>
  <c r="Y1709" i="2"/>
  <c r="Z1709" i="2" s="1"/>
  <c r="X1709" i="2"/>
  <c r="W1709" i="2"/>
  <c r="Z1737" i="2"/>
  <c r="X1750" i="2"/>
  <c r="Y1750" i="2" s="1"/>
  <c r="Z1750" i="2" s="1"/>
  <c r="AE1750" i="2"/>
  <c r="W1750" i="2"/>
  <c r="X1762" i="2"/>
  <c r="Y1762" i="2" s="1"/>
  <c r="Z1762" i="2" s="1"/>
  <c r="W1762" i="2"/>
  <c r="V1573" i="2"/>
  <c r="AE1573" i="2"/>
  <c r="AE1641" i="2"/>
  <c r="W1641" i="2"/>
  <c r="V1641" i="2"/>
  <c r="X1652" i="2"/>
  <c r="Y1652" i="2" s="1"/>
  <c r="Z1652" i="2" s="1"/>
  <c r="W1652" i="2"/>
  <c r="V1652" i="2"/>
  <c r="W1753" i="2"/>
  <c r="V1753" i="2"/>
  <c r="AE1753" i="2"/>
  <c r="X1766" i="2"/>
  <c r="W1766" i="2"/>
  <c r="V1766" i="2"/>
  <c r="AE1766" i="2"/>
  <c r="AD1154" i="2"/>
  <c r="AD1163" i="2"/>
  <c r="AD1175" i="2"/>
  <c r="AD1186" i="2"/>
  <c r="AD1195" i="2"/>
  <c r="Y1203" i="2"/>
  <c r="Z1203" i="2" s="1"/>
  <c r="X1213" i="2"/>
  <c r="Y1213" i="2" s="1"/>
  <c r="Z1213" i="2" s="1"/>
  <c r="W1218" i="2"/>
  <c r="AE1237" i="2"/>
  <c r="W1247" i="2"/>
  <c r="W1267" i="2"/>
  <c r="AE1275" i="2"/>
  <c r="AD1334" i="2"/>
  <c r="AD1346" i="2"/>
  <c r="AE1350" i="2"/>
  <c r="AD1352" i="2"/>
  <c r="AD1362" i="2"/>
  <c r="AD1367" i="2"/>
  <c r="W1375" i="2"/>
  <c r="V1386" i="2"/>
  <c r="AD1389" i="2"/>
  <c r="X1391" i="2"/>
  <c r="Y1391" i="2" s="1"/>
  <c r="X1397" i="2"/>
  <c r="Y1397" i="2" s="1"/>
  <c r="Z1397" i="2" s="1"/>
  <c r="AE1399" i="2"/>
  <c r="AD1406" i="2"/>
  <c r="X1409" i="2"/>
  <c r="Y1409" i="2" s="1"/>
  <c r="Z1409" i="2" s="1"/>
  <c r="V1415" i="2"/>
  <c r="X1421" i="2"/>
  <c r="Y1421" i="2" s="1"/>
  <c r="Z1421" i="2" s="1"/>
  <c r="AE1423" i="2"/>
  <c r="W1427" i="2"/>
  <c r="AD1430" i="2"/>
  <c r="X1433" i="2"/>
  <c r="Y1433" i="2" s="1"/>
  <c r="Z1433" i="2" s="1"/>
  <c r="V1439" i="2"/>
  <c r="AE1442" i="2"/>
  <c r="W1445" i="2"/>
  <c r="X1450" i="2"/>
  <c r="Y1450" i="2" s="1"/>
  <c r="Z1450" i="2" s="1"/>
  <c r="X1456" i="2"/>
  <c r="X1462" i="2"/>
  <c r="AD1471" i="2"/>
  <c r="V1473" i="2"/>
  <c r="Y1499" i="2"/>
  <c r="Z1499" i="2" s="1"/>
  <c r="X1500" i="2"/>
  <c r="V1534" i="2"/>
  <c r="W1573" i="2"/>
  <c r="AE1585" i="2"/>
  <c r="X1585" i="2"/>
  <c r="Y1585" i="2" s="1"/>
  <c r="Z1585" i="2" s="1"/>
  <c r="W1585" i="2"/>
  <c r="V1585" i="2"/>
  <c r="V1613" i="2"/>
  <c r="AE1645" i="2"/>
  <c r="W1645" i="2"/>
  <c r="V1645" i="2"/>
  <c r="X1753" i="2"/>
  <c r="Y1753" i="2" s="1"/>
  <c r="Z1753" i="2" s="1"/>
  <c r="Y1766" i="2"/>
  <c r="Z1766" i="2" s="1"/>
  <c r="X1247" i="2"/>
  <c r="Y1247" i="2" s="1"/>
  <c r="Z1247" i="2" s="1"/>
  <c r="X1267" i="2"/>
  <c r="Y1267" i="2" s="1"/>
  <c r="Z1267" i="2" s="1"/>
  <c r="X1375" i="2"/>
  <c r="Y1375" i="2" s="1"/>
  <c r="W1415" i="2"/>
  <c r="AD1423" i="2"/>
  <c r="X1427" i="2"/>
  <c r="Y1427" i="2" s="1"/>
  <c r="Z1427" i="2" s="1"/>
  <c r="AD1435" i="2"/>
  <c r="W1439" i="2"/>
  <c r="AD1492" i="2"/>
  <c r="Y1500" i="2"/>
  <c r="Z1500" i="2" s="1"/>
  <c r="AD1511" i="2"/>
  <c r="AD1540" i="2"/>
  <c r="AE1542" i="2"/>
  <c r="X1542" i="2"/>
  <c r="Y1542" i="2" s="1"/>
  <c r="Z1542" i="2" s="1"/>
  <c r="W1542" i="2"/>
  <c r="AE1549" i="2"/>
  <c r="X1573" i="2"/>
  <c r="Y1573" i="2" s="1"/>
  <c r="Z1573" i="2" s="1"/>
  <c r="V1612" i="2"/>
  <c r="AE1612" i="2"/>
  <c r="Y1612" i="2"/>
  <c r="Z1612" i="2" s="1"/>
  <c r="AE1689" i="2"/>
  <c r="AD1723" i="2"/>
  <c r="X1415" i="2"/>
  <c r="Y1415" i="2" s="1"/>
  <c r="X1439" i="2"/>
  <c r="Y1439" i="2" s="1"/>
  <c r="V1508" i="2"/>
  <c r="W1508" i="2"/>
  <c r="AE1541" i="2"/>
  <c r="Y1541" i="2"/>
  <c r="Z1541" i="2" s="1"/>
  <c r="AE1581" i="2"/>
  <c r="X1581" i="2"/>
  <c r="Y1581" i="2" s="1"/>
  <c r="Z1581" i="2" s="1"/>
  <c r="W1581" i="2"/>
  <c r="V1675" i="2"/>
  <c r="X1675" i="2"/>
  <c r="W1675" i="2"/>
  <c r="V1692" i="2"/>
  <c r="AE1735" i="2"/>
  <c r="X1735" i="2"/>
  <c r="Y1735" i="2" s="1"/>
  <c r="Z1735" i="2" s="1"/>
  <c r="W1735" i="2"/>
  <c r="AE1761" i="2"/>
  <c r="X1761" i="2"/>
  <c r="Y1761" i="2" s="1"/>
  <c r="Z1761" i="2" s="1"/>
  <c r="W1761" i="2"/>
  <c r="V1761" i="2"/>
  <c r="AD1173" i="2"/>
  <c r="W1187" i="2"/>
  <c r="AD1193" i="2"/>
  <c r="AD1205" i="2"/>
  <c r="X1211" i="2"/>
  <c r="X1227" i="2"/>
  <c r="Y1227" i="2" s="1"/>
  <c r="Z1227" i="2" s="1"/>
  <c r="AD1235" i="2"/>
  <c r="AD1249" i="2"/>
  <c r="W1251" i="2"/>
  <c r="V1258" i="2"/>
  <c r="AD1262" i="2"/>
  <c r="AD1269" i="2"/>
  <c r="W1271" i="2"/>
  <c r="AD1274" i="2"/>
  <c r="W1283" i="2"/>
  <c r="V1298" i="2"/>
  <c r="AD1309" i="2"/>
  <c r="W1311" i="2"/>
  <c r="AE1319" i="2"/>
  <c r="AD1326" i="2"/>
  <c r="AD1327" i="2"/>
  <c r="V1329" i="2"/>
  <c r="V1330" i="2"/>
  <c r="AD1338" i="2"/>
  <c r="X1341" i="2"/>
  <c r="X1342" i="2"/>
  <c r="Y1342" i="2" s="1"/>
  <c r="Z1342" i="2" s="1"/>
  <c r="AD1349" i="2"/>
  <c r="X1363" i="2"/>
  <c r="Y1363" i="2" s="1"/>
  <c r="Z1363" i="2" s="1"/>
  <c r="AD1377" i="2"/>
  <c r="W1379" i="2"/>
  <c r="X1380" i="2"/>
  <c r="Y1380" i="2" s="1"/>
  <c r="Z1380" i="2" s="1"/>
  <c r="X1401" i="2"/>
  <c r="Y1401" i="2" s="1"/>
  <c r="Z1401" i="2" s="1"/>
  <c r="AD1411" i="2"/>
  <c r="AD1417" i="2"/>
  <c r="V1419" i="2"/>
  <c r="V1431" i="2"/>
  <c r="AD1441" i="2"/>
  <c r="X1448" i="2"/>
  <c r="AD1452" i="2"/>
  <c r="Y1454" i="2"/>
  <c r="AD1458" i="2"/>
  <c r="X1460" i="2"/>
  <c r="Y1460" i="2" s="1"/>
  <c r="Z1460" i="2" s="1"/>
  <c r="AD1467" i="2"/>
  <c r="W1476" i="2"/>
  <c r="V1477" i="2"/>
  <c r="W1481" i="2"/>
  <c r="AD1488" i="2"/>
  <c r="AD1491" i="2"/>
  <c r="AD1496" i="2"/>
  <c r="X1503" i="2"/>
  <c r="Y1503" i="2" s="1"/>
  <c r="Z1503" i="2" s="1"/>
  <c r="X1508" i="2"/>
  <c r="V1512" i="2"/>
  <c r="X1512" i="2"/>
  <c r="Y1512" i="2" s="1"/>
  <c r="Z1512" i="2" s="1"/>
  <c r="AD1515" i="2"/>
  <c r="AD1526" i="2"/>
  <c r="AD1530" i="2"/>
  <c r="Z1532" i="2"/>
  <c r="AD1539" i="2"/>
  <c r="V1541" i="2"/>
  <c r="AE1543" i="2"/>
  <c r="V1581" i="2"/>
  <c r="Y1593" i="2"/>
  <c r="Z1593" i="2" s="1"/>
  <c r="X1612" i="2"/>
  <c r="V1628" i="2"/>
  <c r="AE1628" i="2"/>
  <c r="X1628" i="2"/>
  <c r="Y1628" i="2" s="1"/>
  <c r="Z1628" i="2" s="1"/>
  <c r="X1663" i="2"/>
  <c r="Y1663" i="2" s="1"/>
  <c r="Z1663" i="2" s="1"/>
  <c r="W1663" i="2"/>
  <c r="X1711" i="2"/>
  <c r="W1711" i="2"/>
  <c r="V1711" i="2"/>
  <c r="V1735" i="2"/>
  <c r="AD1751" i="2"/>
  <c r="AE1787" i="2"/>
  <c r="X1787" i="2"/>
  <c r="Y1787" i="2" s="1"/>
  <c r="Z1787" i="2" s="1"/>
  <c r="W1787" i="2"/>
  <c r="V1787" i="2"/>
  <c r="AD1161" i="2"/>
  <c r="AD1171" i="2"/>
  <c r="X1177" i="2"/>
  <c r="X1187" i="2"/>
  <c r="Y1187" i="2" s="1"/>
  <c r="Z1187" i="2" s="1"/>
  <c r="AD1191" i="2"/>
  <c r="AE1191" i="2"/>
  <c r="X1197" i="2"/>
  <c r="Y1197" i="2" s="1"/>
  <c r="Z1197" i="2" s="1"/>
  <c r="AE1203" i="2"/>
  <c r="Z1207" i="2"/>
  <c r="X1209" i="2"/>
  <c r="Y1209" i="2" s="1"/>
  <c r="Z1209" i="2" s="1"/>
  <c r="Y1211" i="2"/>
  <c r="Z1211" i="2" s="1"/>
  <c r="AE1213" i="2"/>
  <c r="AE1218" i="2"/>
  <c r="X1251" i="2"/>
  <c r="Y1251" i="2" s="1"/>
  <c r="Z1251" i="2" s="1"/>
  <c r="W1252" i="2"/>
  <c r="AD1318" i="2"/>
  <c r="X1329" i="2"/>
  <c r="X1330" i="2"/>
  <c r="AD1333" i="2"/>
  <c r="AD1361" i="2"/>
  <c r="AD1365" i="2"/>
  <c r="Z1367" i="2"/>
  <c r="AD1371" i="2"/>
  <c r="X1379" i="2"/>
  <c r="AD1382" i="2"/>
  <c r="AD1398" i="2"/>
  <c r="X1407" i="2"/>
  <c r="W1419" i="2"/>
  <c r="W1431" i="2"/>
  <c r="AE1445" i="2"/>
  <c r="Y1448" i="2"/>
  <c r="Z1448" i="2" s="1"/>
  <c r="X1476" i="2"/>
  <c r="Y1507" i="2"/>
  <c r="Z1507" i="2" s="1"/>
  <c r="Y1508" i="2"/>
  <c r="Z1508" i="2" s="1"/>
  <c r="W1541" i="2"/>
  <c r="Y1561" i="2"/>
  <c r="Z1561" i="2" s="1"/>
  <c r="X1561" i="2"/>
  <c r="W1561" i="2"/>
  <c r="Y1611" i="2"/>
  <c r="Z1611" i="2" s="1"/>
  <c r="X1611" i="2"/>
  <c r="AE1652" i="2"/>
  <c r="W1739" i="2"/>
  <c r="V1739" i="2"/>
  <c r="AE1739" i="2"/>
  <c r="AD1182" i="2"/>
  <c r="AD1202" i="2"/>
  <c r="AD1214" i="2"/>
  <c r="AD1219" i="2"/>
  <c r="AD1254" i="2"/>
  <c r="AD1285" i="2"/>
  <c r="AD1290" i="2"/>
  <c r="AD1306" i="2"/>
  <c r="Y1330" i="2"/>
  <c r="Z1330" i="2" s="1"/>
  <c r="AD1354" i="2"/>
  <c r="Y1379" i="2"/>
  <c r="Z1379" i="2" s="1"/>
  <c r="AD1387" i="2"/>
  <c r="AD1403" i="2"/>
  <c r="AD1410" i="2"/>
  <c r="X1419" i="2"/>
  <c r="Y1419" i="2" s="1"/>
  <c r="Z1419" i="2" s="1"/>
  <c r="AD1422" i="2"/>
  <c r="AE1427" i="2"/>
  <c r="AD1434" i="2"/>
  <c r="Z1435" i="2"/>
  <c r="AD1457" i="2"/>
  <c r="AD1463" i="2"/>
  <c r="Y1476" i="2"/>
  <c r="Z1476" i="2" s="1"/>
  <c r="AD1483" i="2"/>
  <c r="AD1510" i="2"/>
  <c r="X1541" i="2"/>
  <c r="AD1553" i="2"/>
  <c r="AE1649" i="2"/>
  <c r="W1649" i="2"/>
  <c r="V1649" i="2"/>
  <c r="X1686" i="2"/>
  <c r="Y1686" i="2" s="1"/>
  <c r="Z1686" i="2" s="1"/>
  <c r="W1686" i="2"/>
  <c r="V1686" i="2"/>
  <c r="X1705" i="2"/>
  <c r="Y1705" i="2" s="1"/>
  <c r="Z1705" i="2" s="1"/>
  <c r="W1705" i="2"/>
  <c r="V1723" i="2"/>
  <c r="X1723" i="2"/>
  <c r="Y1723" i="2" s="1"/>
  <c r="Z1723" i="2" s="1"/>
  <c r="W1723" i="2"/>
  <c r="X1734" i="2"/>
  <c r="AE1734" i="2"/>
  <c r="Y1734" i="2"/>
  <c r="Z1734" i="2" s="1"/>
  <c r="W1734" i="2"/>
  <c r="AD1242" i="2"/>
  <c r="AD1325" i="2"/>
  <c r="AD1337" i="2"/>
  <c r="Z1355" i="2"/>
  <c r="AD1391" i="2"/>
  <c r="AD1397" i="2"/>
  <c r="AD1409" i="2"/>
  <c r="AD1421" i="2"/>
  <c r="AD1427" i="2"/>
  <c r="AD1433" i="2"/>
  <c r="AD1445" i="2"/>
  <c r="AD1456" i="2"/>
  <c r="AD1495" i="2"/>
  <c r="AD1529" i="2"/>
  <c r="AD1543" i="2"/>
  <c r="AD1548" i="2"/>
  <c r="AE1562" i="2"/>
  <c r="AE1662" i="2"/>
  <c r="X1662" i="2"/>
  <c r="Y1662" i="2" s="1"/>
  <c r="Z1662" i="2" s="1"/>
  <c r="W1662" i="2"/>
  <c r="W1673" i="2"/>
  <c r="V1673" i="2"/>
  <c r="AE1673" i="2"/>
  <c r="V1705" i="2"/>
  <c r="V1734" i="2"/>
  <c r="AE1777" i="2"/>
  <c r="X1777" i="2"/>
  <c r="Y1777" i="2" s="1"/>
  <c r="Z1777" i="2" s="1"/>
  <c r="W1777" i="2"/>
  <c r="AD1167" i="2"/>
  <c r="Z1173" i="2"/>
  <c r="AD1179" i="2"/>
  <c r="Y1185" i="2"/>
  <c r="Z1185" i="2" s="1"/>
  <c r="AD1190" i="2"/>
  <c r="AD1278" i="2"/>
  <c r="AD1294" i="2"/>
  <c r="W1355" i="2"/>
  <c r="AD1359" i="2"/>
  <c r="AE1363" i="2"/>
  <c r="AD1370" i="2"/>
  <c r="AD1375" i="2"/>
  <c r="X1383" i="2"/>
  <c r="Y1383" i="2" s="1"/>
  <c r="Z1383" i="2" s="1"/>
  <c r="AD1386" i="2"/>
  <c r="V1393" i="2"/>
  <c r="X1405" i="2"/>
  <c r="Y1405" i="2" s="1"/>
  <c r="Z1411" i="2"/>
  <c r="AD1415" i="2"/>
  <c r="V1429" i="2"/>
  <c r="W1435" i="2"/>
  <c r="Y1436" i="2"/>
  <c r="AD1439" i="2"/>
  <c r="AD1440" i="2"/>
  <c r="AD1450" i="2"/>
  <c r="AD1487" i="2"/>
  <c r="Y1491" i="2"/>
  <c r="Z1491" i="2" s="1"/>
  <c r="X1492" i="2"/>
  <c r="V1496" i="2"/>
  <c r="Y1496" i="2"/>
  <c r="Z1496" i="2" s="1"/>
  <c r="Y1515" i="2"/>
  <c r="Z1515" i="2" s="1"/>
  <c r="X1516" i="2"/>
  <c r="Y1516" i="2" s="1"/>
  <c r="Z1516" i="2" s="1"/>
  <c r="X1520" i="2"/>
  <c r="W1521" i="2"/>
  <c r="V1545" i="2"/>
  <c r="V1549" i="2"/>
  <c r="W1610" i="2"/>
  <c r="AE1610" i="2"/>
  <c r="X1610" i="2"/>
  <c r="Y1610" i="2" s="1"/>
  <c r="Z1610" i="2" s="1"/>
  <c r="W1618" i="2"/>
  <c r="AE1618" i="2"/>
  <c r="X1618" i="2"/>
  <c r="Y1618" i="2" s="1"/>
  <c r="Z1618" i="2" s="1"/>
  <c r="V1618" i="2"/>
  <c r="V1662" i="2"/>
  <c r="X1673" i="2"/>
  <c r="Y1673" i="2" s="1"/>
  <c r="Z1673" i="2" s="1"/>
  <c r="AE1710" i="2"/>
  <c r="X1710" i="2"/>
  <c r="Y1710" i="2" s="1"/>
  <c r="Z1710" i="2" s="1"/>
  <c r="W1710" i="2"/>
  <c r="V1710" i="2"/>
  <c r="AE1717" i="2"/>
  <c r="Y1717" i="2"/>
  <c r="Z1717" i="2" s="1"/>
  <c r="X1717" i="2"/>
  <c r="W1717" i="2"/>
  <c r="V1717" i="2"/>
  <c r="AE1751" i="2"/>
  <c r="X1751" i="2"/>
  <c r="Y1751" i="2" s="1"/>
  <c r="Z1751" i="2" s="1"/>
  <c r="W1751" i="2"/>
  <c r="V1751" i="2"/>
  <c r="V1777" i="2"/>
  <c r="AD1567" i="2"/>
  <c r="AD1573" i="2"/>
  <c r="AD1606" i="2"/>
  <c r="AD1624" i="2"/>
  <c r="AD1631" i="2"/>
  <c r="Y1634" i="2"/>
  <c r="Z1634" i="2" s="1"/>
  <c r="AD1639" i="2"/>
  <c r="X1644" i="2"/>
  <c r="Y1644" i="2" s="1"/>
  <c r="Z1644" i="2" s="1"/>
  <c r="X1674" i="2"/>
  <c r="Y1674" i="2" s="1"/>
  <c r="Z1674" i="2" s="1"/>
  <c r="AD1680" i="2"/>
  <c r="AD1687" i="2"/>
  <c r="X1691" i="2"/>
  <c r="Y1691" i="2" s="1"/>
  <c r="Z1691" i="2" s="1"/>
  <c r="AD1696" i="2"/>
  <c r="AE1697" i="2"/>
  <c r="Y1708" i="2"/>
  <c r="Z1708" i="2" s="1"/>
  <c r="X1733" i="2"/>
  <c r="Y1733" i="2" s="1"/>
  <c r="Z1733" i="2" s="1"/>
  <c r="AE1742" i="2"/>
  <c r="AE1743" i="2"/>
  <c r="X1749" i="2"/>
  <c r="Y1749" i="2" s="1"/>
  <c r="Z1749" i="2" s="1"/>
  <c r="X1763" i="2"/>
  <c r="AE1769" i="2"/>
  <c r="AE1782" i="2"/>
  <c r="Y1790" i="2"/>
  <c r="X1791" i="2"/>
  <c r="Y1791" i="2" s="1"/>
  <c r="Z1791" i="2" s="1"/>
  <c r="X1801" i="2"/>
  <c r="Y1801" i="2" s="1"/>
  <c r="Z1801" i="2" s="1"/>
  <c r="AD1559" i="2"/>
  <c r="AD1577" i="2"/>
  <c r="AD1589" i="2"/>
  <c r="AD1600" i="2"/>
  <c r="AD1630" i="2"/>
  <c r="AD1648" i="2"/>
  <c r="AD1665" i="2"/>
  <c r="AD1677" i="2"/>
  <c r="AE1713" i="2"/>
  <c r="AD1725" i="2"/>
  <c r="AD1743" i="2"/>
  <c r="AD1755" i="2"/>
  <c r="AE1781" i="2"/>
  <c r="AD1793" i="2"/>
  <c r="V1569" i="2"/>
  <c r="Z1584" i="2"/>
  <c r="V1601" i="2"/>
  <c r="AE1614" i="2"/>
  <c r="AE1620" i="2"/>
  <c r="V1626" i="2"/>
  <c r="V1640" i="2"/>
  <c r="V1642" i="2"/>
  <c r="W1670" i="2"/>
  <c r="V1684" i="2"/>
  <c r="AE1698" i="2"/>
  <c r="V1701" i="2"/>
  <c r="W1718" i="2"/>
  <c r="V1730" i="2"/>
  <c r="V1731" i="2"/>
  <c r="AE1738" i="2"/>
  <c r="V1745" i="2"/>
  <c r="V1747" i="2"/>
  <c r="V1757" i="2"/>
  <c r="AE1765" i="2"/>
  <c r="V1774" i="2"/>
  <c r="V1775" i="2"/>
  <c r="AD1593" i="2"/>
  <c r="AE1634" i="2"/>
  <c r="AD1672" i="2"/>
  <c r="V1697" i="2"/>
  <c r="V1715" i="2"/>
  <c r="V1741" i="2"/>
  <c r="W1746" i="2"/>
  <c r="V1759" i="2"/>
  <c r="V1771" i="2"/>
  <c r="AD1779" i="2"/>
  <c r="V1785" i="2"/>
  <c r="AD1789" i="2"/>
  <c r="V1795" i="2"/>
  <c r="AD1485" i="2"/>
  <c r="AD1504" i="2"/>
  <c r="AD1519" i="2"/>
  <c r="AD1525" i="2"/>
  <c r="AD1536" i="2"/>
  <c r="AD1544" i="2"/>
  <c r="AD1556" i="2"/>
  <c r="AD1563" i="2"/>
  <c r="AD1576" i="2"/>
  <c r="AD1588" i="2"/>
  <c r="AD1599" i="2"/>
  <c r="AD1604" i="2"/>
  <c r="X1606" i="2"/>
  <c r="W1616" i="2"/>
  <c r="W1624" i="2"/>
  <c r="AD1634" i="2"/>
  <c r="AD1635" i="2"/>
  <c r="AD1644" i="2"/>
  <c r="V1653" i="2"/>
  <c r="V1680" i="2"/>
  <c r="V1682" i="2"/>
  <c r="Z1684" i="2"/>
  <c r="V1687" i="2"/>
  <c r="W1696" i="2"/>
  <c r="W1697" i="2"/>
  <c r="AE1708" i="2"/>
  <c r="W1715" i="2"/>
  <c r="AD1720" i="2"/>
  <c r="X1727" i="2"/>
  <c r="W1741" i="2"/>
  <c r="V1742" i="2"/>
  <c r="Y1746" i="2"/>
  <c r="Z1746" i="2" s="1"/>
  <c r="Y1758" i="2"/>
  <c r="Z1758" i="2" s="1"/>
  <c r="W1759" i="2"/>
  <c r="AD1763" i="2"/>
  <c r="V1769" i="2"/>
  <c r="W1771" i="2"/>
  <c r="V1781" i="2"/>
  <c r="W1785" i="2"/>
  <c r="W1795" i="2"/>
  <c r="AD1801" i="2"/>
  <c r="Y1606" i="2"/>
  <c r="Z1606" i="2" s="1"/>
  <c r="AD1609" i="2"/>
  <c r="AD1610" i="2"/>
  <c r="AD1611" i="2"/>
  <c r="X1616" i="2"/>
  <c r="Y1616" i="2" s="1"/>
  <c r="Z1616" i="2" s="1"/>
  <c r="AD1619" i="2"/>
  <c r="X1624" i="2"/>
  <c r="Y1624" i="2" s="1"/>
  <c r="Z1624" i="2" s="1"/>
  <c r="W1653" i="2"/>
  <c r="AD1660" i="2"/>
  <c r="AD1663" i="2"/>
  <c r="W1680" i="2"/>
  <c r="AD1692" i="2"/>
  <c r="Y1696" i="2"/>
  <c r="Z1696" i="2" s="1"/>
  <c r="X1697" i="2"/>
  <c r="AD1735" i="2"/>
  <c r="W1742" i="2"/>
  <c r="X1759" i="2"/>
  <c r="W1769" i="2"/>
  <c r="W1781" i="2"/>
  <c r="X1795" i="2"/>
  <c r="Y1795" i="2" s="1"/>
  <c r="Z1795" i="2" s="1"/>
  <c r="AD1587" i="2"/>
  <c r="AD1592" i="2"/>
  <c r="AD1597" i="2"/>
  <c r="AD1603" i="2"/>
  <c r="X1620" i="2"/>
  <c r="Y1620" i="2" s="1"/>
  <c r="Z1620" i="2" s="1"/>
  <c r="AE1626" i="2"/>
  <c r="AD1632" i="2"/>
  <c r="AD1704" i="2"/>
  <c r="AE1731" i="2"/>
  <c r="Z1742" i="2"/>
  <c r="AE1774" i="2"/>
  <c r="Y1781" i="2"/>
  <c r="Z1781" i="2" s="1"/>
  <c r="AD1797" i="2"/>
  <c r="AD1799" i="2"/>
  <c r="AD1223" i="2"/>
  <c r="AD1224" i="2"/>
  <c r="AD878" i="2"/>
  <c r="AD20" i="2"/>
  <c r="AD24" i="2"/>
  <c r="AD32" i="2"/>
  <c r="AD809" i="2"/>
  <c r="AD924" i="2"/>
  <c r="C3" i="4"/>
  <c r="AD1259" i="2"/>
  <c r="AD1299" i="2"/>
  <c r="AD158" i="2"/>
  <c r="AD741" i="2"/>
  <c r="AD1156" i="2"/>
  <c r="AD1241" i="2"/>
  <c r="AD282" i="2"/>
  <c r="AD200" i="2"/>
  <c r="AD270" i="2"/>
  <c r="C9" i="4"/>
  <c r="AD414" i="2"/>
  <c r="AD1661" i="2"/>
  <c r="AD1729" i="2"/>
  <c r="C8" i="4"/>
  <c r="AD326" i="2"/>
  <c r="AD816" i="2"/>
  <c r="AD840" i="2"/>
  <c r="AD846" i="2"/>
  <c r="AD1757" i="2"/>
  <c r="C7" i="4"/>
  <c r="C6" i="4"/>
  <c r="C5" i="4"/>
  <c r="C4" i="4"/>
  <c r="AD190" i="2"/>
  <c r="AD417" i="2"/>
  <c r="AD150" i="2"/>
  <c r="AD1469" i="2"/>
  <c r="AD1482" i="2"/>
  <c r="AD1501" i="2"/>
  <c r="AD1741" i="2"/>
  <c r="AD1760" i="2"/>
  <c r="AD1786" i="2"/>
  <c r="AD330" i="2"/>
  <c r="AD1321" i="2"/>
  <c r="AD1432" i="2"/>
  <c r="AD100" i="2"/>
  <c r="AD671" i="2"/>
  <c r="AD1307" i="2"/>
  <c r="AD944" i="2"/>
  <c r="AD235" i="2"/>
  <c r="AD362" i="2"/>
  <c r="AD1442" i="2"/>
  <c r="AD182" i="2"/>
  <c r="B8" i="4"/>
  <c r="AD1180" i="2"/>
  <c r="AD1200" i="2"/>
  <c r="AD1211" i="2"/>
  <c r="AD1787" i="2"/>
  <c r="AD1788" i="2"/>
  <c r="C2" i="4"/>
  <c r="AD749" i="2"/>
  <c r="AD1136" i="2"/>
  <c r="AD1207" i="2"/>
  <c r="AD1614" i="2"/>
  <c r="AD134" i="2"/>
  <c r="AD166" i="2"/>
  <c r="AD458" i="2"/>
  <c r="AD705" i="2"/>
  <c r="AD952" i="2"/>
  <c r="AD1124" i="2"/>
  <c r="AD1380" i="2"/>
  <c r="AD1428" i="2"/>
  <c r="AD1514" i="2"/>
  <c r="AD1562" i="2"/>
  <c r="AD1612" i="2"/>
  <c r="AD1092" i="2"/>
  <c r="AD1451" i="2"/>
  <c r="AD1777" i="2"/>
  <c r="AD76" i="2"/>
  <c r="B9" i="4"/>
  <c r="AD1528" i="2"/>
  <c r="B2" i="4"/>
  <c r="AD84" i="2"/>
  <c r="AD210" i="2"/>
  <c r="AD437" i="2"/>
  <c r="AD1320" i="2"/>
  <c r="B7" i="4"/>
  <c r="AD1229" i="2"/>
  <c r="AD1279" i="2"/>
  <c r="AD1295" i="2"/>
  <c r="AD1296" i="2"/>
  <c r="AD1313" i="2"/>
  <c r="B6" i="4"/>
  <c r="AD1688" i="2"/>
  <c r="B5" i="4"/>
  <c r="AD1053" i="2"/>
  <c r="AD1268" i="2"/>
  <c r="AD1616" i="2"/>
  <c r="AD1769" i="2"/>
  <c r="AD1781" i="2"/>
  <c r="B4" i="4"/>
  <c r="AD52" i="2"/>
  <c r="AD154" i="2"/>
  <c r="AD1392" i="2"/>
  <c r="AD1404" i="2"/>
  <c r="AD1605" i="2"/>
  <c r="AD1650" i="2"/>
  <c r="AD1756" i="2"/>
  <c r="B3" i="4"/>
  <c r="AD218" i="2"/>
  <c r="AD223" i="2"/>
  <c r="AD230" i="2"/>
  <c r="AD1037" i="2"/>
  <c r="AD1265" i="2"/>
  <c r="AD1283" i="2"/>
  <c r="AD1284" i="2"/>
  <c r="AD1332" i="2"/>
  <c r="AD1356" i="2"/>
  <c r="AD1570" i="2"/>
  <c r="AD1646" i="2"/>
  <c r="AD1726" i="2"/>
  <c r="AD2" i="2"/>
  <c r="AD60" i="2"/>
  <c r="AD1140" i="2"/>
  <c r="AD1215" i="2"/>
  <c r="AD1225" i="2"/>
  <c r="AD1408" i="2"/>
  <c r="AD1618" i="2"/>
  <c r="AD1628" i="2"/>
  <c r="AD1674" i="2"/>
  <c r="AD1676" i="2"/>
  <c r="AD1693" i="2"/>
  <c r="AD1695" i="2"/>
  <c r="AD294" i="2"/>
  <c r="AD390" i="2"/>
  <c r="AD405" i="2"/>
  <c r="AD757" i="2"/>
  <c r="AD896" i="2"/>
  <c r="AD1088" i="2"/>
  <c r="AD1192" i="2"/>
  <c r="AD1255" i="2"/>
  <c r="AD1256" i="2"/>
  <c r="AD1275" i="2"/>
  <c r="AD1276" i="2"/>
  <c r="AD1287" i="2"/>
  <c r="AD1288" i="2"/>
  <c r="AD1293" i="2"/>
  <c r="AD1311" i="2"/>
  <c r="AD1312" i="2"/>
  <c r="AD1691" i="2"/>
  <c r="AD196" i="2"/>
  <c r="AD434" i="2"/>
  <c r="AD729" i="2"/>
  <c r="AD1089" i="2"/>
  <c r="AD1220" i="2"/>
  <c r="AD1264" i="2"/>
  <c r="AD1304" i="2"/>
  <c r="AD1447" i="2"/>
  <c r="AD1591" i="2"/>
  <c r="AD96" i="2"/>
  <c r="AD446" i="2"/>
  <c r="AD717" i="2"/>
  <c r="AD769" i="2"/>
  <c r="AD797" i="2"/>
  <c r="AD888" i="2"/>
  <c r="AD1041" i="2"/>
  <c r="AD1196" i="2"/>
  <c r="AD1208" i="2"/>
  <c r="AD1239" i="2"/>
  <c r="AD1252" i="2"/>
  <c r="AD1301" i="2"/>
  <c r="AD1319" i="2"/>
  <c r="AD1474" i="2"/>
  <c r="AD1637" i="2"/>
  <c r="AD1651" i="2"/>
  <c r="AD1683" i="2"/>
  <c r="AD44" i="2"/>
  <c r="AD120" i="2"/>
  <c r="AD143" i="2"/>
  <c r="AD194" i="2"/>
  <c r="AD213" i="2"/>
  <c r="AD290" i="2"/>
  <c r="AD338" i="2"/>
  <c r="AD358" i="2"/>
  <c r="AD386" i="2"/>
  <c r="AD398" i="2"/>
  <c r="AD422" i="2"/>
  <c r="AD725" i="2"/>
  <c r="AD789" i="2"/>
  <c r="AD805" i="2"/>
  <c r="AD813" i="2"/>
  <c r="AD836" i="2"/>
  <c r="AD856" i="2"/>
  <c r="AD1112" i="2"/>
  <c r="AD1132" i="2"/>
  <c r="AD1160" i="2"/>
  <c r="AD1184" i="2"/>
  <c r="AD1240" i="2"/>
  <c r="AD1245" i="2"/>
  <c r="AD1260" i="2"/>
  <c r="AD1308" i="2"/>
  <c r="AD1396" i="2"/>
  <c r="AD1443" i="2"/>
  <c r="AD1546" i="2"/>
  <c r="AD1586" i="2"/>
  <c r="AD1613" i="2"/>
  <c r="AD1727" i="2"/>
  <c r="AD1773" i="2"/>
  <c r="AD8" i="2"/>
  <c r="AD12" i="2"/>
  <c r="AD126" i="2"/>
  <c r="AD135" i="2"/>
  <c r="AD198" i="2"/>
  <c r="AD174" i="2"/>
  <c r="AD314" i="2"/>
  <c r="AD908" i="2"/>
  <c r="AD920" i="2"/>
  <c r="AD932" i="2"/>
  <c r="AD266" i="2"/>
  <c r="AD459" i="2"/>
  <c r="AD872" i="2"/>
  <c r="AD880" i="2"/>
  <c r="AD1204" i="2"/>
  <c r="AD1300" i="2"/>
  <c r="AD1305" i="2"/>
  <c r="AD1388" i="2"/>
  <c r="AD1465" i="2"/>
  <c r="AD1550" i="2"/>
  <c r="AD1558" i="2"/>
  <c r="AD1645" i="2"/>
  <c r="AD1714" i="2"/>
  <c r="AD1772" i="2"/>
  <c r="AD68" i="2"/>
  <c r="AD88" i="2"/>
  <c r="AD229" i="2"/>
  <c r="AD334" i="2"/>
  <c r="AD394" i="2"/>
  <c r="AD475" i="2"/>
  <c r="AD884" i="2"/>
  <c r="AD960" i="2"/>
  <c r="AD1049" i="2"/>
  <c r="AD1065" i="2"/>
  <c r="AD1212" i="2"/>
  <c r="AD1217" i="2"/>
  <c r="AD1344" i="2"/>
  <c r="AD1517" i="2"/>
  <c r="AD1669" i="2"/>
  <c r="AD1671" i="2"/>
  <c r="AD1710" i="2"/>
  <c r="AD1712" i="2"/>
  <c r="AD1724" i="2"/>
  <c r="AD1794" i="2"/>
  <c r="AD123" i="2"/>
  <c r="AD426" i="2"/>
  <c r="AD470" i="2"/>
  <c r="AD765" i="2"/>
  <c r="AD852" i="2"/>
  <c r="AD904" i="2"/>
  <c r="AD916" i="2"/>
  <c r="AD928" i="2"/>
  <c r="AD1085" i="2"/>
  <c r="AD1281" i="2"/>
  <c r="AD1291" i="2"/>
  <c r="AD1292" i="2"/>
  <c r="AD1315" i="2"/>
  <c r="AD1316" i="2"/>
  <c r="AD1348" i="2"/>
  <c r="AD1372" i="2"/>
  <c r="AD1489" i="2"/>
  <c r="AD1554" i="2"/>
  <c r="AD1571" i="2"/>
  <c r="AD1582" i="2"/>
  <c r="AD1638" i="2"/>
  <c r="AD1736" i="2"/>
  <c r="AD286" i="2"/>
  <c r="AD310" i="2"/>
  <c r="AD354" i="2"/>
  <c r="AD413" i="2"/>
  <c r="AD868" i="2"/>
  <c r="AD1045" i="2"/>
  <c r="AD1073" i="2"/>
  <c r="AD1176" i="2"/>
  <c r="AD1251" i="2"/>
  <c r="AD1261" i="2"/>
  <c r="AD1267" i="2"/>
  <c r="AD1522" i="2"/>
  <c r="AD1653" i="2"/>
  <c r="AD1667" i="2"/>
  <c r="AD1679" i="2"/>
  <c r="AD1681" i="2"/>
  <c r="AD1685" i="2"/>
  <c r="AD1717" i="2"/>
  <c r="AD40" i="2"/>
  <c r="AD56" i="2"/>
  <c r="AD192" i="2"/>
  <c r="AD206" i="2"/>
  <c r="AD225" i="2"/>
  <c r="AD318" i="2"/>
  <c r="AD366" i="2"/>
  <c r="AD429" i="2"/>
  <c r="AD112" i="2"/>
  <c r="AD122" i="2"/>
  <c r="AD138" i="2"/>
  <c r="AD142" i="2"/>
  <c r="AD204" i="2"/>
  <c r="AD251" i="2"/>
  <c r="AD267" i="2"/>
  <c r="AD274" i="2"/>
  <c r="AD4" i="2"/>
  <c r="AD28" i="2"/>
  <c r="AD64" i="2"/>
  <c r="AD80" i="2"/>
  <c r="AD92" i="2"/>
  <c r="AD104" i="2"/>
  <c r="AD250" i="2"/>
  <c r="AD302" i="2"/>
  <c r="AD350" i="2"/>
  <c r="AD378" i="2"/>
  <c r="AD48" i="2"/>
  <c r="AD146" i="2"/>
  <c r="AD170" i="2"/>
  <c r="AD186" i="2"/>
  <c r="AD208" i="2"/>
  <c r="AD322" i="2"/>
  <c r="AD342" i="2"/>
  <c r="AD370" i="2"/>
  <c r="AD131" i="2"/>
  <c r="AD36" i="2"/>
  <c r="AD72" i="2"/>
  <c r="AD108" i="2"/>
  <c r="AD202" i="2"/>
  <c r="AD215" i="2"/>
  <c r="AD262" i="2"/>
  <c r="AD278" i="2"/>
  <c r="AD298" i="2"/>
  <c r="AD306" i="2"/>
  <c r="AD374" i="2"/>
  <c r="AD16" i="2"/>
  <c r="AD116" i="2"/>
  <c r="AD124" i="2"/>
  <c r="AD162" i="2"/>
  <c r="AD178" i="2"/>
  <c r="AD211" i="2"/>
  <c r="AD243" i="2"/>
  <c r="AD254" i="2"/>
  <c r="AD346" i="2"/>
  <c r="AD382" i="2"/>
  <c r="AD402" i="2"/>
  <c r="AD409" i="2"/>
  <c r="AD425" i="2"/>
  <c r="AD882" i="2"/>
  <c r="AD892" i="2"/>
  <c r="AD1061" i="2"/>
  <c r="AD1076" i="2"/>
  <c r="AD1077" i="2"/>
  <c r="AD1148" i="2"/>
  <c r="AD1199" i="2"/>
  <c r="AD1271" i="2"/>
  <c r="AD1272" i="2"/>
  <c r="AD1280" i="2"/>
  <c r="AD1578" i="2"/>
  <c r="AD1666" i="2"/>
  <c r="AD1686" i="2"/>
  <c r="AD1707" i="2"/>
  <c r="AD1722" i="2"/>
  <c r="AD1733" i="2"/>
  <c r="AD1749" i="2"/>
  <c r="AD1768" i="2"/>
  <c r="AD1783" i="2"/>
  <c r="AD677" i="2"/>
  <c r="AD964" i="2"/>
  <c r="AD1164" i="2"/>
  <c r="AD1473" i="2"/>
  <c r="AD1513" i="2"/>
  <c r="AD1764" i="2"/>
  <c r="AD1782" i="2"/>
  <c r="AD1795" i="2"/>
  <c r="AD1796" i="2"/>
  <c r="AD1798" i="2"/>
  <c r="AD438" i="2"/>
  <c r="AD689" i="2"/>
  <c r="AD737" i="2"/>
  <c r="AD848" i="2"/>
  <c r="AD864" i="2"/>
  <c r="AD876" i="2"/>
  <c r="AD912" i="2"/>
  <c r="AD940" i="2"/>
  <c r="AD956" i="2"/>
  <c r="AD1057" i="2"/>
  <c r="AD1108" i="2"/>
  <c r="AD1221" i="2"/>
  <c r="AD1247" i="2"/>
  <c r="AD1248" i="2"/>
  <c r="AD1263" i="2"/>
  <c r="AD1364" i="2"/>
  <c r="AD1436" i="2"/>
  <c r="AD1493" i="2"/>
  <c r="AD1622" i="2"/>
  <c r="AD1642" i="2"/>
  <c r="AD1702" i="2"/>
  <c r="AD1719" i="2"/>
  <c r="AD1752" i="2"/>
  <c r="AD1761" i="2"/>
  <c r="AD471" i="2"/>
  <c r="AD701" i="2"/>
  <c r="AD854" i="2"/>
  <c r="AD948" i="2"/>
  <c r="AD1033" i="2"/>
  <c r="AD1144" i="2"/>
  <c r="AD1505" i="2"/>
  <c r="AD1547" i="2"/>
  <c r="AD1555" i="2"/>
  <c r="AD1566" i="2"/>
  <c r="AD1620" i="2"/>
  <c r="AD1662" i="2"/>
  <c r="AD1664" i="2"/>
  <c r="AD1678" i="2"/>
  <c r="AD410" i="2"/>
  <c r="AD421" i="2"/>
  <c r="AD433" i="2"/>
  <c r="AD451" i="2"/>
  <c r="AD463" i="2"/>
  <c r="AD667" i="2"/>
  <c r="AD753" i="2"/>
  <c r="AD777" i="2"/>
  <c r="AD785" i="2"/>
  <c r="AD860" i="2"/>
  <c r="AD1416" i="2"/>
  <c r="AD1424" i="2"/>
  <c r="AD1523" i="2"/>
  <c r="AD1575" i="2"/>
  <c r="AD1598" i="2"/>
  <c r="AD1641" i="2"/>
  <c r="AD1656" i="2"/>
  <c r="AD1658" i="2"/>
  <c r="AD1698" i="2"/>
  <c r="AD1700" i="2"/>
  <c r="AD1715" i="2"/>
  <c r="AD1730" i="2"/>
  <c r="AD1732" i="2"/>
  <c r="AD1745" i="2"/>
  <c r="AD1748" i="2"/>
  <c r="AD445" i="2"/>
  <c r="AD793" i="2"/>
  <c r="AD820" i="2"/>
  <c r="AD838" i="2"/>
  <c r="AD858" i="2"/>
  <c r="AD1084" i="2"/>
  <c r="AD1590" i="2"/>
  <c r="AD1654" i="2"/>
  <c r="AD1655" i="2"/>
  <c r="AD1790" i="2"/>
  <c r="AD441" i="2"/>
  <c r="AD1470" i="2"/>
  <c r="AD1481" i="2"/>
  <c r="AD1490" i="2"/>
  <c r="AD1497" i="2"/>
  <c r="AD1535" i="2"/>
  <c r="AD1551" i="2"/>
  <c r="AD1574" i="2"/>
  <c r="AD1595" i="2"/>
  <c r="AD1602" i="2"/>
  <c r="AD1608" i="2"/>
  <c r="AD1744" i="2"/>
  <c r="AD1776" i="2"/>
  <c r="AD418" i="2"/>
  <c r="AD430" i="2"/>
  <c r="AD442" i="2"/>
  <c r="AD663" i="2"/>
  <c r="AD721" i="2"/>
  <c r="AD1069" i="2"/>
  <c r="AD1080" i="2"/>
  <c r="AD1104" i="2"/>
  <c r="AD1152" i="2"/>
  <c r="AD1172" i="2"/>
  <c r="AD1227" i="2"/>
  <c r="AD1368" i="2"/>
  <c r="AD1376" i="2"/>
  <c r="AD1384" i="2"/>
  <c r="AD1412" i="2"/>
  <c r="AD1453" i="2"/>
  <c r="AD1462" i="2"/>
  <c r="AD1509" i="2"/>
  <c r="AD1542" i="2"/>
  <c r="AD406" i="2"/>
  <c r="AD685" i="2"/>
  <c r="AD733" i="2"/>
  <c r="AD745" i="2"/>
  <c r="AD761" i="2"/>
  <c r="AD773" i="2"/>
  <c r="AD781" i="2"/>
  <c r="AD801" i="2"/>
  <c r="AD818" i="2"/>
  <c r="AD832" i="2"/>
  <c r="AD844" i="2"/>
  <c r="AD900" i="2"/>
  <c r="AD936" i="2"/>
  <c r="AD1081" i="2"/>
  <c r="AD1120" i="2"/>
  <c r="AD1128" i="2"/>
  <c r="AD1168" i="2"/>
  <c r="AD1188" i="2"/>
  <c r="AD1203" i="2"/>
  <c r="AD1243" i="2"/>
  <c r="AD1273" i="2"/>
  <c r="AD1303" i="2"/>
  <c r="AD1323" i="2"/>
  <c r="AD1360" i="2"/>
  <c r="AD1400" i="2"/>
  <c r="AD1420" i="2"/>
  <c r="AD1502" i="2"/>
  <c r="AD1527" i="2"/>
  <c r="AD1534" i="2"/>
  <c r="AD1579" i="2"/>
  <c r="AD1594" i="2"/>
  <c r="AD1649" i="2"/>
  <c r="AD1690" i="2"/>
  <c r="AD1703" i="2"/>
  <c r="AD1705" i="2"/>
  <c r="AD1737" i="2"/>
  <c r="AD1740" i="2"/>
  <c r="AD1753" i="2"/>
  <c r="AD1765" i="2"/>
  <c r="X439" i="2"/>
  <c r="Y439" i="2" s="1"/>
  <c r="Z439" i="2" s="1"/>
  <c r="W439" i="2"/>
  <c r="V439" i="2"/>
  <c r="AE439" i="2"/>
  <c r="V6" i="2"/>
  <c r="V26" i="2"/>
  <c r="V42" i="2"/>
  <c r="V46" i="2"/>
  <c r="V66" i="2"/>
  <c r="V90" i="2"/>
  <c r="I3" i="3"/>
  <c r="F3" i="3"/>
  <c r="E3" i="3"/>
  <c r="I5" i="3"/>
  <c r="F5" i="3"/>
  <c r="E5" i="3"/>
  <c r="W5" i="2"/>
  <c r="Z8" i="2"/>
  <c r="W9" i="2"/>
  <c r="W13" i="2"/>
  <c r="W17" i="2"/>
  <c r="Z20" i="2"/>
  <c r="W21" i="2"/>
  <c r="W25" i="2"/>
  <c r="W29" i="2"/>
  <c r="W33" i="2"/>
  <c r="Z36" i="2"/>
  <c r="W37" i="2"/>
  <c r="W41" i="2"/>
  <c r="W45" i="2"/>
  <c r="Z48" i="2"/>
  <c r="W49" i="2"/>
  <c r="W53" i="2"/>
  <c r="Z56" i="2"/>
  <c r="W57" i="2"/>
  <c r="W61" i="2"/>
  <c r="W65" i="2"/>
  <c r="W69" i="2"/>
  <c r="W73" i="2"/>
  <c r="W77" i="2"/>
  <c r="W81" i="2"/>
  <c r="Z84" i="2"/>
  <c r="W85" i="2"/>
  <c r="W89" i="2"/>
  <c r="Z92" i="2"/>
  <c r="W93" i="2"/>
  <c r="W97" i="2"/>
  <c r="W101" i="2"/>
  <c r="W105" i="2"/>
  <c r="W109" i="2"/>
  <c r="W113" i="2"/>
  <c r="W117" i="2"/>
  <c r="X121" i="2"/>
  <c r="X136" i="2"/>
  <c r="Y136" i="2" s="1"/>
  <c r="Z136" i="2" s="1"/>
  <c r="W136" i="2"/>
  <c r="V136" i="2"/>
  <c r="AE136" i="2"/>
  <c r="X144" i="2"/>
  <c r="W144" i="2"/>
  <c r="V144" i="2"/>
  <c r="AE144" i="2"/>
  <c r="Y144" i="2"/>
  <c r="Z144" i="2" s="1"/>
  <c r="X162" i="2"/>
  <c r="Y162" i="2" s="1"/>
  <c r="Z162" i="2" s="1"/>
  <c r="W162" i="2"/>
  <c r="V162" i="2"/>
  <c r="AE162" i="2"/>
  <c r="AE334" i="2"/>
  <c r="W334" i="2"/>
  <c r="X334" i="2"/>
  <c r="Y334" i="2" s="1"/>
  <c r="Z334" i="2" s="1"/>
  <c r="X202" i="2"/>
  <c r="Y202" i="2" s="1"/>
  <c r="Z202" i="2" s="1"/>
  <c r="W202" i="2"/>
  <c r="V202" i="2"/>
  <c r="AE202" i="2"/>
  <c r="V70" i="2"/>
  <c r="V74" i="2"/>
  <c r="V78" i="2"/>
  <c r="V106" i="2"/>
  <c r="W2" i="2"/>
  <c r="Z5" i="2"/>
  <c r="W6" i="2"/>
  <c r="Z9" i="2"/>
  <c r="W10" i="2"/>
  <c r="Z13" i="2"/>
  <c r="W14" i="2"/>
  <c r="Z17" i="2"/>
  <c r="W18" i="2"/>
  <c r="W22" i="2"/>
  <c r="Z25" i="2"/>
  <c r="W26" i="2"/>
  <c r="Z29" i="2"/>
  <c r="W30" i="2"/>
  <c r="W34" i="2"/>
  <c r="Z37" i="2"/>
  <c r="W38" i="2"/>
  <c r="W42" i="2"/>
  <c r="Z45" i="2"/>
  <c r="W46" i="2"/>
  <c r="Z49" i="2"/>
  <c r="W50" i="2"/>
  <c r="Z53" i="2"/>
  <c r="W54" i="2"/>
  <c r="Z57" i="2"/>
  <c r="W58" i="2"/>
  <c r="W62" i="2"/>
  <c r="Z65" i="2"/>
  <c r="W66" i="2"/>
  <c r="Z69" i="2"/>
  <c r="W70" i="2"/>
  <c r="W74" i="2"/>
  <c r="W78" i="2"/>
  <c r="W82" i="2"/>
  <c r="W86" i="2"/>
  <c r="W90" i="2"/>
  <c r="Z93" i="2"/>
  <c r="W94" i="2"/>
  <c r="Z97" i="2"/>
  <c r="W98" i="2"/>
  <c r="Z101" i="2"/>
  <c r="W102" i="2"/>
  <c r="W106" i="2"/>
  <c r="Z109" i="2"/>
  <c r="W110" i="2"/>
  <c r="Z113" i="2"/>
  <c r="W114" i="2"/>
  <c r="W118" i="2"/>
  <c r="V123" i="2"/>
  <c r="X150" i="2"/>
  <c r="Y150" i="2" s="1"/>
  <c r="Z150" i="2" s="1"/>
  <c r="W150" i="2"/>
  <c r="V150" i="2"/>
  <c r="AE150" i="2"/>
  <c r="X186" i="2"/>
  <c r="Y186" i="2" s="1"/>
  <c r="Z186" i="2" s="1"/>
  <c r="W186" i="2"/>
  <c r="V186" i="2"/>
  <c r="AE186" i="2"/>
  <c r="W215" i="2"/>
  <c r="AE215" i="2"/>
  <c r="X215" i="2"/>
  <c r="Y215" i="2" s="1"/>
  <c r="Z215" i="2" s="1"/>
  <c r="V215" i="2"/>
  <c r="Y220" i="2"/>
  <c r="Z220" i="2" s="1"/>
  <c r="X220" i="2"/>
  <c r="W220" i="2"/>
  <c r="V220" i="2"/>
  <c r="AE220" i="2"/>
  <c r="X288" i="2"/>
  <c r="Y288" i="2" s="1"/>
  <c r="Z288" i="2" s="1"/>
  <c r="W288" i="2"/>
  <c r="V288" i="2"/>
  <c r="AE288" i="2"/>
  <c r="X411" i="2"/>
  <c r="Y411" i="2" s="1"/>
  <c r="Z411" i="2" s="1"/>
  <c r="W411" i="2"/>
  <c r="V411" i="2"/>
  <c r="AE411" i="2"/>
  <c r="V10" i="2"/>
  <c r="V14" i="2"/>
  <c r="V86" i="2"/>
  <c r="V94" i="2"/>
  <c r="V114" i="2"/>
  <c r="Y135" i="2"/>
  <c r="Z135" i="2" s="1"/>
  <c r="W135" i="2"/>
  <c r="V135" i="2"/>
  <c r="AE135" i="2"/>
  <c r="C4" i="1"/>
  <c r="X2" i="2"/>
  <c r="I8" i="3"/>
  <c r="F8" i="3"/>
  <c r="E8" i="3"/>
  <c r="I2" i="3"/>
  <c r="F2" i="3"/>
  <c r="E2" i="3"/>
  <c r="X10" i="2"/>
  <c r="Y10" i="2" s="1"/>
  <c r="Z10" i="2" s="1"/>
  <c r="X14" i="2"/>
  <c r="Y14" i="2" s="1"/>
  <c r="Z14" i="2" s="1"/>
  <c r="X18" i="2"/>
  <c r="X22" i="2"/>
  <c r="Y22" i="2" s="1"/>
  <c r="Z22" i="2" s="1"/>
  <c r="X26" i="2"/>
  <c r="X30" i="2"/>
  <c r="Y30" i="2" s="1"/>
  <c r="Z30" i="2" s="1"/>
  <c r="X34" i="2"/>
  <c r="Y34" i="2" s="1"/>
  <c r="Z34" i="2" s="1"/>
  <c r="X38" i="2"/>
  <c r="X42" i="2"/>
  <c r="Y42" i="2" s="1"/>
  <c r="Z42" i="2" s="1"/>
  <c r="X46" i="2"/>
  <c r="Y46" i="2" s="1"/>
  <c r="Z46" i="2" s="1"/>
  <c r="X50" i="2"/>
  <c r="Y50" i="2" s="1"/>
  <c r="Z50" i="2" s="1"/>
  <c r="X54" i="2"/>
  <c r="Y54" i="2" s="1"/>
  <c r="Z54" i="2" s="1"/>
  <c r="X58" i="2"/>
  <c r="Y58" i="2" s="1"/>
  <c r="Z58" i="2" s="1"/>
  <c r="X62" i="2"/>
  <c r="Y62" i="2" s="1"/>
  <c r="Z62" i="2" s="1"/>
  <c r="X66" i="2"/>
  <c r="X70" i="2"/>
  <c r="Y70" i="2" s="1"/>
  <c r="Z70" i="2" s="1"/>
  <c r="X74" i="2"/>
  <c r="Y74" i="2" s="1"/>
  <c r="Z74" i="2" s="1"/>
  <c r="X78" i="2"/>
  <c r="X82" i="2"/>
  <c r="X86" i="2"/>
  <c r="Y86" i="2" s="1"/>
  <c r="Z86" i="2" s="1"/>
  <c r="X90" i="2"/>
  <c r="Y90" i="2" s="1"/>
  <c r="Z90" i="2" s="1"/>
  <c r="X94" i="2"/>
  <c r="Y94" i="2" s="1"/>
  <c r="Z94" i="2" s="1"/>
  <c r="X98" i="2"/>
  <c r="Y98" i="2" s="1"/>
  <c r="Z98" i="2" s="1"/>
  <c r="X102" i="2"/>
  <c r="Y102" i="2" s="1"/>
  <c r="Z102" i="2" s="1"/>
  <c r="X106" i="2"/>
  <c r="X110" i="2"/>
  <c r="Y110" i="2" s="1"/>
  <c r="Z110" i="2" s="1"/>
  <c r="X114" i="2"/>
  <c r="Y114" i="2" s="1"/>
  <c r="Z114" i="2" s="1"/>
  <c r="X118" i="2"/>
  <c r="W123" i="2"/>
  <c r="W124" i="2"/>
  <c r="Y134" i="2"/>
  <c r="Z134" i="2" s="1"/>
  <c r="V134" i="2"/>
  <c r="AE134" i="2"/>
  <c r="Y142" i="2"/>
  <c r="Z142" i="2" s="1"/>
  <c r="V142" i="2"/>
  <c r="AE142" i="2"/>
  <c r="X206" i="2"/>
  <c r="Y206" i="2" s="1"/>
  <c r="Z206" i="2" s="1"/>
  <c r="W206" i="2"/>
  <c r="V206" i="2"/>
  <c r="AE206" i="2"/>
  <c r="W244" i="2"/>
  <c r="V244" i="2"/>
  <c r="AE244" i="2"/>
  <c r="X244" i="2"/>
  <c r="Y244" i="2" s="1"/>
  <c r="Z244" i="2" s="1"/>
  <c r="AE382" i="2"/>
  <c r="Y382" i="2"/>
  <c r="Z382" i="2" s="1"/>
  <c r="W382" i="2"/>
  <c r="X382" i="2"/>
  <c r="X949" i="2"/>
  <c r="Y949" i="2" s="1"/>
  <c r="Z949" i="2" s="1"/>
  <c r="W949" i="2"/>
  <c r="V949" i="2"/>
  <c r="AE949" i="2"/>
  <c r="V18" i="2"/>
  <c r="V22" i="2"/>
  <c r="V30" i="2"/>
  <c r="V50" i="2"/>
  <c r="V62" i="2"/>
  <c r="V98" i="2"/>
  <c r="V118" i="2"/>
  <c r="AE229" i="2"/>
  <c r="Y229" i="2"/>
  <c r="Z229" i="2" s="1"/>
  <c r="X229" i="2"/>
  <c r="W229" i="2"/>
  <c r="X615" i="2"/>
  <c r="Y615" i="2" s="1"/>
  <c r="Z615" i="2" s="1"/>
  <c r="W615" i="2"/>
  <c r="V615" i="2"/>
  <c r="AE615" i="2"/>
  <c r="X6" i="2"/>
  <c r="Y6" i="2" s="1"/>
  <c r="Z6" i="2" s="1"/>
  <c r="Y2" i="2"/>
  <c r="Z2" i="2" s="1"/>
  <c r="V3" i="2"/>
  <c r="V7" i="2"/>
  <c r="AE8" i="2"/>
  <c r="V11" i="2"/>
  <c r="V15" i="2"/>
  <c r="AE16" i="2"/>
  <c r="Y18" i="2"/>
  <c r="V19" i="2"/>
  <c r="AE20" i="2"/>
  <c r="V23" i="2"/>
  <c r="AE24" i="2"/>
  <c r="Y26" i="2"/>
  <c r="Z26" i="2" s="1"/>
  <c r="V27" i="2"/>
  <c r="AE28" i="2"/>
  <c r="V31" i="2"/>
  <c r="AE32" i="2"/>
  <c r="V35" i="2"/>
  <c r="AE36" i="2"/>
  <c r="Y38" i="2"/>
  <c r="Z38" i="2" s="1"/>
  <c r="V39" i="2"/>
  <c r="AE40" i="2"/>
  <c r="V43" i="2"/>
  <c r="AE44" i="2"/>
  <c r="V47" i="2"/>
  <c r="AE48" i="2"/>
  <c r="V51" i="2"/>
  <c r="AE52" i="2"/>
  <c r="V55" i="2"/>
  <c r="AE56" i="2"/>
  <c r="V59" i="2"/>
  <c r="AE60" i="2"/>
  <c r="V63" i="2"/>
  <c r="AE64" i="2"/>
  <c r="Y66" i="2"/>
  <c r="Z66" i="2" s="1"/>
  <c r="V67" i="2"/>
  <c r="AE68" i="2"/>
  <c r="V71" i="2"/>
  <c r="AE72" i="2"/>
  <c r="V75" i="2"/>
  <c r="AE76" i="2"/>
  <c r="Y78" i="2"/>
  <c r="Z78" i="2" s="1"/>
  <c r="V79" i="2"/>
  <c r="AE80" i="2"/>
  <c r="Y82" i="2"/>
  <c r="Z82" i="2" s="1"/>
  <c r="V83" i="2"/>
  <c r="AE84" i="2"/>
  <c r="AE88" i="2"/>
  <c r="AE92" i="2"/>
  <c r="AE96" i="2"/>
  <c r="AE100" i="2"/>
  <c r="AE104" i="2"/>
  <c r="Y106" i="2"/>
  <c r="AE108" i="2"/>
  <c r="AE112" i="2"/>
  <c r="Y118" i="2"/>
  <c r="Z118" i="2" s="1"/>
  <c r="X123" i="2"/>
  <c r="Y123" i="2" s="1"/>
  <c r="Z123" i="2" s="1"/>
  <c r="W132" i="2"/>
  <c r="V132" i="2"/>
  <c r="AE132" i="2"/>
  <c r="Y132" i="2"/>
  <c r="Z132" i="2" s="1"/>
  <c r="Y154" i="2"/>
  <c r="Z154" i="2" s="1"/>
  <c r="X154" i="2"/>
  <c r="W154" i="2"/>
  <c r="V154" i="2"/>
  <c r="AE154" i="2"/>
  <c r="X166" i="2"/>
  <c r="Y166" i="2" s="1"/>
  <c r="Z166" i="2" s="1"/>
  <c r="W166" i="2"/>
  <c r="V166" i="2"/>
  <c r="AE166" i="2"/>
  <c r="X178" i="2"/>
  <c r="Y178" i="2" s="1"/>
  <c r="Z178" i="2" s="1"/>
  <c r="W178" i="2"/>
  <c r="V178" i="2"/>
  <c r="AE178" i="2"/>
  <c r="X190" i="2"/>
  <c r="Y190" i="2" s="1"/>
  <c r="Z190" i="2" s="1"/>
  <c r="W190" i="2"/>
  <c r="V190" i="2"/>
  <c r="AE190" i="2"/>
  <c r="V382" i="2"/>
  <c r="X148" i="2"/>
  <c r="W148" i="2"/>
  <c r="V148" i="2"/>
  <c r="AE148" i="2"/>
  <c r="Y148" i="2"/>
  <c r="Z148" i="2" s="1"/>
  <c r="W507" i="2"/>
  <c r="V507" i="2"/>
  <c r="AE507" i="2"/>
  <c r="X507" i="2"/>
  <c r="Y507" i="2" s="1"/>
  <c r="Z507" i="2" s="1"/>
  <c r="X174" i="2"/>
  <c r="Y174" i="2" s="1"/>
  <c r="Z174" i="2" s="1"/>
  <c r="W174" i="2"/>
  <c r="V174" i="2"/>
  <c r="AE174" i="2"/>
  <c r="W290" i="2"/>
  <c r="AE290" i="2"/>
  <c r="X290" i="2"/>
  <c r="Y290" i="2" s="1"/>
  <c r="Z290" i="2" s="1"/>
  <c r="V290" i="2"/>
  <c r="G4" i="1"/>
  <c r="X140" i="2"/>
  <c r="Y140" i="2" s="1"/>
  <c r="Z140" i="2" s="1"/>
  <c r="W140" i="2"/>
  <c r="V140" i="2"/>
  <c r="AE140" i="2"/>
  <c r="X3" i="2"/>
  <c r="X7" i="2"/>
  <c r="X11" i="2"/>
  <c r="I9" i="3"/>
  <c r="F9" i="3"/>
  <c r="E9" i="3"/>
  <c r="X15" i="2"/>
  <c r="X19" i="2"/>
  <c r="Y19" i="2" s="1"/>
  <c r="Z19" i="2" s="1"/>
  <c r="X23" i="2"/>
  <c r="Y23" i="2" s="1"/>
  <c r="Z23" i="2" s="1"/>
  <c r="X27" i="2"/>
  <c r="X31" i="2"/>
  <c r="X35" i="2"/>
  <c r="X39" i="2"/>
  <c r="Y39" i="2" s="1"/>
  <c r="Z39" i="2" s="1"/>
  <c r="X43" i="2"/>
  <c r="X47" i="2"/>
  <c r="X51" i="2"/>
  <c r="X55" i="2"/>
  <c r="X59" i="2"/>
  <c r="X63" i="2"/>
  <c r="Y63" i="2" s="1"/>
  <c r="Z63" i="2" s="1"/>
  <c r="X67" i="2"/>
  <c r="Y67" i="2" s="1"/>
  <c r="Z67" i="2" s="1"/>
  <c r="AE121" i="2"/>
  <c r="X125" i="2"/>
  <c r="Y125" i="2" s="1"/>
  <c r="Z125" i="2" s="1"/>
  <c r="Y126" i="2"/>
  <c r="Z126" i="2" s="1"/>
  <c r="AE126" i="2"/>
  <c r="AE129" i="2"/>
  <c r="V129" i="2"/>
  <c r="Y131" i="2"/>
  <c r="Z131" i="2" s="1"/>
  <c r="W131" i="2"/>
  <c r="V131" i="2"/>
  <c r="AE131" i="2"/>
  <c r="X158" i="2"/>
  <c r="Y158" i="2" s="1"/>
  <c r="Z158" i="2" s="1"/>
  <c r="W158" i="2"/>
  <c r="V158" i="2"/>
  <c r="AE158" i="2"/>
  <c r="X194" i="2"/>
  <c r="Y194" i="2" s="1"/>
  <c r="Z194" i="2" s="1"/>
  <c r="W194" i="2"/>
  <c r="V194" i="2"/>
  <c r="AE194" i="2"/>
  <c r="X371" i="2"/>
  <c r="Y371" i="2" s="1"/>
  <c r="Z371" i="2" s="1"/>
  <c r="W371" i="2"/>
  <c r="V371" i="2"/>
  <c r="AE371" i="2"/>
  <c r="V2" i="2"/>
  <c r="V34" i="2"/>
  <c r="B17" i="6"/>
  <c r="B5" i="6"/>
  <c r="B12" i="6"/>
  <c r="B19" i="6"/>
  <c r="B7" i="6"/>
  <c r="B14" i="6"/>
  <c r="B2" i="6"/>
  <c r="B21" i="6"/>
  <c r="B16" i="6"/>
  <c r="B4" i="6"/>
  <c r="B11" i="6"/>
  <c r="B18" i="6"/>
  <c r="B6" i="6"/>
  <c r="B13" i="6"/>
  <c r="B20" i="6"/>
  <c r="B8" i="6"/>
  <c r="B15" i="6"/>
  <c r="B3" i="6"/>
  <c r="B9" i="6"/>
  <c r="B10" i="6"/>
  <c r="I4" i="3"/>
  <c r="F4" i="3"/>
  <c r="E4" i="3"/>
  <c r="Y7" i="2"/>
  <c r="Z7" i="2" s="1"/>
  <c r="V8" i="2"/>
  <c r="AE9" i="2"/>
  <c r="V16" i="2"/>
  <c r="AE17" i="2"/>
  <c r="V20" i="2"/>
  <c r="AE21" i="2"/>
  <c r="AE25" i="2"/>
  <c r="Y27" i="2"/>
  <c r="Z27" i="2" s="1"/>
  <c r="V28" i="2"/>
  <c r="Y31" i="2"/>
  <c r="Z31" i="2" s="1"/>
  <c r="V32" i="2"/>
  <c r="AE33" i="2"/>
  <c r="Y35" i="2"/>
  <c r="Z35" i="2" s="1"/>
  <c r="V36" i="2"/>
  <c r="AE37" i="2"/>
  <c r="AE41" i="2"/>
  <c r="Y43" i="2"/>
  <c r="Z43" i="2" s="1"/>
  <c r="AE45" i="2"/>
  <c r="Y47" i="2"/>
  <c r="Z47" i="2" s="1"/>
  <c r="Y51" i="2"/>
  <c r="Z51" i="2" s="1"/>
  <c r="AE53" i="2"/>
  <c r="Y55" i="2"/>
  <c r="Z55" i="2" s="1"/>
  <c r="AE57" i="2"/>
  <c r="Y59" i="2"/>
  <c r="Z59" i="2" s="1"/>
  <c r="V60" i="2"/>
  <c r="AE61" i="2"/>
  <c r="V64" i="2"/>
  <c r="AE65" i="2"/>
  <c r="V68" i="2"/>
  <c r="AE69" i="2"/>
  <c r="Y71" i="2"/>
  <c r="Z71" i="2" s="1"/>
  <c r="V72" i="2"/>
  <c r="AE73" i="2"/>
  <c r="Y75" i="2"/>
  <c r="Z75" i="2" s="1"/>
  <c r="V76" i="2"/>
  <c r="AE77" i="2"/>
  <c r="V80" i="2"/>
  <c r="AE81" i="2"/>
  <c r="V84" i="2"/>
  <c r="AE85" i="2"/>
  <c r="Y87" i="2"/>
  <c r="Z87" i="2" s="1"/>
  <c r="V88" i="2"/>
  <c r="AE89" i="2"/>
  <c r="V92" i="2"/>
  <c r="AE93" i="2"/>
  <c r="V96" i="2"/>
  <c r="AE97" i="2"/>
  <c r="V100" i="2"/>
  <c r="AE101" i="2"/>
  <c r="V104" i="2"/>
  <c r="AE105" i="2"/>
  <c r="AE109" i="2"/>
  <c r="AE113" i="2"/>
  <c r="AE117" i="2"/>
  <c r="V127" i="2"/>
  <c r="W128" i="2"/>
  <c r="V128" i="2"/>
  <c r="AE128" i="2"/>
  <c r="Y130" i="2"/>
  <c r="Z130" i="2" s="1"/>
  <c r="V130" i="2"/>
  <c r="AE130" i="2"/>
  <c r="Y139" i="2"/>
  <c r="Z139" i="2" s="1"/>
  <c r="W139" i="2"/>
  <c r="V139" i="2"/>
  <c r="AE139" i="2"/>
  <c r="Y147" i="2"/>
  <c r="Z147" i="2" s="1"/>
  <c r="W147" i="2"/>
  <c r="V147" i="2"/>
  <c r="AE147" i="2"/>
  <c r="AE210" i="2"/>
  <c r="X210" i="2"/>
  <c r="Y210" i="2" s="1"/>
  <c r="Z210" i="2" s="1"/>
  <c r="W210" i="2"/>
  <c r="V210" i="2"/>
  <c r="W243" i="2"/>
  <c r="AE243" i="2"/>
  <c r="X243" i="2"/>
  <c r="Y243" i="2" s="1"/>
  <c r="Z243" i="2" s="1"/>
  <c r="V243" i="2"/>
  <c r="AD255" i="2"/>
  <c r="X343" i="2"/>
  <c r="Y343" i="2" s="1"/>
  <c r="Z343" i="2" s="1"/>
  <c r="W343" i="2"/>
  <c r="V343" i="2"/>
  <c r="AE343" i="2"/>
  <c r="V54" i="2"/>
  <c r="V58" i="2"/>
  <c r="C12" i="6"/>
  <c r="F12" i="6" s="1"/>
  <c r="C19" i="6"/>
  <c r="F19" i="6" s="1"/>
  <c r="C7" i="6"/>
  <c r="F7" i="6" s="1"/>
  <c r="D2" i="6"/>
  <c r="C14" i="6"/>
  <c r="F14" i="6" s="1"/>
  <c r="C2" i="6"/>
  <c r="F2" i="6" s="1"/>
  <c r="C21" i="6"/>
  <c r="F21" i="6" s="1"/>
  <c r="C9" i="6"/>
  <c r="F9" i="6" s="1"/>
  <c r="C11" i="6"/>
  <c r="F11" i="6" s="1"/>
  <c r="C18" i="6"/>
  <c r="F18" i="6" s="1"/>
  <c r="C6" i="6"/>
  <c r="F6" i="6" s="1"/>
  <c r="C13" i="6"/>
  <c r="F13" i="6" s="1"/>
  <c r="C20" i="6"/>
  <c r="F20" i="6" s="1"/>
  <c r="C8" i="6"/>
  <c r="F8" i="6" s="1"/>
  <c r="C15" i="6"/>
  <c r="F15" i="6" s="1"/>
  <c r="C3" i="6"/>
  <c r="F3" i="6" s="1"/>
  <c r="C10" i="6"/>
  <c r="F10" i="6" s="1"/>
  <c r="C17" i="6"/>
  <c r="F17" i="6" s="1"/>
  <c r="C16" i="6"/>
  <c r="F16" i="6" s="1"/>
  <c r="C5" i="6"/>
  <c r="F5" i="6" s="1"/>
  <c r="C4" i="6"/>
  <c r="F4" i="6" s="1"/>
  <c r="Y3" i="2"/>
  <c r="Z3" i="2" s="1"/>
  <c r="V4" i="2"/>
  <c r="AE5" i="2"/>
  <c r="Y11" i="2"/>
  <c r="Z11" i="2" s="1"/>
  <c r="V12" i="2"/>
  <c r="AE13" i="2"/>
  <c r="Y15" i="2"/>
  <c r="Z15" i="2" s="1"/>
  <c r="V24" i="2"/>
  <c r="AE29" i="2"/>
  <c r="H9" i="4"/>
  <c r="H5" i="4"/>
  <c r="D8" i="4"/>
  <c r="D4" i="4"/>
  <c r="H6" i="4"/>
  <c r="H2" i="4"/>
  <c r="D6" i="4"/>
  <c r="D2" i="4"/>
  <c r="H8" i="4"/>
  <c r="H4" i="4"/>
  <c r="D7" i="4"/>
  <c r="D3" i="4"/>
  <c r="D9" i="4"/>
  <c r="H7" i="4"/>
  <c r="D5" i="4"/>
  <c r="H3" i="4"/>
  <c r="W4" i="2"/>
  <c r="W8" i="2"/>
  <c r="W12" i="2"/>
  <c r="W16" i="2"/>
  <c r="W20" i="2"/>
  <c r="W24" i="2"/>
  <c r="W28" i="2"/>
  <c r="W32" i="2"/>
  <c r="W36" i="2"/>
  <c r="W40" i="2"/>
  <c r="W44" i="2"/>
  <c r="W48" i="2"/>
  <c r="W52" i="2"/>
  <c r="W56" i="2"/>
  <c r="W60" i="2"/>
  <c r="W64" i="2"/>
  <c r="W68" i="2"/>
  <c r="W72" i="2"/>
  <c r="W76" i="2"/>
  <c r="W80" i="2"/>
  <c r="W84" i="2"/>
  <c r="W88" i="2"/>
  <c r="W92" i="2"/>
  <c r="W96" i="2"/>
  <c r="W100" i="2"/>
  <c r="W104" i="2"/>
  <c r="W108" i="2"/>
  <c r="W112" i="2"/>
  <c r="W126" i="2"/>
  <c r="W127" i="2"/>
  <c r="X128" i="2"/>
  <c r="Y128" i="2" s="1"/>
  <c r="Z128" i="2" s="1"/>
  <c r="X129" i="2"/>
  <c r="Y129" i="2" s="1"/>
  <c r="Z129" i="2" s="1"/>
  <c r="W130" i="2"/>
  <c r="X139" i="2"/>
  <c r="X147" i="2"/>
  <c r="X152" i="2"/>
  <c r="Y152" i="2" s="1"/>
  <c r="Z152" i="2" s="1"/>
  <c r="W152" i="2"/>
  <c r="V152" i="2"/>
  <c r="AE152" i="2"/>
  <c r="X170" i="2"/>
  <c r="Y170" i="2" s="1"/>
  <c r="Z170" i="2" s="1"/>
  <c r="W170" i="2"/>
  <c r="V170" i="2"/>
  <c r="AE170" i="2"/>
  <c r="Y182" i="2"/>
  <c r="Z182" i="2" s="1"/>
  <c r="X182" i="2"/>
  <c r="W182" i="2"/>
  <c r="V182" i="2"/>
  <c r="AE182" i="2"/>
  <c r="W235" i="2"/>
  <c r="AE235" i="2"/>
  <c r="Y235" i="2"/>
  <c r="Z235" i="2" s="1"/>
  <c r="X235" i="2"/>
  <c r="V235" i="2"/>
  <c r="X264" i="2"/>
  <c r="W264" i="2"/>
  <c r="V264" i="2"/>
  <c r="AE264" i="2"/>
  <c r="Z264" i="2"/>
  <c r="Y291" i="2"/>
  <c r="Z291" i="2" s="1"/>
  <c r="W291" i="2"/>
  <c r="V291" i="2"/>
  <c r="AE291" i="2"/>
  <c r="X307" i="2"/>
  <c r="Y307" i="2" s="1"/>
  <c r="Z307" i="2" s="1"/>
  <c r="W307" i="2"/>
  <c r="V307" i="2"/>
  <c r="AE307" i="2"/>
  <c r="Z106" i="2"/>
  <c r="I7" i="3"/>
  <c r="F7" i="3"/>
  <c r="E7" i="3"/>
  <c r="Y138" i="2"/>
  <c r="Z138" i="2" s="1"/>
  <c r="V138" i="2"/>
  <c r="AE138" i="2"/>
  <c r="Y146" i="2"/>
  <c r="Z146" i="2" s="1"/>
  <c r="V146" i="2"/>
  <c r="AE146" i="2"/>
  <c r="Y198" i="2"/>
  <c r="Z198" i="2" s="1"/>
  <c r="X198" i="2"/>
  <c r="W198" i="2"/>
  <c r="V198" i="2"/>
  <c r="AE198" i="2"/>
  <c r="I6" i="3"/>
  <c r="B7" i="5"/>
  <c r="C7" i="5" s="1"/>
  <c r="D7" i="5" s="1"/>
  <c r="F6" i="3"/>
  <c r="E6" i="3"/>
  <c r="AE253" i="2"/>
  <c r="Y253" i="2"/>
  <c r="Z253" i="2" s="1"/>
  <c r="X253" i="2"/>
  <c r="W253" i="2"/>
  <c r="AE362" i="2"/>
  <c r="W362" i="2"/>
  <c r="X362" i="2"/>
  <c r="Y362" i="2" s="1"/>
  <c r="Z362" i="2" s="1"/>
  <c r="V362" i="2"/>
  <c r="V38" i="2"/>
  <c r="V82" i="2"/>
  <c r="V102" i="2"/>
  <c r="V110" i="2"/>
  <c r="Y143" i="2"/>
  <c r="Z143" i="2" s="1"/>
  <c r="W143" i="2"/>
  <c r="V143" i="2"/>
  <c r="AE143" i="2"/>
  <c r="Z18" i="2"/>
  <c r="AE2" i="2"/>
  <c r="Y4" i="2"/>
  <c r="Z4" i="2" s="1"/>
  <c r="V5" i="2"/>
  <c r="Y12" i="2"/>
  <c r="Z12" i="2" s="1"/>
  <c r="V13" i="2"/>
  <c r="V49" i="2"/>
  <c r="W121" i="2"/>
  <c r="AE123" i="2"/>
  <c r="W138" i="2"/>
  <c r="W146" i="2"/>
  <c r="X156" i="2"/>
  <c r="Y156" i="2" s="1"/>
  <c r="Z156" i="2" s="1"/>
  <c r="W156" i="2"/>
  <c r="V156" i="2"/>
  <c r="AE156" i="2"/>
  <c r="W263" i="2"/>
  <c r="AE263" i="2"/>
  <c r="X263" i="2"/>
  <c r="Y263" i="2" s="1"/>
  <c r="Z263" i="2" s="1"/>
  <c r="X391" i="2"/>
  <c r="Y391" i="2" s="1"/>
  <c r="Z391" i="2" s="1"/>
  <c r="W391" i="2"/>
  <c r="V391" i="2"/>
  <c r="AE391" i="2"/>
  <c r="X453" i="2"/>
  <c r="Y453" i="2" s="1"/>
  <c r="Z453" i="2" s="1"/>
  <c r="W453" i="2"/>
  <c r="V453" i="2"/>
  <c r="AE453" i="2"/>
  <c r="V133" i="2"/>
  <c r="V137" i="2"/>
  <c r="V141" i="2"/>
  <c r="V145" i="2"/>
  <c r="V149" i="2"/>
  <c r="V153" i="2"/>
  <c r="V157" i="2"/>
  <c r="Y160" i="2"/>
  <c r="Z160" i="2" s="1"/>
  <c r="Y164" i="2"/>
  <c r="Z164" i="2" s="1"/>
  <c r="Y168" i="2"/>
  <c r="Z168" i="2" s="1"/>
  <c r="Y172" i="2"/>
  <c r="Z172" i="2" s="1"/>
  <c r="Y176" i="2"/>
  <c r="Z176" i="2" s="1"/>
  <c r="Y180" i="2"/>
  <c r="Z180" i="2" s="1"/>
  <c r="Y184" i="2"/>
  <c r="Z184" i="2" s="1"/>
  <c r="Y188" i="2"/>
  <c r="Z188" i="2" s="1"/>
  <c r="Y192" i="2"/>
  <c r="Z192" i="2" s="1"/>
  <c r="Y196" i="2"/>
  <c r="Z196" i="2" s="1"/>
  <c r="Y200" i="2"/>
  <c r="Z200" i="2" s="1"/>
  <c r="Y204" i="2"/>
  <c r="Z204" i="2" s="1"/>
  <c r="Y208" i="2"/>
  <c r="Z208" i="2" s="1"/>
  <c r="X223" i="2"/>
  <c r="W228" i="2"/>
  <c r="Z234" i="2"/>
  <c r="AE236" i="2"/>
  <c r="W241" i="2"/>
  <c r="Y251" i="2"/>
  <c r="Z251" i="2" s="1"/>
  <c r="W251" i="2"/>
  <c r="W252" i="2"/>
  <c r="V252" i="2"/>
  <c r="X292" i="2"/>
  <c r="Y292" i="2" s="1"/>
  <c r="Z292" i="2" s="1"/>
  <c r="W292" i="2"/>
  <c r="V292" i="2"/>
  <c r="AE292" i="2"/>
  <c r="Y294" i="2"/>
  <c r="Z294" i="2" s="1"/>
  <c r="W294" i="2"/>
  <c r="Y363" i="2"/>
  <c r="Z363" i="2" s="1"/>
  <c r="X363" i="2"/>
  <c r="W363" i="2"/>
  <c r="V363" i="2"/>
  <c r="AE402" i="2"/>
  <c r="Y402" i="2"/>
  <c r="Z402" i="2" s="1"/>
  <c r="W402" i="2"/>
  <c r="Y531" i="2"/>
  <c r="Z531" i="2" s="1"/>
  <c r="W531" i="2"/>
  <c r="V531" i="2"/>
  <c r="AE531" i="2"/>
  <c r="X531" i="2"/>
  <c r="Y141" i="2"/>
  <c r="Z141" i="2" s="1"/>
  <c r="AE151" i="2"/>
  <c r="AE155" i="2"/>
  <c r="AE159" i="2"/>
  <c r="AE163" i="2"/>
  <c r="AE167" i="2"/>
  <c r="AE171" i="2"/>
  <c r="AE175" i="2"/>
  <c r="AE179" i="2"/>
  <c r="AE183" i="2"/>
  <c r="AE187" i="2"/>
  <c r="AE191" i="2"/>
  <c r="AE195" i="2"/>
  <c r="AE199" i="2"/>
  <c r="AE203" i="2"/>
  <c r="AE207" i="2"/>
  <c r="Y287" i="2"/>
  <c r="Z287" i="2" s="1"/>
  <c r="W287" i="2"/>
  <c r="V287" i="2"/>
  <c r="AE306" i="2"/>
  <c r="W306" i="2"/>
  <c r="X315" i="2"/>
  <c r="Y315" i="2" s="1"/>
  <c r="Z315" i="2" s="1"/>
  <c r="W315" i="2"/>
  <c r="V315" i="2"/>
  <c r="X323" i="2"/>
  <c r="Y323" i="2" s="1"/>
  <c r="Z323" i="2" s="1"/>
  <c r="W323" i="2"/>
  <c r="V323" i="2"/>
  <c r="AE342" i="2"/>
  <c r="Y342" i="2"/>
  <c r="Z342" i="2" s="1"/>
  <c r="W342" i="2"/>
  <c r="X351" i="2"/>
  <c r="Y351" i="2" s="1"/>
  <c r="Z351" i="2" s="1"/>
  <c r="W351" i="2"/>
  <c r="V351" i="2"/>
  <c r="X359" i="2"/>
  <c r="Y359" i="2" s="1"/>
  <c r="Z359" i="2" s="1"/>
  <c r="W359" i="2"/>
  <c r="V359" i="2"/>
  <c r="AE390" i="2"/>
  <c r="W390" i="2"/>
  <c r="Y399" i="2"/>
  <c r="Z399" i="2" s="1"/>
  <c r="X399" i="2"/>
  <c r="W399" i="2"/>
  <c r="V399" i="2"/>
  <c r="AE410" i="2"/>
  <c r="Y410" i="2"/>
  <c r="Z410" i="2" s="1"/>
  <c r="W410" i="2"/>
  <c r="X423" i="2"/>
  <c r="Y423" i="2" s="1"/>
  <c r="Z423" i="2" s="1"/>
  <c r="W423" i="2"/>
  <c r="V423" i="2"/>
  <c r="X435" i="2"/>
  <c r="Y435" i="2" s="1"/>
  <c r="Z435" i="2" s="1"/>
  <c r="W435" i="2"/>
  <c r="V435" i="2"/>
  <c r="X465" i="2"/>
  <c r="Y465" i="2" s="1"/>
  <c r="Z465" i="2" s="1"/>
  <c r="W465" i="2"/>
  <c r="V465" i="2"/>
  <c r="W530" i="2"/>
  <c r="AE530" i="2"/>
  <c r="X530" i="2"/>
  <c r="Y530" i="2" s="1"/>
  <c r="Z530" i="2" s="1"/>
  <c r="V530" i="2"/>
  <c r="W535" i="2"/>
  <c r="V535" i="2"/>
  <c r="AE535" i="2"/>
  <c r="X535" i="2"/>
  <c r="Y535" i="2" s="1"/>
  <c r="Z535" i="2" s="1"/>
  <c r="W267" i="2"/>
  <c r="X268" i="2"/>
  <c r="Y268" i="2" s="1"/>
  <c r="Z268" i="2" s="1"/>
  <c r="W268" i="2"/>
  <c r="V268" i="2"/>
  <c r="X284" i="2"/>
  <c r="W284" i="2"/>
  <c r="V284" i="2"/>
  <c r="AE284" i="2"/>
  <c r="Y286" i="2"/>
  <c r="Z286" i="2" s="1"/>
  <c r="W286" i="2"/>
  <c r="AE370" i="2"/>
  <c r="W370" i="2"/>
  <c r="X379" i="2"/>
  <c r="Y379" i="2" s="1"/>
  <c r="Z379" i="2" s="1"/>
  <c r="W379" i="2"/>
  <c r="V379" i="2"/>
  <c r="W452" i="2"/>
  <c r="AE452" i="2"/>
  <c r="V452" i="2"/>
  <c r="AE473" i="2"/>
  <c r="W473" i="2"/>
  <c r="V473" i="2"/>
  <c r="W506" i="2"/>
  <c r="AE506" i="2"/>
  <c r="X506" i="2"/>
  <c r="Y506" i="2" s="1"/>
  <c r="Z506" i="2" s="1"/>
  <c r="V506" i="2"/>
  <c r="W511" i="2"/>
  <c r="V511" i="2"/>
  <c r="AE511" i="2"/>
  <c r="X511" i="2"/>
  <c r="Y511" i="2" s="1"/>
  <c r="Z511" i="2" s="1"/>
  <c r="X607" i="2"/>
  <c r="Y607" i="2" s="1"/>
  <c r="Z607" i="2" s="1"/>
  <c r="W607" i="2"/>
  <c r="V607" i="2"/>
  <c r="AE607" i="2"/>
  <c r="V211" i="2"/>
  <c r="V216" i="2"/>
  <c r="AE217" i="2"/>
  <c r="W225" i="2"/>
  <c r="V230" i="2"/>
  <c r="X236" i="2"/>
  <c r="W245" i="2"/>
  <c r="W254" i="2"/>
  <c r="Y255" i="2"/>
  <c r="Z255" i="2" s="1"/>
  <c r="W255" i="2"/>
  <c r="W256" i="2"/>
  <c r="V256" i="2"/>
  <c r="W266" i="2"/>
  <c r="V267" i="2"/>
  <c r="W283" i="2"/>
  <c r="V283" i="2"/>
  <c r="Y284" i="2"/>
  <c r="Z284" i="2" s="1"/>
  <c r="V286" i="2"/>
  <c r="Y303" i="2"/>
  <c r="Z303" i="2" s="1"/>
  <c r="X303" i="2"/>
  <c r="W303" i="2"/>
  <c r="V303" i="2"/>
  <c r="X306" i="2"/>
  <c r="Y306" i="2" s="1"/>
  <c r="Z306" i="2" s="1"/>
  <c r="AE314" i="2"/>
  <c r="Y314" i="2"/>
  <c r="Z314" i="2" s="1"/>
  <c r="W314" i="2"/>
  <c r="AE322" i="2"/>
  <c r="W322" i="2"/>
  <c r="X331" i="2"/>
  <c r="Y331" i="2" s="1"/>
  <c r="Z331" i="2" s="1"/>
  <c r="W331" i="2"/>
  <c r="V331" i="2"/>
  <c r="AE350" i="2"/>
  <c r="Y350" i="2"/>
  <c r="Z350" i="2" s="1"/>
  <c r="W350" i="2"/>
  <c r="AE358" i="2"/>
  <c r="W358" i="2"/>
  <c r="AE363" i="2"/>
  <c r="V370" i="2"/>
  <c r="AE398" i="2"/>
  <c r="Y398" i="2"/>
  <c r="Z398" i="2" s="1"/>
  <c r="W398" i="2"/>
  <c r="X407" i="2"/>
  <c r="Y407" i="2" s="1"/>
  <c r="Z407" i="2" s="1"/>
  <c r="W407" i="2"/>
  <c r="V407" i="2"/>
  <c r="X452" i="2"/>
  <c r="Y452" i="2" s="1"/>
  <c r="Z452" i="2" s="1"/>
  <c r="X473" i="2"/>
  <c r="Y473" i="2" s="1"/>
  <c r="Z473" i="2" s="1"/>
  <c r="Y534" i="2"/>
  <c r="Z534" i="2" s="1"/>
  <c r="W534" i="2"/>
  <c r="AE534" i="2"/>
  <c r="V534" i="2"/>
  <c r="V151" i="2"/>
  <c r="V155" i="2"/>
  <c r="V159" i="2"/>
  <c r="AE160" i="2"/>
  <c r="V163" i="2"/>
  <c r="AE164" i="2"/>
  <c r="V167" i="2"/>
  <c r="AE168" i="2"/>
  <c r="V171" i="2"/>
  <c r="AE172" i="2"/>
  <c r="V175" i="2"/>
  <c r="AE176" i="2"/>
  <c r="V179" i="2"/>
  <c r="AE180" i="2"/>
  <c r="V183" i="2"/>
  <c r="AE184" i="2"/>
  <c r="V187" i="2"/>
  <c r="AE188" i="2"/>
  <c r="V191" i="2"/>
  <c r="AE192" i="2"/>
  <c r="V195" i="2"/>
  <c r="AE196" i="2"/>
  <c r="V199" i="2"/>
  <c r="AE200" i="2"/>
  <c r="V203" i="2"/>
  <c r="AE204" i="2"/>
  <c r="V207" i="2"/>
  <c r="AE208" i="2"/>
  <c r="X211" i="2"/>
  <c r="Y211" i="2" s="1"/>
  <c r="Z211" i="2" s="1"/>
  <c r="W216" i="2"/>
  <c r="V221" i="2"/>
  <c r="X225" i="2"/>
  <c r="Y225" i="2" s="1"/>
  <c r="Z225" i="2" s="1"/>
  <c r="Z226" i="2"/>
  <c r="W230" i="2"/>
  <c r="Z231" i="2"/>
  <c r="W231" i="2"/>
  <c r="Y236" i="2"/>
  <c r="Z236" i="2" s="1"/>
  <c r="V237" i="2"/>
  <c r="X245" i="2"/>
  <c r="V246" i="2"/>
  <c r="X254" i="2"/>
  <c r="V255" i="2"/>
  <c r="X256" i="2"/>
  <c r="Y256" i="2" s="1"/>
  <c r="Z256" i="2" s="1"/>
  <c r="X266" i="2"/>
  <c r="Y266" i="2" s="1"/>
  <c r="Z266" i="2" s="1"/>
  <c r="X267" i="2"/>
  <c r="Y267" i="2" s="1"/>
  <c r="Z267" i="2" s="1"/>
  <c r="Z270" i="2"/>
  <c r="X280" i="2"/>
  <c r="Y280" i="2" s="1"/>
  <c r="Z280" i="2" s="1"/>
  <c r="W280" i="2"/>
  <c r="V280" i="2"/>
  <c r="AE280" i="2"/>
  <c r="W282" i="2"/>
  <c r="X283" i="2"/>
  <c r="Y283" i="2" s="1"/>
  <c r="Z283" i="2" s="1"/>
  <c r="X286" i="2"/>
  <c r="AE294" i="2"/>
  <c r="V314" i="2"/>
  <c r="V322" i="2"/>
  <c r="V350" i="2"/>
  <c r="V358" i="2"/>
  <c r="X370" i="2"/>
  <c r="Y370" i="2" s="1"/>
  <c r="Z370" i="2" s="1"/>
  <c r="AE378" i="2"/>
  <c r="Y378" i="2"/>
  <c r="Z378" i="2" s="1"/>
  <c r="W378" i="2"/>
  <c r="X387" i="2"/>
  <c r="Y387" i="2" s="1"/>
  <c r="Z387" i="2" s="1"/>
  <c r="W387" i="2"/>
  <c r="V387" i="2"/>
  <c r="V398" i="2"/>
  <c r="W464" i="2"/>
  <c r="AE464" i="2"/>
  <c r="Y464" i="2"/>
  <c r="Z464" i="2" s="1"/>
  <c r="V464" i="2"/>
  <c r="W472" i="2"/>
  <c r="V472" i="2"/>
  <c r="AE472" i="2"/>
  <c r="X472" i="2"/>
  <c r="Y472" i="2" s="1"/>
  <c r="Z472" i="2" s="1"/>
  <c r="W510" i="2"/>
  <c r="AE510" i="2"/>
  <c r="V510" i="2"/>
  <c r="AE529" i="2"/>
  <c r="W529" i="2"/>
  <c r="X529" i="2"/>
  <c r="Y529" i="2" s="1"/>
  <c r="Z529" i="2" s="1"/>
  <c r="V529" i="2"/>
  <c r="X534" i="2"/>
  <c r="X555" i="2"/>
  <c r="Y555" i="2" s="1"/>
  <c r="Z555" i="2" s="1"/>
  <c r="W555" i="2"/>
  <c r="V555" i="2"/>
  <c r="AE555" i="2"/>
  <c r="W151" i="2"/>
  <c r="W155" i="2"/>
  <c r="W159" i="2"/>
  <c r="W163" i="2"/>
  <c r="W167" i="2"/>
  <c r="W171" i="2"/>
  <c r="W175" i="2"/>
  <c r="W179" i="2"/>
  <c r="W183" i="2"/>
  <c r="W187" i="2"/>
  <c r="W191" i="2"/>
  <c r="X216" i="2"/>
  <c r="Y216" i="2" s="1"/>
  <c r="Z216" i="2" s="1"/>
  <c r="X230" i="2"/>
  <c r="Y230" i="2" s="1"/>
  <c r="Z230" i="2" s="1"/>
  <c r="Y245" i="2"/>
  <c r="Z245" i="2" s="1"/>
  <c r="Y247" i="2"/>
  <c r="Z247" i="2" s="1"/>
  <c r="W247" i="2"/>
  <c r="W248" i="2"/>
  <c r="V248" i="2"/>
  <c r="Y271" i="2"/>
  <c r="Z271" i="2" s="1"/>
  <c r="W271" i="2"/>
  <c r="X272" i="2"/>
  <c r="W272" i="2"/>
  <c r="V272" i="2"/>
  <c r="AE272" i="2"/>
  <c r="X276" i="2"/>
  <c r="W276" i="2"/>
  <c r="V276" i="2"/>
  <c r="AE276" i="2"/>
  <c r="Y279" i="2"/>
  <c r="Z279" i="2" s="1"/>
  <c r="W279" i="2"/>
  <c r="V279" i="2"/>
  <c r="AE302" i="2"/>
  <c r="Y302" i="2"/>
  <c r="Z302" i="2" s="1"/>
  <c r="W302" i="2"/>
  <c r="X322" i="2"/>
  <c r="Y322" i="2" s="1"/>
  <c r="Z322" i="2" s="1"/>
  <c r="AE330" i="2"/>
  <c r="Y330" i="2"/>
  <c r="Z330" i="2" s="1"/>
  <c r="W330" i="2"/>
  <c r="X339" i="2"/>
  <c r="Y339" i="2" s="1"/>
  <c r="Z339" i="2" s="1"/>
  <c r="W339" i="2"/>
  <c r="V339" i="2"/>
  <c r="X347" i="2"/>
  <c r="Y347" i="2" s="1"/>
  <c r="Z347" i="2" s="1"/>
  <c r="W347" i="2"/>
  <c r="V347" i="2"/>
  <c r="X350" i="2"/>
  <c r="X358" i="2"/>
  <c r="Y358" i="2" s="1"/>
  <c r="Z358" i="2" s="1"/>
  <c r="X367" i="2"/>
  <c r="Y367" i="2" s="1"/>
  <c r="Z367" i="2" s="1"/>
  <c r="W367" i="2"/>
  <c r="V367" i="2"/>
  <c r="X398" i="2"/>
  <c r="AE406" i="2"/>
  <c r="Y406" i="2"/>
  <c r="Z406" i="2" s="1"/>
  <c r="W406" i="2"/>
  <c r="X419" i="2"/>
  <c r="Y419" i="2" s="1"/>
  <c r="Z419" i="2" s="1"/>
  <c r="W419" i="2"/>
  <c r="V419" i="2"/>
  <c r="X431" i="2"/>
  <c r="Y431" i="2" s="1"/>
  <c r="Z431" i="2" s="1"/>
  <c r="W431" i="2"/>
  <c r="V431" i="2"/>
  <c r="W447" i="2"/>
  <c r="Y447" i="2"/>
  <c r="Z447" i="2" s="1"/>
  <c r="X447" i="2"/>
  <c r="V447" i="2"/>
  <c r="AE447" i="2"/>
  <c r="AE505" i="2"/>
  <c r="W505" i="2"/>
  <c r="X505" i="2"/>
  <c r="Y505" i="2" s="1"/>
  <c r="Z505" i="2" s="1"/>
  <c r="V505" i="2"/>
  <c r="X510" i="2"/>
  <c r="Y510" i="2" s="1"/>
  <c r="Z510" i="2" s="1"/>
  <c r="AE533" i="2"/>
  <c r="W533" i="2"/>
  <c r="Y533" i="2"/>
  <c r="Z533" i="2" s="1"/>
  <c r="V533" i="2"/>
  <c r="X187" i="2"/>
  <c r="X191" i="2"/>
  <c r="Y191" i="2" s="1"/>
  <c r="Z191" i="2" s="1"/>
  <c r="X195" i="2"/>
  <c r="Y195" i="2" s="1"/>
  <c r="Z195" i="2" s="1"/>
  <c r="X199" i="2"/>
  <c r="X203" i="2"/>
  <c r="X207" i="2"/>
  <c r="V217" i="2"/>
  <c r="X221" i="2"/>
  <c r="Y221" i="2" s="1"/>
  <c r="Z221" i="2" s="1"/>
  <c r="AE228" i="2"/>
  <c r="V232" i="2"/>
  <c r="X237" i="2"/>
  <c r="Y237" i="2" s="1"/>
  <c r="Z237" i="2" s="1"/>
  <c r="V238" i="2"/>
  <c r="V247" i="2"/>
  <c r="X248" i="2"/>
  <c r="Y248" i="2" s="1"/>
  <c r="Z248" i="2" s="1"/>
  <c r="V271" i="2"/>
  <c r="Y272" i="2"/>
  <c r="Z272" i="2" s="1"/>
  <c r="Y275" i="2"/>
  <c r="Z275" i="2" s="1"/>
  <c r="W275" i="2"/>
  <c r="V275" i="2"/>
  <c r="Y276" i="2"/>
  <c r="Z276" i="2" s="1"/>
  <c r="W278" i="2"/>
  <c r="X279" i="2"/>
  <c r="AE315" i="2"/>
  <c r="AE323" i="2"/>
  <c r="AE386" i="2"/>
  <c r="Y386" i="2"/>
  <c r="Z386" i="2" s="1"/>
  <c r="W386" i="2"/>
  <c r="Y395" i="2"/>
  <c r="Z395" i="2" s="1"/>
  <c r="X395" i="2"/>
  <c r="W395" i="2"/>
  <c r="V395" i="2"/>
  <c r="AE435" i="2"/>
  <c r="AE465" i="2"/>
  <c r="AE509" i="2"/>
  <c r="W509" i="2"/>
  <c r="V509" i="2"/>
  <c r="W554" i="2"/>
  <c r="AE554" i="2"/>
  <c r="V554" i="2"/>
  <c r="Y151" i="2"/>
  <c r="Z151" i="2" s="1"/>
  <c r="Y155" i="2"/>
  <c r="Z155" i="2" s="1"/>
  <c r="Y159" i="2"/>
  <c r="Z159" i="2" s="1"/>
  <c r="V160" i="2"/>
  <c r="Y163" i="2"/>
  <c r="Z163" i="2" s="1"/>
  <c r="V164" i="2"/>
  <c r="Y167" i="2"/>
  <c r="Z167" i="2" s="1"/>
  <c r="V168" i="2"/>
  <c r="Y171" i="2"/>
  <c r="Z171" i="2" s="1"/>
  <c r="V172" i="2"/>
  <c r="Y175" i="2"/>
  <c r="Z175" i="2" s="1"/>
  <c r="V176" i="2"/>
  <c r="Y179" i="2"/>
  <c r="Z179" i="2" s="1"/>
  <c r="V180" i="2"/>
  <c r="Y183" i="2"/>
  <c r="Z183" i="2" s="1"/>
  <c r="V184" i="2"/>
  <c r="Y187" i="2"/>
  <c r="Z187" i="2" s="1"/>
  <c r="V188" i="2"/>
  <c r="V192" i="2"/>
  <c r="V196" i="2"/>
  <c r="Y199" i="2"/>
  <c r="Z199" i="2" s="1"/>
  <c r="V200" i="2"/>
  <c r="Y203" i="2"/>
  <c r="Z203" i="2" s="1"/>
  <c r="V204" i="2"/>
  <c r="Y207" i="2"/>
  <c r="Z207" i="2" s="1"/>
  <c r="V208" i="2"/>
  <c r="AE214" i="2"/>
  <c r="W217" i="2"/>
  <c r="AE219" i="2"/>
  <c r="V222" i="2"/>
  <c r="V227" i="2"/>
  <c r="X232" i="2"/>
  <c r="Y232" i="2" s="1"/>
  <c r="Z232" i="2" s="1"/>
  <c r="AE234" i="2"/>
  <c r="W238" i="2"/>
  <c r="Y239" i="2"/>
  <c r="Z239" i="2" s="1"/>
  <c r="W239" i="2"/>
  <c r="W240" i="2"/>
  <c r="V240" i="2"/>
  <c r="Y246" i="2"/>
  <c r="Z246" i="2" s="1"/>
  <c r="X247" i="2"/>
  <c r="V249" i="2"/>
  <c r="V258" i="2"/>
  <c r="X299" i="2"/>
  <c r="Y299" i="2" s="1"/>
  <c r="Z299" i="2" s="1"/>
  <c r="W299" i="2"/>
  <c r="V299" i="2"/>
  <c r="Y311" i="2"/>
  <c r="Z311" i="2" s="1"/>
  <c r="X311" i="2"/>
  <c r="W311" i="2"/>
  <c r="V311" i="2"/>
  <c r="X319" i="2"/>
  <c r="Y319" i="2" s="1"/>
  <c r="Z319" i="2" s="1"/>
  <c r="W319" i="2"/>
  <c r="V319" i="2"/>
  <c r="Y327" i="2"/>
  <c r="Z327" i="2" s="1"/>
  <c r="X327" i="2"/>
  <c r="W327" i="2"/>
  <c r="V327" i="2"/>
  <c r="AE338" i="2"/>
  <c r="Y338" i="2"/>
  <c r="Z338" i="2" s="1"/>
  <c r="W338" i="2"/>
  <c r="AE346" i="2"/>
  <c r="W346" i="2"/>
  <c r="X355" i="2"/>
  <c r="Y355" i="2" s="1"/>
  <c r="Z355" i="2" s="1"/>
  <c r="W355" i="2"/>
  <c r="V355" i="2"/>
  <c r="AE366" i="2"/>
  <c r="W366" i="2"/>
  <c r="X375" i="2"/>
  <c r="Y375" i="2" s="1"/>
  <c r="Z375" i="2" s="1"/>
  <c r="W375" i="2"/>
  <c r="V375" i="2"/>
  <c r="AE379" i="2"/>
  <c r="V386" i="2"/>
  <c r="X443" i="2"/>
  <c r="Y443" i="2" s="1"/>
  <c r="Z443" i="2" s="1"/>
  <c r="W443" i="2"/>
  <c r="V443" i="2"/>
  <c r="Y471" i="2"/>
  <c r="Z471" i="2" s="1"/>
  <c r="W471" i="2"/>
  <c r="AE471" i="2"/>
  <c r="V471" i="2"/>
  <c r="X509" i="2"/>
  <c r="Y509" i="2" s="1"/>
  <c r="Z509" i="2" s="1"/>
  <c r="X554" i="2"/>
  <c r="Y554" i="2" s="1"/>
  <c r="Z554" i="2" s="1"/>
  <c r="W160" i="2"/>
  <c r="W164" i="2"/>
  <c r="W168" i="2"/>
  <c r="W172" i="2"/>
  <c r="W176" i="2"/>
  <c r="W180" i="2"/>
  <c r="W184" i="2"/>
  <c r="W188" i="2"/>
  <c r="W192" i="2"/>
  <c r="W196" i="2"/>
  <c r="W200" i="2"/>
  <c r="W204" i="2"/>
  <c r="W208" i="2"/>
  <c r="X217" i="2"/>
  <c r="Y217" i="2" s="1"/>
  <c r="Z217" i="2" s="1"/>
  <c r="W222" i="2"/>
  <c r="X227" i="2"/>
  <c r="Y227" i="2" s="1"/>
  <c r="Z227" i="2" s="1"/>
  <c r="X238" i="2"/>
  <c r="W249" i="2"/>
  <c r="Z250" i="2"/>
  <c r="W258" i="2"/>
  <c r="Y259" i="2"/>
  <c r="Z259" i="2" s="1"/>
  <c r="W259" i="2"/>
  <c r="X260" i="2"/>
  <c r="Y260" i="2" s="1"/>
  <c r="Z260" i="2" s="1"/>
  <c r="W260" i="2"/>
  <c r="V260" i="2"/>
  <c r="W274" i="2"/>
  <c r="X278" i="2"/>
  <c r="Y278" i="2" s="1"/>
  <c r="Z278" i="2" s="1"/>
  <c r="AE286" i="2"/>
  <c r="X296" i="2"/>
  <c r="Y296" i="2" s="1"/>
  <c r="Z296" i="2" s="1"/>
  <c r="W296" i="2"/>
  <c r="V296" i="2"/>
  <c r="AE296" i="2"/>
  <c r="Y298" i="2"/>
  <c r="Z298" i="2" s="1"/>
  <c r="W298" i="2"/>
  <c r="AE303" i="2"/>
  <c r="AE331" i="2"/>
  <c r="V338" i="2"/>
  <c r="V346" i="2"/>
  <c r="AE394" i="2"/>
  <c r="Y394" i="2"/>
  <c r="Z394" i="2" s="1"/>
  <c r="W394" i="2"/>
  <c r="X403" i="2"/>
  <c r="Y403" i="2" s="1"/>
  <c r="Z403" i="2" s="1"/>
  <c r="W403" i="2"/>
  <c r="V403" i="2"/>
  <c r="AE407" i="2"/>
  <c r="AE553" i="2"/>
  <c r="W553" i="2"/>
  <c r="V553" i="2"/>
  <c r="V218" i="2"/>
  <c r="X222" i="2"/>
  <c r="Y222" i="2" s="1"/>
  <c r="Z222" i="2" s="1"/>
  <c r="V223" i="2"/>
  <c r="Y238" i="2"/>
  <c r="Z238" i="2" s="1"/>
  <c r="X239" i="2"/>
  <c r="Y240" i="2"/>
  <c r="Z240" i="2" s="1"/>
  <c r="V241" i="2"/>
  <c r="X249" i="2"/>
  <c r="Y249" i="2" s="1"/>
  <c r="Z249" i="2" s="1"/>
  <c r="V250" i="2"/>
  <c r="X258" i="2"/>
  <c r="Y258" i="2" s="1"/>
  <c r="Z258" i="2" s="1"/>
  <c r="V259" i="2"/>
  <c r="AE266" i="2"/>
  <c r="AE267" i="2"/>
  <c r="AE268" i="2"/>
  <c r="X274" i="2"/>
  <c r="Y274" i="2" s="1"/>
  <c r="Z274" i="2" s="1"/>
  <c r="AE283" i="2"/>
  <c r="Y295" i="2"/>
  <c r="Z295" i="2" s="1"/>
  <c r="W295" i="2"/>
  <c r="V295" i="2"/>
  <c r="V298" i="2"/>
  <c r="AE310" i="2"/>
  <c r="Y310" i="2"/>
  <c r="Z310" i="2" s="1"/>
  <c r="W310" i="2"/>
  <c r="AE318" i="2"/>
  <c r="W318" i="2"/>
  <c r="AE326" i="2"/>
  <c r="Y326" i="2"/>
  <c r="Z326" i="2" s="1"/>
  <c r="W326" i="2"/>
  <c r="Y335" i="2"/>
  <c r="Z335" i="2" s="1"/>
  <c r="X335" i="2"/>
  <c r="W335" i="2"/>
  <c r="V335" i="2"/>
  <c r="X338" i="2"/>
  <c r="X346" i="2"/>
  <c r="Y346" i="2" s="1"/>
  <c r="Z346" i="2" s="1"/>
  <c r="AE354" i="2"/>
  <c r="Y354" i="2"/>
  <c r="Z354" i="2" s="1"/>
  <c r="W354" i="2"/>
  <c r="X366" i="2"/>
  <c r="Y366" i="2" s="1"/>
  <c r="Z366" i="2" s="1"/>
  <c r="AE374" i="2"/>
  <c r="Y374" i="2"/>
  <c r="Z374" i="2" s="1"/>
  <c r="W374" i="2"/>
  <c r="Y383" i="2"/>
  <c r="Z383" i="2" s="1"/>
  <c r="X383" i="2"/>
  <c r="W383" i="2"/>
  <c r="V383" i="2"/>
  <c r="AE387" i="2"/>
  <c r="V394" i="2"/>
  <c r="X415" i="2"/>
  <c r="Y415" i="2" s="1"/>
  <c r="Z415" i="2" s="1"/>
  <c r="W415" i="2"/>
  <c r="V415" i="2"/>
  <c r="X427" i="2"/>
  <c r="Y427" i="2" s="1"/>
  <c r="Z427" i="2" s="1"/>
  <c r="W427" i="2"/>
  <c r="V427" i="2"/>
  <c r="X553" i="2"/>
  <c r="Y553" i="2" s="1"/>
  <c r="Z553" i="2" s="1"/>
  <c r="Z451" i="2"/>
  <c r="W451" i="2"/>
  <c r="Z463" i="2"/>
  <c r="W463" i="2"/>
  <c r="W512" i="2"/>
  <c r="V512" i="2"/>
  <c r="AE512" i="2"/>
  <c r="W536" i="2"/>
  <c r="V536" i="2"/>
  <c r="AE536" i="2"/>
  <c r="X567" i="2"/>
  <c r="Y567" i="2" s="1"/>
  <c r="Z567" i="2" s="1"/>
  <c r="W567" i="2"/>
  <c r="V567" i="2"/>
  <c r="AE567" i="2"/>
  <c r="X595" i="2"/>
  <c r="Y595" i="2" s="1"/>
  <c r="Z595" i="2" s="1"/>
  <c r="W595" i="2"/>
  <c r="V595" i="2"/>
  <c r="AE595" i="2"/>
  <c r="W414" i="2"/>
  <c r="W418" i="2"/>
  <c r="W422" i="2"/>
  <c r="W426" i="2"/>
  <c r="W430" i="2"/>
  <c r="W434" i="2"/>
  <c r="W438" i="2"/>
  <c r="W442" i="2"/>
  <c r="W446" i="2"/>
  <c r="X451" i="2"/>
  <c r="X457" i="2"/>
  <c r="X463" i="2"/>
  <c r="X470" i="2"/>
  <c r="Y470" i="2" s="1"/>
  <c r="Z470" i="2" s="1"/>
  <c r="W508" i="2"/>
  <c r="V508" i="2"/>
  <c r="AE508" i="2"/>
  <c r="Y512" i="2"/>
  <c r="Z512" i="2" s="1"/>
  <c r="W532" i="2"/>
  <c r="V532" i="2"/>
  <c r="AE532" i="2"/>
  <c r="Y536" i="2"/>
  <c r="Z536" i="2" s="1"/>
  <c r="AE565" i="2"/>
  <c r="X565" i="2"/>
  <c r="Y565" i="2" s="1"/>
  <c r="Z565" i="2" s="1"/>
  <c r="W565" i="2"/>
  <c r="X587" i="2"/>
  <c r="Y587" i="2" s="1"/>
  <c r="Z587" i="2" s="1"/>
  <c r="W587" i="2"/>
  <c r="V587" i="2"/>
  <c r="AE587" i="2"/>
  <c r="AE684" i="2"/>
  <c r="X684" i="2"/>
  <c r="Y684" i="2" s="1"/>
  <c r="Z684" i="2" s="1"/>
  <c r="W684" i="2"/>
  <c r="V684" i="2"/>
  <c r="AE300" i="2"/>
  <c r="AE304" i="2"/>
  <c r="AE308" i="2"/>
  <c r="AE312" i="2"/>
  <c r="AE316" i="2"/>
  <c r="AE320" i="2"/>
  <c r="AE324" i="2"/>
  <c r="AE328" i="2"/>
  <c r="AE332" i="2"/>
  <c r="AE336" i="2"/>
  <c r="AE340" i="2"/>
  <c r="AE344" i="2"/>
  <c r="AE348" i="2"/>
  <c r="AE352" i="2"/>
  <c r="AE356" i="2"/>
  <c r="Y414" i="2"/>
  <c r="Z414" i="2" s="1"/>
  <c r="Y418" i="2"/>
  <c r="Z418" i="2" s="1"/>
  <c r="Y426" i="2"/>
  <c r="Z426" i="2" s="1"/>
  <c r="Y430" i="2"/>
  <c r="Z430" i="2" s="1"/>
  <c r="Y434" i="2"/>
  <c r="Z434" i="2" s="1"/>
  <c r="Y442" i="2"/>
  <c r="Z442" i="2" s="1"/>
  <c r="Y446" i="2"/>
  <c r="Z446" i="2" s="1"/>
  <c r="W458" i="2"/>
  <c r="W459" i="2"/>
  <c r="W474" i="2"/>
  <c r="W475" i="2"/>
  <c r="W476" i="2"/>
  <c r="V476" i="2"/>
  <c r="AE477" i="2"/>
  <c r="W477" i="2"/>
  <c r="W504" i="2"/>
  <c r="V504" i="2"/>
  <c r="AE504" i="2"/>
  <c r="Y508" i="2"/>
  <c r="Z508" i="2" s="1"/>
  <c r="W528" i="2"/>
  <c r="V528" i="2"/>
  <c r="AE528" i="2"/>
  <c r="Y532" i="2"/>
  <c r="Z532" i="2" s="1"/>
  <c r="AE549" i="2"/>
  <c r="W549" i="2"/>
  <c r="W550" i="2"/>
  <c r="X551" i="2"/>
  <c r="Y551" i="2" s="1"/>
  <c r="Z551" i="2" s="1"/>
  <c r="W551" i="2"/>
  <c r="V551" i="2"/>
  <c r="X579" i="2"/>
  <c r="Y579" i="2" s="1"/>
  <c r="Z579" i="2" s="1"/>
  <c r="W579" i="2"/>
  <c r="V579" i="2"/>
  <c r="AE579" i="2"/>
  <c r="AE449" i="2"/>
  <c r="X458" i="2"/>
  <c r="Y458" i="2" s="1"/>
  <c r="Z458" i="2" s="1"/>
  <c r="V459" i="2"/>
  <c r="AE461" i="2"/>
  <c r="X474" i="2"/>
  <c r="V475" i="2"/>
  <c r="X476" i="2"/>
  <c r="Y476" i="2" s="1"/>
  <c r="Z476" i="2" s="1"/>
  <c r="V477" i="2"/>
  <c r="AE501" i="2"/>
  <c r="Z501" i="2"/>
  <c r="W501" i="2"/>
  <c r="Y502" i="2"/>
  <c r="Z502" i="2" s="1"/>
  <c r="W502" i="2"/>
  <c r="Y503" i="2"/>
  <c r="Z503" i="2" s="1"/>
  <c r="W503" i="2"/>
  <c r="V503" i="2"/>
  <c r="X504" i="2"/>
  <c r="Y504" i="2" s="1"/>
  <c r="Z504" i="2" s="1"/>
  <c r="AE525" i="2"/>
  <c r="W525" i="2"/>
  <c r="Y526" i="2"/>
  <c r="Z526" i="2" s="1"/>
  <c r="W526" i="2"/>
  <c r="Y527" i="2"/>
  <c r="Z527" i="2" s="1"/>
  <c r="W527" i="2"/>
  <c r="V527" i="2"/>
  <c r="X528" i="2"/>
  <c r="Y528" i="2" s="1"/>
  <c r="Z528" i="2" s="1"/>
  <c r="V549" i="2"/>
  <c r="V550" i="2"/>
  <c r="X599" i="2"/>
  <c r="Y599" i="2" s="1"/>
  <c r="Z599" i="2" s="1"/>
  <c r="W599" i="2"/>
  <c r="V599" i="2"/>
  <c r="AE599" i="2"/>
  <c r="W718" i="2"/>
  <c r="V718" i="2"/>
  <c r="AE718" i="2"/>
  <c r="X718" i="2"/>
  <c r="Y718" i="2" s="1"/>
  <c r="Z718" i="2" s="1"/>
  <c r="X459" i="2"/>
  <c r="Y459" i="2" s="1"/>
  <c r="Z459" i="2" s="1"/>
  <c r="Y474" i="2"/>
  <c r="Z474" i="2" s="1"/>
  <c r="X475" i="2"/>
  <c r="Y475" i="2" s="1"/>
  <c r="Z475" i="2" s="1"/>
  <c r="X477" i="2"/>
  <c r="Y477" i="2" s="1"/>
  <c r="Z477" i="2" s="1"/>
  <c r="W500" i="2"/>
  <c r="V500" i="2"/>
  <c r="AE500" i="2"/>
  <c r="W524" i="2"/>
  <c r="V524" i="2"/>
  <c r="AE524" i="2"/>
  <c r="X549" i="2"/>
  <c r="Y549" i="2" s="1"/>
  <c r="Z549" i="2" s="1"/>
  <c r="X550" i="2"/>
  <c r="Y550" i="2" s="1"/>
  <c r="Z550" i="2" s="1"/>
  <c r="X563" i="2"/>
  <c r="Y563" i="2" s="1"/>
  <c r="Z563" i="2" s="1"/>
  <c r="W563" i="2"/>
  <c r="V563" i="2"/>
  <c r="AE563" i="2"/>
  <c r="X571" i="2"/>
  <c r="Y571" i="2" s="1"/>
  <c r="Z571" i="2" s="1"/>
  <c r="W571" i="2"/>
  <c r="V571" i="2"/>
  <c r="AE571" i="2"/>
  <c r="W722" i="2"/>
  <c r="V722" i="2"/>
  <c r="AE722" i="2"/>
  <c r="X722" i="2"/>
  <c r="Y722" i="2" s="1"/>
  <c r="Z722" i="2" s="1"/>
  <c r="X735" i="2"/>
  <c r="Y735" i="2" s="1"/>
  <c r="Z735" i="2" s="1"/>
  <c r="W735" i="2"/>
  <c r="V735" i="2"/>
  <c r="AE735" i="2"/>
  <c r="V300" i="2"/>
  <c r="V304" i="2"/>
  <c r="V308" i="2"/>
  <c r="V312" i="2"/>
  <c r="V316" i="2"/>
  <c r="V320" i="2"/>
  <c r="V324" i="2"/>
  <c r="V328" i="2"/>
  <c r="V332" i="2"/>
  <c r="V336" i="2"/>
  <c r="V340" i="2"/>
  <c r="V344" i="2"/>
  <c r="V348" i="2"/>
  <c r="V352" i="2"/>
  <c r="V356" i="2"/>
  <c r="V360" i="2"/>
  <c r="V364" i="2"/>
  <c r="V368" i="2"/>
  <c r="V372" i="2"/>
  <c r="V376" i="2"/>
  <c r="V380" i="2"/>
  <c r="V384" i="2"/>
  <c r="V388" i="2"/>
  <c r="V392" i="2"/>
  <c r="V396" i="2"/>
  <c r="V400" i="2"/>
  <c r="V404" i="2"/>
  <c r="V408" i="2"/>
  <c r="V412" i="2"/>
  <c r="V416" i="2"/>
  <c r="V420" i="2"/>
  <c r="V424" i="2"/>
  <c r="V428" i="2"/>
  <c r="V432" i="2"/>
  <c r="V436" i="2"/>
  <c r="V440" i="2"/>
  <c r="V444" i="2"/>
  <c r="V454" i="2"/>
  <c r="V466" i="2"/>
  <c r="W479" i="2"/>
  <c r="W480" i="2"/>
  <c r="V480" i="2"/>
  <c r="AE481" i="2"/>
  <c r="W481" i="2"/>
  <c r="W482" i="2"/>
  <c r="AE497" i="2"/>
  <c r="W497" i="2"/>
  <c r="W498" i="2"/>
  <c r="Y499" i="2"/>
  <c r="Z499" i="2" s="1"/>
  <c r="W499" i="2"/>
  <c r="V499" i="2"/>
  <c r="AE521" i="2"/>
  <c r="W521" i="2"/>
  <c r="W522" i="2"/>
  <c r="Y523" i="2"/>
  <c r="Z523" i="2" s="1"/>
  <c r="W523" i="2"/>
  <c r="V523" i="2"/>
  <c r="AE545" i="2"/>
  <c r="W545" i="2"/>
  <c r="W546" i="2"/>
  <c r="X547" i="2"/>
  <c r="Y547" i="2" s="1"/>
  <c r="Z547" i="2" s="1"/>
  <c r="W547" i="2"/>
  <c r="V547" i="2"/>
  <c r="AE561" i="2"/>
  <c r="X561" i="2"/>
  <c r="Y561" i="2" s="1"/>
  <c r="Z561" i="2" s="1"/>
  <c r="W561" i="2"/>
  <c r="X591" i="2"/>
  <c r="Y591" i="2" s="1"/>
  <c r="Z591" i="2" s="1"/>
  <c r="W591" i="2"/>
  <c r="V591" i="2"/>
  <c r="AE591" i="2"/>
  <c r="AE700" i="2"/>
  <c r="X700" i="2"/>
  <c r="Y700" i="2" s="1"/>
  <c r="Z700" i="2" s="1"/>
  <c r="W700" i="2"/>
  <c r="V700" i="2"/>
  <c r="W300" i="2"/>
  <c r="W304" i="2"/>
  <c r="W308" i="2"/>
  <c r="W312" i="2"/>
  <c r="W316" i="2"/>
  <c r="W320" i="2"/>
  <c r="W324" i="2"/>
  <c r="W328" i="2"/>
  <c r="W332" i="2"/>
  <c r="W336" i="2"/>
  <c r="W340" i="2"/>
  <c r="W344" i="2"/>
  <c r="W348" i="2"/>
  <c r="W352" i="2"/>
  <c r="W356" i="2"/>
  <c r="W360" i="2"/>
  <c r="W364" i="2"/>
  <c r="W368" i="2"/>
  <c r="W372" i="2"/>
  <c r="W376" i="2"/>
  <c r="W380" i="2"/>
  <c r="W384" i="2"/>
  <c r="W388" i="2"/>
  <c r="W392" i="2"/>
  <c r="W396" i="2"/>
  <c r="W400" i="2"/>
  <c r="W404" i="2"/>
  <c r="AE451" i="2"/>
  <c r="Z455" i="2"/>
  <c r="W455" i="2"/>
  <c r="AE463" i="2"/>
  <c r="Y467" i="2"/>
  <c r="Z467" i="2" s="1"/>
  <c r="W467" i="2"/>
  <c r="W468" i="2"/>
  <c r="V468" i="2"/>
  <c r="Y483" i="2"/>
  <c r="Z483" i="2" s="1"/>
  <c r="W483" i="2"/>
  <c r="W484" i="2"/>
  <c r="V484" i="2"/>
  <c r="Z484" i="2"/>
  <c r="AE485" i="2"/>
  <c r="W485" i="2"/>
  <c r="Z486" i="2"/>
  <c r="W486" i="2"/>
  <c r="W496" i="2"/>
  <c r="V496" i="2"/>
  <c r="AE496" i="2"/>
  <c r="W520" i="2"/>
  <c r="V520" i="2"/>
  <c r="AE520" i="2"/>
  <c r="Z520" i="2"/>
  <c r="W544" i="2"/>
  <c r="V544" i="2"/>
  <c r="AE544" i="2"/>
  <c r="Y611" i="2"/>
  <c r="Z611" i="2" s="1"/>
  <c r="X611" i="2"/>
  <c r="W611" i="2"/>
  <c r="V611" i="2"/>
  <c r="AE611" i="2"/>
  <c r="X454" i="2"/>
  <c r="Y454" i="2" s="1"/>
  <c r="Z454" i="2" s="1"/>
  <c r="V455" i="2"/>
  <c r="X466" i="2"/>
  <c r="Y466" i="2" s="1"/>
  <c r="Z466" i="2" s="1"/>
  <c r="V467" i="2"/>
  <c r="X468" i="2"/>
  <c r="Y468" i="2" s="1"/>
  <c r="Z468" i="2" s="1"/>
  <c r="X479" i="2"/>
  <c r="Y479" i="2" s="1"/>
  <c r="Z479" i="2" s="1"/>
  <c r="Y480" i="2"/>
  <c r="Z480" i="2" s="1"/>
  <c r="X481" i="2"/>
  <c r="Y481" i="2" s="1"/>
  <c r="Z481" i="2" s="1"/>
  <c r="X482" i="2"/>
  <c r="Y482" i="2" s="1"/>
  <c r="Z482" i="2" s="1"/>
  <c r="V483" i="2"/>
  <c r="X484" i="2"/>
  <c r="V485" i="2"/>
  <c r="V486" i="2"/>
  <c r="Y487" i="2"/>
  <c r="Z487" i="2" s="1"/>
  <c r="W487" i="2"/>
  <c r="W488" i="2"/>
  <c r="V488" i="2"/>
  <c r="Z488" i="2"/>
  <c r="AE489" i="2"/>
  <c r="Z489" i="2"/>
  <c r="W489" i="2"/>
  <c r="W490" i="2"/>
  <c r="AE493" i="2"/>
  <c r="W493" i="2"/>
  <c r="Y494" i="2"/>
  <c r="Z494" i="2" s="1"/>
  <c r="W494" i="2"/>
  <c r="Y495" i="2"/>
  <c r="Z495" i="2" s="1"/>
  <c r="W495" i="2"/>
  <c r="V495" i="2"/>
  <c r="X496" i="2"/>
  <c r="Y496" i="2" s="1"/>
  <c r="Z496" i="2" s="1"/>
  <c r="X497" i="2"/>
  <c r="X498" i="2"/>
  <c r="Y498" i="2" s="1"/>
  <c r="Z498" i="2" s="1"/>
  <c r="AE517" i="2"/>
  <c r="Z517" i="2"/>
  <c r="W517" i="2"/>
  <c r="Y518" i="2"/>
  <c r="Z518" i="2" s="1"/>
  <c r="W518" i="2"/>
  <c r="W519" i="2"/>
  <c r="V519" i="2"/>
  <c r="X520" i="2"/>
  <c r="X521" i="2"/>
  <c r="Y521" i="2" s="1"/>
  <c r="Z521" i="2" s="1"/>
  <c r="X522" i="2"/>
  <c r="Y522" i="2" s="1"/>
  <c r="Z522" i="2" s="1"/>
  <c r="AE541" i="2"/>
  <c r="W541" i="2"/>
  <c r="Y542" i="2"/>
  <c r="Z542" i="2" s="1"/>
  <c r="W542" i="2"/>
  <c r="Y543" i="2"/>
  <c r="Z543" i="2" s="1"/>
  <c r="W543" i="2"/>
  <c r="V543" i="2"/>
  <c r="X544" i="2"/>
  <c r="Y544" i="2" s="1"/>
  <c r="Z544" i="2" s="1"/>
  <c r="X545" i="2"/>
  <c r="Y545" i="2" s="1"/>
  <c r="Z545" i="2" s="1"/>
  <c r="X546" i="2"/>
  <c r="Y546" i="2" s="1"/>
  <c r="Z546" i="2" s="1"/>
  <c r="AE551" i="2"/>
  <c r="X583" i="2"/>
  <c r="Y583" i="2" s="1"/>
  <c r="Z583" i="2" s="1"/>
  <c r="W583" i="2"/>
  <c r="V583" i="2"/>
  <c r="AE583" i="2"/>
  <c r="W717" i="2"/>
  <c r="AE717" i="2"/>
  <c r="X717" i="2"/>
  <c r="Y717" i="2" s="1"/>
  <c r="Z717" i="2" s="1"/>
  <c r="V717" i="2"/>
  <c r="Z450" i="2"/>
  <c r="Z462" i="2"/>
  <c r="Y491" i="2"/>
  <c r="Z491" i="2" s="1"/>
  <c r="W491" i="2"/>
  <c r="W492" i="2"/>
  <c r="V492" i="2"/>
  <c r="AE492" i="2"/>
  <c r="Z492" i="2"/>
  <c r="W516" i="2"/>
  <c r="V516" i="2"/>
  <c r="AE516" i="2"/>
  <c r="W540" i="2"/>
  <c r="V540" i="2"/>
  <c r="AE540" i="2"/>
  <c r="Z540" i="2"/>
  <c r="AE557" i="2"/>
  <c r="W557" i="2"/>
  <c r="Y558" i="2"/>
  <c r="Z558" i="2" s="1"/>
  <c r="W558" i="2"/>
  <c r="X559" i="2"/>
  <c r="Y559" i="2" s="1"/>
  <c r="Z559" i="2" s="1"/>
  <c r="W559" i="2"/>
  <c r="V559" i="2"/>
  <c r="X603" i="2"/>
  <c r="Y603" i="2" s="1"/>
  <c r="Z603" i="2" s="1"/>
  <c r="W603" i="2"/>
  <c r="V603" i="2"/>
  <c r="AE603" i="2"/>
  <c r="W721" i="2"/>
  <c r="AE721" i="2"/>
  <c r="X721" i="2"/>
  <c r="Y721" i="2" s="1"/>
  <c r="Z721" i="2" s="1"/>
  <c r="V721" i="2"/>
  <c r="AE513" i="2"/>
  <c r="Z513" i="2"/>
  <c r="W513" i="2"/>
  <c r="Y514" i="2"/>
  <c r="Z514" i="2" s="1"/>
  <c r="W514" i="2"/>
  <c r="Y515" i="2"/>
  <c r="Z515" i="2" s="1"/>
  <c r="W515" i="2"/>
  <c r="V515" i="2"/>
  <c r="AE537" i="2"/>
  <c r="W537" i="2"/>
  <c r="Y538" i="2"/>
  <c r="Z538" i="2" s="1"/>
  <c r="W538" i="2"/>
  <c r="Y539" i="2"/>
  <c r="Z539" i="2" s="1"/>
  <c r="W539" i="2"/>
  <c r="V539" i="2"/>
  <c r="X575" i="2"/>
  <c r="Y575" i="2" s="1"/>
  <c r="Z575" i="2" s="1"/>
  <c r="W575" i="2"/>
  <c r="V575" i="2"/>
  <c r="AE575" i="2"/>
  <c r="W683" i="2"/>
  <c r="V683" i="2"/>
  <c r="W698" i="2"/>
  <c r="W699" i="2"/>
  <c r="V699" i="2"/>
  <c r="W714" i="2"/>
  <c r="W715" i="2"/>
  <c r="V715" i="2"/>
  <c r="AE715" i="2"/>
  <c r="AE716" i="2"/>
  <c r="W719" i="2"/>
  <c r="V719" i="2"/>
  <c r="AE719" i="2"/>
  <c r="AE720" i="2"/>
  <c r="X723" i="2"/>
  <c r="W723" i="2"/>
  <c r="V723" i="2"/>
  <c r="AE723" i="2"/>
  <c r="W725" i="2"/>
  <c r="AE832" i="2"/>
  <c r="X832" i="2"/>
  <c r="Y832" i="2" s="1"/>
  <c r="Z832" i="2" s="1"/>
  <c r="W832" i="2"/>
  <c r="V832" i="2"/>
  <c r="W900" i="2"/>
  <c r="AE900" i="2"/>
  <c r="X900" i="2"/>
  <c r="Y900" i="2" s="1"/>
  <c r="Z900" i="2" s="1"/>
  <c r="V900" i="2"/>
  <c r="Z552" i="2"/>
  <c r="Z560" i="2"/>
  <c r="Z564" i="2"/>
  <c r="W569" i="2"/>
  <c r="W573" i="2"/>
  <c r="W577" i="2"/>
  <c r="W581" i="2"/>
  <c r="Z584" i="2"/>
  <c r="W585" i="2"/>
  <c r="Z588" i="2"/>
  <c r="W589" i="2"/>
  <c r="W593" i="2"/>
  <c r="W597" i="2"/>
  <c r="Z600" i="2"/>
  <c r="W601" i="2"/>
  <c r="Z604" i="2"/>
  <c r="W605" i="2"/>
  <c r="Z608" i="2"/>
  <c r="W609" i="2"/>
  <c r="W613" i="2"/>
  <c r="W617" i="2"/>
  <c r="W621" i="2"/>
  <c r="Z624" i="2"/>
  <c r="W625" i="2"/>
  <c r="W629" i="2"/>
  <c r="W633" i="2"/>
  <c r="W637" i="2"/>
  <c r="W641" i="2"/>
  <c r="W645" i="2"/>
  <c r="W649" i="2"/>
  <c r="W653" i="2"/>
  <c r="W657" i="2"/>
  <c r="Z660" i="2"/>
  <c r="W661" i="2"/>
  <c r="W665" i="2"/>
  <c r="W669" i="2"/>
  <c r="X674" i="2"/>
  <c r="Y674" i="2" s="1"/>
  <c r="Z674" i="2" s="1"/>
  <c r="Y683" i="2"/>
  <c r="Z683" i="2" s="1"/>
  <c r="Z685" i="2"/>
  <c r="W685" i="2"/>
  <c r="X698" i="2"/>
  <c r="Y698" i="2" s="1"/>
  <c r="Z698" i="2" s="1"/>
  <c r="Y699" i="2"/>
  <c r="Z699" i="2" s="1"/>
  <c r="W701" i="2"/>
  <c r="X714" i="2"/>
  <c r="Y714" i="2" s="1"/>
  <c r="Z714" i="2" s="1"/>
  <c r="Y715" i="2"/>
  <c r="Z715" i="2" s="1"/>
  <c r="W716" i="2"/>
  <c r="Y719" i="2"/>
  <c r="Z719" i="2" s="1"/>
  <c r="W720" i="2"/>
  <c r="Z723" i="2"/>
  <c r="X725" i="2"/>
  <c r="Y725" i="2" s="1"/>
  <c r="Z725" i="2" s="1"/>
  <c r="X569" i="2"/>
  <c r="Y569" i="2" s="1"/>
  <c r="Z569" i="2" s="1"/>
  <c r="X573" i="2"/>
  <c r="Y573" i="2" s="1"/>
  <c r="Z573" i="2" s="1"/>
  <c r="X577" i="2"/>
  <c r="X581" i="2"/>
  <c r="Y581" i="2" s="1"/>
  <c r="Z581" i="2" s="1"/>
  <c r="X585" i="2"/>
  <c r="Y585" i="2" s="1"/>
  <c r="Z585" i="2" s="1"/>
  <c r="X589" i="2"/>
  <c r="Y589" i="2" s="1"/>
  <c r="Z589" i="2" s="1"/>
  <c r="X593" i="2"/>
  <c r="X597" i="2"/>
  <c r="Y597" i="2" s="1"/>
  <c r="Z597" i="2" s="1"/>
  <c r="X601" i="2"/>
  <c r="Y601" i="2" s="1"/>
  <c r="Z601" i="2" s="1"/>
  <c r="X605" i="2"/>
  <c r="Y605" i="2" s="1"/>
  <c r="Z605" i="2" s="1"/>
  <c r="X609" i="2"/>
  <c r="Y609" i="2" s="1"/>
  <c r="Z609" i="2" s="1"/>
  <c r="X613" i="2"/>
  <c r="Y613" i="2" s="1"/>
  <c r="Z613" i="2" s="1"/>
  <c r="X617" i="2"/>
  <c r="Y617" i="2" s="1"/>
  <c r="Z617" i="2" s="1"/>
  <c r="X621" i="2"/>
  <c r="Y621" i="2" s="1"/>
  <c r="Z621" i="2" s="1"/>
  <c r="X625" i="2"/>
  <c r="Y625" i="2" s="1"/>
  <c r="Z625" i="2" s="1"/>
  <c r="X629" i="2"/>
  <c r="X633" i="2"/>
  <c r="Y633" i="2" s="1"/>
  <c r="Z633" i="2" s="1"/>
  <c r="X637" i="2"/>
  <c r="Y637" i="2" s="1"/>
  <c r="Z637" i="2" s="1"/>
  <c r="X641" i="2"/>
  <c r="Y641" i="2" s="1"/>
  <c r="Z641" i="2" s="1"/>
  <c r="X645" i="2"/>
  <c r="Y645" i="2" s="1"/>
  <c r="Z645" i="2" s="1"/>
  <c r="X649" i="2"/>
  <c r="Y649" i="2" s="1"/>
  <c r="Z649" i="2" s="1"/>
  <c r="X653" i="2"/>
  <c r="Y653" i="2" s="1"/>
  <c r="Z653" i="2" s="1"/>
  <c r="X657" i="2"/>
  <c r="Y657" i="2" s="1"/>
  <c r="Z657" i="2" s="1"/>
  <c r="X661" i="2"/>
  <c r="X665" i="2"/>
  <c r="Y665" i="2" s="1"/>
  <c r="Z665" i="2" s="1"/>
  <c r="X669" i="2"/>
  <c r="Y669" i="2" s="1"/>
  <c r="Z669" i="2" s="1"/>
  <c r="W686" i="2"/>
  <c r="W687" i="2"/>
  <c r="V687" i="2"/>
  <c r="W702" i="2"/>
  <c r="W703" i="2"/>
  <c r="V703" i="2"/>
  <c r="X716" i="2"/>
  <c r="Y716" i="2" s="1"/>
  <c r="Z716" i="2" s="1"/>
  <c r="X720" i="2"/>
  <c r="Y720" i="2" s="1"/>
  <c r="Z720" i="2" s="1"/>
  <c r="X747" i="2"/>
  <c r="Y747" i="2" s="1"/>
  <c r="Z747" i="2" s="1"/>
  <c r="W747" i="2"/>
  <c r="V747" i="2"/>
  <c r="AE747" i="2"/>
  <c r="V574" i="2"/>
  <c r="Y577" i="2"/>
  <c r="Z577" i="2" s="1"/>
  <c r="V578" i="2"/>
  <c r="V582" i="2"/>
  <c r="V586" i="2"/>
  <c r="V590" i="2"/>
  <c r="Y593" i="2"/>
  <c r="Z593" i="2" s="1"/>
  <c r="V594" i="2"/>
  <c r="V598" i="2"/>
  <c r="V602" i="2"/>
  <c r="V606" i="2"/>
  <c r="V610" i="2"/>
  <c r="V614" i="2"/>
  <c r="V618" i="2"/>
  <c r="Y629" i="2"/>
  <c r="Z629" i="2" s="1"/>
  <c r="Y661" i="2"/>
  <c r="Z661" i="2" s="1"/>
  <c r="AE676" i="2"/>
  <c r="AE688" i="2"/>
  <c r="AE704" i="2"/>
  <c r="W912" i="2"/>
  <c r="AE912" i="2"/>
  <c r="X912" i="2"/>
  <c r="Y912" i="2" s="1"/>
  <c r="Z912" i="2" s="1"/>
  <c r="V912" i="2"/>
  <c r="W562" i="2"/>
  <c r="W566" i="2"/>
  <c r="W570" i="2"/>
  <c r="W574" i="2"/>
  <c r="W578" i="2"/>
  <c r="W582" i="2"/>
  <c r="W586" i="2"/>
  <c r="W590" i="2"/>
  <c r="W594" i="2"/>
  <c r="W598" i="2"/>
  <c r="W602" i="2"/>
  <c r="W606" i="2"/>
  <c r="W610" i="2"/>
  <c r="W614" i="2"/>
  <c r="W618" i="2"/>
  <c r="W622" i="2"/>
  <c r="W626" i="2"/>
  <c r="W630" i="2"/>
  <c r="W634" i="2"/>
  <c r="W638" i="2"/>
  <c r="W642" i="2"/>
  <c r="W646" i="2"/>
  <c r="W650" i="2"/>
  <c r="W654" i="2"/>
  <c r="W658" i="2"/>
  <c r="W662" i="2"/>
  <c r="V676" i="2"/>
  <c r="W677" i="2"/>
  <c r="X686" i="2"/>
  <c r="Y686" i="2" s="1"/>
  <c r="Z686" i="2" s="1"/>
  <c r="Y687" i="2"/>
  <c r="Z687" i="2" s="1"/>
  <c r="V688" i="2"/>
  <c r="W689" i="2"/>
  <c r="X702" i="2"/>
  <c r="Y702" i="2" s="1"/>
  <c r="Z702" i="2" s="1"/>
  <c r="Y703" i="2"/>
  <c r="Z703" i="2" s="1"/>
  <c r="V704" i="2"/>
  <c r="W705" i="2"/>
  <c r="Y733" i="2"/>
  <c r="Z733" i="2" s="1"/>
  <c r="X733" i="2"/>
  <c r="W733" i="2"/>
  <c r="AE733" i="2"/>
  <c r="X854" i="2"/>
  <c r="Y854" i="2" s="1"/>
  <c r="Z854" i="2" s="1"/>
  <c r="W854" i="2"/>
  <c r="V854" i="2"/>
  <c r="AE854" i="2"/>
  <c r="X618" i="2"/>
  <c r="X622" i="2"/>
  <c r="Y622" i="2" s="1"/>
  <c r="Z622" i="2" s="1"/>
  <c r="X626" i="2"/>
  <c r="Y626" i="2" s="1"/>
  <c r="Z626" i="2" s="1"/>
  <c r="X630" i="2"/>
  <c r="Y630" i="2" s="1"/>
  <c r="Z630" i="2" s="1"/>
  <c r="X634" i="2"/>
  <c r="Y634" i="2" s="1"/>
  <c r="Z634" i="2" s="1"/>
  <c r="X638" i="2"/>
  <c r="Y638" i="2" s="1"/>
  <c r="Z638" i="2" s="1"/>
  <c r="X642" i="2"/>
  <c r="Y642" i="2" s="1"/>
  <c r="Z642" i="2" s="1"/>
  <c r="X646" i="2"/>
  <c r="Y646" i="2" s="1"/>
  <c r="Z646" i="2" s="1"/>
  <c r="X650" i="2"/>
  <c r="Y650" i="2" s="1"/>
  <c r="Z650" i="2" s="1"/>
  <c r="X654" i="2"/>
  <c r="X658" i="2"/>
  <c r="Y658" i="2" s="1"/>
  <c r="Z658" i="2" s="1"/>
  <c r="X662" i="2"/>
  <c r="Y662" i="2" s="1"/>
  <c r="Z662" i="2" s="1"/>
  <c r="X666" i="2"/>
  <c r="Y666" i="2" s="1"/>
  <c r="Z666" i="2" s="1"/>
  <c r="X670" i="2"/>
  <c r="Y670" i="2" s="1"/>
  <c r="Z670" i="2" s="1"/>
  <c r="W676" i="2"/>
  <c r="V677" i="2"/>
  <c r="W678" i="2"/>
  <c r="W688" i="2"/>
  <c r="V689" i="2"/>
  <c r="Y690" i="2"/>
  <c r="Z690" i="2" s="1"/>
  <c r="W690" i="2"/>
  <c r="W691" i="2"/>
  <c r="V691" i="2"/>
  <c r="W704" i="2"/>
  <c r="V705" i="2"/>
  <c r="W706" i="2"/>
  <c r="W707" i="2"/>
  <c r="V707" i="2"/>
  <c r="AE725" i="2"/>
  <c r="X731" i="2"/>
  <c r="Y731" i="2" s="1"/>
  <c r="Z731" i="2" s="1"/>
  <c r="W731" i="2"/>
  <c r="V731" i="2"/>
  <c r="AE731" i="2"/>
  <c r="V733" i="2"/>
  <c r="X739" i="2"/>
  <c r="Y739" i="2" s="1"/>
  <c r="Z739" i="2" s="1"/>
  <c r="W739" i="2"/>
  <c r="V739" i="2"/>
  <c r="AE739" i="2"/>
  <c r="AE548" i="2"/>
  <c r="AE552" i="2"/>
  <c r="AE556" i="2"/>
  <c r="AE560" i="2"/>
  <c r="AE564" i="2"/>
  <c r="AE568" i="2"/>
  <c r="Y570" i="2"/>
  <c r="Z570" i="2" s="1"/>
  <c r="AE572" i="2"/>
  <c r="AE576" i="2"/>
  <c r="Y578" i="2"/>
  <c r="Z578" i="2" s="1"/>
  <c r="AE580" i="2"/>
  <c r="Y582" i="2"/>
  <c r="Z582" i="2" s="1"/>
  <c r="AE584" i="2"/>
  <c r="Y586" i="2"/>
  <c r="Z586" i="2" s="1"/>
  <c r="AE588" i="2"/>
  <c r="Y590" i="2"/>
  <c r="Z590" i="2" s="1"/>
  <c r="AE592" i="2"/>
  <c r="Y594" i="2"/>
  <c r="Z594" i="2" s="1"/>
  <c r="AE596" i="2"/>
  <c r="AE600" i="2"/>
  <c r="AE604" i="2"/>
  <c r="Y606" i="2"/>
  <c r="Z606" i="2" s="1"/>
  <c r="AE608" i="2"/>
  <c r="Y610" i="2"/>
  <c r="Z610" i="2" s="1"/>
  <c r="AE612" i="2"/>
  <c r="Y614" i="2"/>
  <c r="Z614" i="2" s="1"/>
  <c r="AE616" i="2"/>
  <c r="Y618" i="2"/>
  <c r="Z618" i="2" s="1"/>
  <c r="V619" i="2"/>
  <c r="AE620" i="2"/>
  <c r="V623" i="2"/>
  <c r="AE624" i="2"/>
  <c r="V627" i="2"/>
  <c r="AE628" i="2"/>
  <c r="V631" i="2"/>
  <c r="AE632" i="2"/>
  <c r="V635" i="2"/>
  <c r="AE636" i="2"/>
  <c r="V639" i="2"/>
  <c r="AE640" i="2"/>
  <c r="V643" i="2"/>
  <c r="AE644" i="2"/>
  <c r="V647" i="2"/>
  <c r="V651" i="2"/>
  <c r="Y654" i="2"/>
  <c r="Z654" i="2" s="1"/>
  <c r="V655" i="2"/>
  <c r="V659" i="2"/>
  <c r="X676" i="2"/>
  <c r="Y676" i="2" s="1"/>
  <c r="Z676" i="2" s="1"/>
  <c r="X677" i="2"/>
  <c r="Y677" i="2" s="1"/>
  <c r="Z677" i="2" s="1"/>
  <c r="V678" i="2"/>
  <c r="X688" i="2"/>
  <c r="X689" i="2"/>
  <c r="Y689" i="2" s="1"/>
  <c r="Z689" i="2" s="1"/>
  <c r="V690" i="2"/>
  <c r="X691" i="2"/>
  <c r="Y691" i="2" s="1"/>
  <c r="Z691" i="2" s="1"/>
  <c r="AE692" i="2"/>
  <c r="AE698" i="2"/>
  <c r="X704" i="2"/>
  <c r="Y704" i="2" s="1"/>
  <c r="Z704" i="2" s="1"/>
  <c r="X705" i="2"/>
  <c r="Y705" i="2" s="1"/>
  <c r="Z705" i="2" s="1"/>
  <c r="AE708" i="2"/>
  <c r="AE714" i="2"/>
  <c r="Y730" i="2"/>
  <c r="Z730" i="2" s="1"/>
  <c r="W730" i="2"/>
  <c r="V730" i="2"/>
  <c r="X751" i="2"/>
  <c r="Y751" i="2" s="1"/>
  <c r="Z751" i="2" s="1"/>
  <c r="W751" i="2"/>
  <c r="V751" i="2"/>
  <c r="AE751" i="2"/>
  <c r="W619" i="2"/>
  <c r="W623" i="2"/>
  <c r="W627" i="2"/>
  <c r="W631" i="2"/>
  <c r="W635" i="2"/>
  <c r="W639" i="2"/>
  <c r="W643" i="2"/>
  <c r="W647" i="2"/>
  <c r="W651" i="2"/>
  <c r="W655" i="2"/>
  <c r="W659" i="2"/>
  <c r="W663" i="2"/>
  <c r="W667" i="2"/>
  <c r="W671" i="2"/>
  <c r="X678" i="2"/>
  <c r="Y678" i="2" s="1"/>
  <c r="Z678" i="2" s="1"/>
  <c r="W679" i="2"/>
  <c r="AE683" i="2"/>
  <c r="Y688" i="2"/>
  <c r="Z688" i="2" s="1"/>
  <c r="X690" i="2"/>
  <c r="V692" i="2"/>
  <c r="W693" i="2"/>
  <c r="AE699" i="2"/>
  <c r="X706" i="2"/>
  <c r="Y706" i="2" s="1"/>
  <c r="Z706" i="2" s="1"/>
  <c r="V708" i="2"/>
  <c r="W709" i="2"/>
  <c r="X730" i="2"/>
  <c r="W924" i="2"/>
  <c r="AE924" i="2"/>
  <c r="X924" i="2"/>
  <c r="Y924" i="2" s="1"/>
  <c r="Z924" i="2" s="1"/>
  <c r="V924" i="2"/>
  <c r="X635" i="2"/>
  <c r="Y635" i="2" s="1"/>
  <c r="Z635" i="2" s="1"/>
  <c r="X639" i="2"/>
  <c r="X643" i="2"/>
  <c r="X647" i="2"/>
  <c r="Y647" i="2" s="1"/>
  <c r="Z647" i="2" s="1"/>
  <c r="X651" i="2"/>
  <c r="Y651" i="2" s="1"/>
  <c r="Z651" i="2" s="1"/>
  <c r="X655" i="2"/>
  <c r="Y655" i="2" s="1"/>
  <c r="Z655" i="2" s="1"/>
  <c r="X659" i="2"/>
  <c r="Y659" i="2" s="1"/>
  <c r="Z659" i="2" s="1"/>
  <c r="X663" i="2"/>
  <c r="X667" i="2"/>
  <c r="Y667" i="2" s="1"/>
  <c r="Z667" i="2" s="1"/>
  <c r="X671" i="2"/>
  <c r="Y671" i="2" s="1"/>
  <c r="Z671" i="2" s="1"/>
  <c r="AE674" i="2"/>
  <c r="X679" i="2"/>
  <c r="AE680" i="2"/>
  <c r="W692" i="2"/>
  <c r="W694" i="2"/>
  <c r="W695" i="2"/>
  <c r="V695" i="2"/>
  <c r="W708" i="2"/>
  <c r="V709" i="2"/>
  <c r="W710" i="2"/>
  <c r="W711" i="2"/>
  <c r="V711" i="2"/>
  <c r="Y729" i="2"/>
  <c r="Z729" i="2" s="1"/>
  <c r="W729" i="2"/>
  <c r="AE729" i="2"/>
  <c r="V548" i="2"/>
  <c r="V552" i="2"/>
  <c r="V556" i="2"/>
  <c r="V560" i="2"/>
  <c r="V564" i="2"/>
  <c r="V568" i="2"/>
  <c r="V572" i="2"/>
  <c r="V576" i="2"/>
  <c r="V580" i="2"/>
  <c r="V584" i="2"/>
  <c r="V588" i="2"/>
  <c r="V592" i="2"/>
  <c r="V596" i="2"/>
  <c r="V600" i="2"/>
  <c r="V604" i="2"/>
  <c r="V608" i="2"/>
  <c r="V612" i="2"/>
  <c r="V616" i="2"/>
  <c r="Y619" i="2"/>
  <c r="Z619" i="2" s="1"/>
  <c r="V620" i="2"/>
  <c r="Y623" i="2"/>
  <c r="Z623" i="2" s="1"/>
  <c r="V624" i="2"/>
  <c r="Y627" i="2"/>
  <c r="Z627" i="2" s="1"/>
  <c r="V628" i="2"/>
  <c r="Y631" i="2"/>
  <c r="Z631" i="2" s="1"/>
  <c r="V632" i="2"/>
  <c r="V636" i="2"/>
  <c r="Y639" i="2"/>
  <c r="Z639" i="2" s="1"/>
  <c r="V640" i="2"/>
  <c r="Y643" i="2"/>
  <c r="Z643" i="2" s="1"/>
  <c r="V644" i="2"/>
  <c r="V648" i="2"/>
  <c r="V652" i="2"/>
  <c r="V656" i="2"/>
  <c r="V660" i="2"/>
  <c r="Y663" i="2"/>
  <c r="Z663" i="2" s="1"/>
  <c r="V664" i="2"/>
  <c r="V668" i="2"/>
  <c r="V672" i="2"/>
  <c r="Y679" i="2"/>
  <c r="Z679" i="2" s="1"/>
  <c r="V680" i="2"/>
  <c r="W681" i="2"/>
  <c r="AE686" i="2"/>
  <c r="X692" i="2"/>
  <c r="Y692" i="2" s="1"/>
  <c r="Z692" i="2" s="1"/>
  <c r="V694" i="2"/>
  <c r="X695" i="2"/>
  <c r="Y695" i="2" s="1"/>
  <c r="Z695" i="2" s="1"/>
  <c r="AE696" i="2"/>
  <c r="AE702" i="2"/>
  <c r="X708" i="2"/>
  <c r="Y708" i="2" s="1"/>
  <c r="Z708" i="2" s="1"/>
  <c r="X709" i="2"/>
  <c r="Y709" i="2" s="1"/>
  <c r="Z709" i="2" s="1"/>
  <c r="V710" i="2"/>
  <c r="X711" i="2"/>
  <c r="Y711" i="2" s="1"/>
  <c r="Z711" i="2" s="1"/>
  <c r="AE712" i="2"/>
  <c r="Z712" i="2"/>
  <c r="X727" i="2"/>
  <c r="Y727" i="2" s="1"/>
  <c r="Z727" i="2" s="1"/>
  <c r="W727" i="2"/>
  <c r="V727" i="2"/>
  <c r="AE727" i="2"/>
  <c r="V729" i="2"/>
  <c r="W672" i="2"/>
  <c r="Z673" i="2"/>
  <c r="W673" i="2"/>
  <c r="AE675" i="2"/>
  <c r="W680" i="2"/>
  <c r="V681" i="2"/>
  <c r="Y682" i="2"/>
  <c r="Z682" i="2" s="1"/>
  <c r="W682" i="2"/>
  <c r="AE687" i="2"/>
  <c r="Y693" i="2"/>
  <c r="Z693" i="2" s="1"/>
  <c r="X694" i="2"/>
  <c r="Y694" i="2" s="1"/>
  <c r="Z694" i="2" s="1"/>
  <c r="V696" i="2"/>
  <c r="W697" i="2"/>
  <c r="AE703" i="2"/>
  <c r="X710" i="2"/>
  <c r="Y710" i="2" s="1"/>
  <c r="Z710" i="2" s="1"/>
  <c r="V712" i="2"/>
  <c r="Z713" i="2"/>
  <c r="W713" i="2"/>
  <c r="W726" i="2"/>
  <c r="V726" i="2"/>
  <c r="X729" i="2"/>
  <c r="X737" i="2"/>
  <c r="Y737" i="2" s="1"/>
  <c r="Z737" i="2" s="1"/>
  <c r="W737" i="2"/>
  <c r="V737" i="2"/>
  <c r="AE737" i="2"/>
  <c r="X743" i="2"/>
  <c r="Y743" i="2" s="1"/>
  <c r="Z743" i="2" s="1"/>
  <c r="W743" i="2"/>
  <c r="V743" i="2"/>
  <c r="AE743" i="2"/>
  <c r="AE741" i="2"/>
  <c r="AE745" i="2"/>
  <c r="AE749" i="2"/>
  <c r="AE753" i="2"/>
  <c r="Y755" i="2"/>
  <c r="Z755" i="2" s="1"/>
  <c r="AE757" i="2"/>
  <c r="Y759" i="2"/>
  <c r="Z759" i="2" s="1"/>
  <c r="AE761" i="2"/>
  <c r="Y763" i="2"/>
  <c r="Z763" i="2" s="1"/>
  <c r="AE765" i="2"/>
  <c r="Y767" i="2"/>
  <c r="Z767" i="2" s="1"/>
  <c r="Y771" i="2"/>
  <c r="Z771" i="2" s="1"/>
  <c r="Y775" i="2"/>
  <c r="Z775" i="2" s="1"/>
  <c r="Y779" i="2"/>
  <c r="Z779" i="2" s="1"/>
  <c r="Y783" i="2"/>
  <c r="Z783" i="2" s="1"/>
  <c r="Y787" i="2"/>
  <c r="Z787" i="2" s="1"/>
  <c r="Y791" i="2"/>
  <c r="Z791" i="2" s="1"/>
  <c r="Y795" i="2"/>
  <c r="Z795" i="2" s="1"/>
  <c r="W888" i="2"/>
  <c r="AE888" i="2"/>
  <c r="Y937" i="2"/>
  <c r="Z937" i="2" s="1"/>
  <c r="X937" i="2"/>
  <c r="W937" i="2"/>
  <c r="V937" i="2"/>
  <c r="Y960" i="2"/>
  <c r="Z960" i="2" s="1"/>
  <c r="W960" i="2"/>
  <c r="V960" i="2"/>
  <c r="AE960" i="2"/>
  <c r="W985" i="2"/>
  <c r="X985" i="2"/>
  <c r="Y985" i="2" s="1"/>
  <c r="Z985" i="2" s="1"/>
  <c r="V985" i="2"/>
  <c r="W817" i="2"/>
  <c r="X822" i="2"/>
  <c r="Y822" i="2" s="1"/>
  <c r="Z822" i="2" s="1"/>
  <c r="W827" i="2"/>
  <c r="W837" i="2"/>
  <c r="X838" i="2"/>
  <c r="Y838" i="2" s="1"/>
  <c r="Z838" i="2" s="1"/>
  <c r="W838" i="2"/>
  <c r="W845" i="2"/>
  <c r="X846" i="2"/>
  <c r="Y846" i="2" s="1"/>
  <c r="Z846" i="2" s="1"/>
  <c r="W846" i="2"/>
  <c r="W853" i="2"/>
  <c r="X885" i="2"/>
  <c r="Y885" i="2" s="1"/>
  <c r="Z885" i="2" s="1"/>
  <c r="W885" i="2"/>
  <c r="V885" i="2"/>
  <c r="X888" i="2"/>
  <c r="Y888" i="2" s="1"/>
  <c r="Z888" i="2" s="1"/>
  <c r="W936" i="2"/>
  <c r="AE936" i="2"/>
  <c r="W993" i="2"/>
  <c r="AE993" i="2"/>
  <c r="X993" i="2"/>
  <c r="Y993" i="2" s="1"/>
  <c r="Z993" i="2" s="1"/>
  <c r="V993" i="2"/>
  <c r="V741" i="2"/>
  <c r="V745" i="2"/>
  <c r="V749" i="2"/>
  <c r="V753" i="2"/>
  <c r="V757" i="2"/>
  <c r="V761" i="2"/>
  <c r="V765" i="2"/>
  <c r="V769" i="2"/>
  <c r="X817" i="2"/>
  <c r="Y817" i="2" s="1"/>
  <c r="Z817" i="2" s="1"/>
  <c r="X827" i="2"/>
  <c r="Y827" i="2" s="1"/>
  <c r="Z827" i="2" s="1"/>
  <c r="X837" i="2"/>
  <c r="Y837" i="2" s="1"/>
  <c r="Z837" i="2" s="1"/>
  <c r="X845" i="2"/>
  <c r="Y845" i="2" s="1"/>
  <c r="Z845" i="2" s="1"/>
  <c r="X853" i="2"/>
  <c r="Y853" i="2" s="1"/>
  <c r="Z853" i="2" s="1"/>
  <c r="Y897" i="2"/>
  <c r="Z897" i="2" s="1"/>
  <c r="X897" i="2"/>
  <c r="W897" i="2"/>
  <c r="V897" i="2"/>
  <c r="X909" i="2"/>
  <c r="Y909" i="2" s="1"/>
  <c r="Z909" i="2" s="1"/>
  <c r="W909" i="2"/>
  <c r="V909" i="2"/>
  <c r="X921" i="2"/>
  <c r="Y921" i="2" s="1"/>
  <c r="Z921" i="2" s="1"/>
  <c r="W921" i="2"/>
  <c r="V921" i="2"/>
  <c r="W948" i="2"/>
  <c r="AE948" i="2"/>
  <c r="X957" i="2"/>
  <c r="Y957" i="2" s="1"/>
  <c r="Z957" i="2" s="1"/>
  <c r="W957" i="2"/>
  <c r="V957" i="2"/>
  <c r="AE957" i="2"/>
  <c r="Z728" i="2"/>
  <c r="Z736" i="2"/>
  <c r="Z740" i="2"/>
  <c r="W741" i="2"/>
  <c r="Z744" i="2"/>
  <c r="W745" i="2"/>
  <c r="Z748" i="2"/>
  <c r="W749" i="2"/>
  <c r="Z752" i="2"/>
  <c r="W753" i="2"/>
  <c r="Z756" i="2"/>
  <c r="W757" i="2"/>
  <c r="Z760" i="2"/>
  <c r="W761" i="2"/>
  <c r="Z764" i="2"/>
  <c r="W765" i="2"/>
  <c r="W769" i="2"/>
  <c r="W773" i="2"/>
  <c r="Z776" i="2"/>
  <c r="W777" i="2"/>
  <c r="Z780" i="2"/>
  <c r="W781" i="2"/>
  <c r="Z784" i="2"/>
  <c r="W785" i="2"/>
  <c r="Z788" i="2"/>
  <c r="W789" i="2"/>
  <c r="Z792" i="2"/>
  <c r="W793" i="2"/>
  <c r="W797" i="2"/>
  <c r="Z800" i="2"/>
  <c r="W801" i="2"/>
  <c r="Z804" i="2"/>
  <c r="W805" i="2"/>
  <c r="W809" i="2"/>
  <c r="W813" i="2"/>
  <c r="AE815" i="2"/>
  <c r="X818" i="2"/>
  <c r="Y818" i="2" s="1"/>
  <c r="Z818" i="2" s="1"/>
  <c r="W823" i="2"/>
  <c r="V828" i="2"/>
  <c r="V856" i="2"/>
  <c r="X857" i="2"/>
  <c r="Y857" i="2" s="1"/>
  <c r="Z857" i="2" s="1"/>
  <c r="Y881" i="2"/>
  <c r="Z881" i="2" s="1"/>
  <c r="X881" i="2"/>
  <c r="V881" i="2"/>
  <c r="W884" i="2"/>
  <c r="AE884" i="2"/>
  <c r="Y933" i="2"/>
  <c r="Z933" i="2" s="1"/>
  <c r="X933" i="2"/>
  <c r="W933" i="2"/>
  <c r="V933" i="2"/>
  <c r="X936" i="2"/>
  <c r="Y936" i="2" s="1"/>
  <c r="Z936" i="2" s="1"/>
  <c r="V948" i="2"/>
  <c r="W965" i="2"/>
  <c r="X965" i="2"/>
  <c r="Y965" i="2" s="1"/>
  <c r="Z965" i="2" s="1"/>
  <c r="V965" i="2"/>
  <c r="Y1019" i="2"/>
  <c r="Z1019" i="2" s="1"/>
  <c r="X1019" i="2"/>
  <c r="W1019" i="2"/>
  <c r="V1019" i="2"/>
  <c r="AE1019" i="2"/>
  <c r="X741" i="2"/>
  <c r="Y741" i="2" s="1"/>
  <c r="Z741" i="2" s="1"/>
  <c r="X745" i="2"/>
  <c r="Y745" i="2" s="1"/>
  <c r="Z745" i="2" s="1"/>
  <c r="X749" i="2"/>
  <c r="X753" i="2"/>
  <c r="X757" i="2"/>
  <c r="X761" i="2"/>
  <c r="Y761" i="2" s="1"/>
  <c r="Z761" i="2" s="1"/>
  <c r="X765" i="2"/>
  <c r="Y765" i="2" s="1"/>
  <c r="Z765" i="2" s="1"/>
  <c r="X769" i="2"/>
  <c r="X773" i="2"/>
  <c r="Y773" i="2" s="1"/>
  <c r="Z773" i="2" s="1"/>
  <c r="X777" i="2"/>
  <c r="Y777" i="2" s="1"/>
  <c r="Z777" i="2" s="1"/>
  <c r="X781" i="2"/>
  <c r="X785" i="2"/>
  <c r="Y785" i="2" s="1"/>
  <c r="Z785" i="2" s="1"/>
  <c r="X789" i="2"/>
  <c r="Y789" i="2" s="1"/>
  <c r="Z789" i="2" s="1"/>
  <c r="X793" i="2"/>
  <c r="Y793" i="2" s="1"/>
  <c r="Z793" i="2" s="1"/>
  <c r="X797" i="2"/>
  <c r="Y797" i="2" s="1"/>
  <c r="Z797" i="2" s="1"/>
  <c r="X801" i="2"/>
  <c r="X805" i="2"/>
  <c r="Y805" i="2" s="1"/>
  <c r="Z805" i="2" s="1"/>
  <c r="X809" i="2"/>
  <c r="Y809" i="2" s="1"/>
  <c r="Z809" i="2" s="1"/>
  <c r="X813" i="2"/>
  <c r="Y813" i="2" s="1"/>
  <c r="Z813" i="2" s="1"/>
  <c r="V814" i="2"/>
  <c r="V819" i="2"/>
  <c r="X823" i="2"/>
  <c r="Y823" i="2" s="1"/>
  <c r="Z823" i="2" s="1"/>
  <c r="W828" i="2"/>
  <c r="AE830" i="2"/>
  <c r="V833" i="2"/>
  <c r="X856" i="2"/>
  <c r="V857" i="2"/>
  <c r="W880" i="2"/>
  <c r="AE880" i="2"/>
  <c r="W881" i="2"/>
  <c r="V884" i="2"/>
  <c r="Y896" i="2"/>
  <c r="Z896" i="2" s="1"/>
  <c r="W896" i="2"/>
  <c r="AE896" i="2"/>
  <c r="W908" i="2"/>
  <c r="AE908" i="2"/>
  <c r="W920" i="2"/>
  <c r="AE920" i="2"/>
  <c r="AE937" i="2"/>
  <c r="X945" i="2"/>
  <c r="Y945" i="2" s="1"/>
  <c r="Z945" i="2" s="1"/>
  <c r="W945" i="2"/>
  <c r="V945" i="2"/>
  <c r="X948" i="2"/>
  <c r="Y948" i="2" s="1"/>
  <c r="Z948" i="2" s="1"/>
  <c r="W973" i="2"/>
  <c r="X973" i="2"/>
  <c r="Y973" i="2" s="1"/>
  <c r="Z973" i="2" s="1"/>
  <c r="V973" i="2"/>
  <c r="V734" i="2"/>
  <c r="V738" i="2"/>
  <c r="V742" i="2"/>
  <c r="V746" i="2"/>
  <c r="Y749" i="2"/>
  <c r="Z749" i="2" s="1"/>
  <c r="V750" i="2"/>
  <c r="Y753" i="2"/>
  <c r="Z753" i="2" s="1"/>
  <c r="V754" i="2"/>
  <c r="AE755" i="2"/>
  <c r="Y757" i="2"/>
  <c r="Z757" i="2" s="1"/>
  <c r="V758" i="2"/>
  <c r="AE759" i="2"/>
  <c r="V762" i="2"/>
  <c r="AE763" i="2"/>
  <c r="V766" i="2"/>
  <c r="AE767" i="2"/>
  <c r="Y769" i="2"/>
  <c r="Z769" i="2" s="1"/>
  <c r="V770" i="2"/>
  <c r="AE771" i="2"/>
  <c r="V774" i="2"/>
  <c r="AE775" i="2"/>
  <c r="V778" i="2"/>
  <c r="AE779" i="2"/>
  <c r="Y781" i="2"/>
  <c r="Z781" i="2" s="1"/>
  <c r="V782" i="2"/>
  <c r="AE783" i="2"/>
  <c r="AE787" i="2"/>
  <c r="AE791" i="2"/>
  <c r="AE795" i="2"/>
  <c r="AE799" i="2"/>
  <c r="Y801" i="2"/>
  <c r="Z801" i="2" s="1"/>
  <c r="AE803" i="2"/>
  <c r="AE807" i="2"/>
  <c r="AE811" i="2"/>
  <c r="X828" i="2"/>
  <c r="Y828" i="2" s="1"/>
  <c r="Z828" i="2" s="1"/>
  <c r="AE835" i="2"/>
  <c r="Y856" i="2"/>
  <c r="Z856" i="2" s="1"/>
  <c r="X861" i="2"/>
  <c r="Y861" i="2" s="1"/>
  <c r="Z861" i="2" s="1"/>
  <c r="X877" i="2"/>
  <c r="Y877" i="2" s="1"/>
  <c r="Z877" i="2" s="1"/>
  <c r="V877" i="2"/>
  <c r="X884" i="2"/>
  <c r="Y884" i="2" s="1"/>
  <c r="Z884" i="2" s="1"/>
  <c r="Y932" i="2"/>
  <c r="Z932" i="2" s="1"/>
  <c r="W932" i="2"/>
  <c r="AE932" i="2"/>
  <c r="Y956" i="2"/>
  <c r="Z956" i="2" s="1"/>
  <c r="W956" i="2"/>
  <c r="V956" i="2"/>
  <c r="AE956" i="2"/>
  <c r="W998" i="2"/>
  <c r="X998" i="2"/>
  <c r="Y998" i="2" s="1"/>
  <c r="Z998" i="2" s="1"/>
  <c r="V998" i="2"/>
  <c r="W734" i="2"/>
  <c r="W738" i="2"/>
  <c r="W742" i="2"/>
  <c r="W746" i="2"/>
  <c r="W750" i="2"/>
  <c r="W754" i="2"/>
  <c r="W758" i="2"/>
  <c r="W762" i="2"/>
  <c r="W766" i="2"/>
  <c r="W770" i="2"/>
  <c r="W774" i="2"/>
  <c r="W778" i="2"/>
  <c r="W782" i="2"/>
  <c r="W786" i="2"/>
  <c r="W790" i="2"/>
  <c r="W794" i="2"/>
  <c r="W798" i="2"/>
  <c r="W802" i="2"/>
  <c r="W806" i="2"/>
  <c r="W810" i="2"/>
  <c r="Y814" i="2"/>
  <c r="Z814" i="2" s="1"/>
  <c r="V815" i="2"/>
  <c r="X819" i="2"/>
  <c r="Y819" i="2" s="1"/>
  <c r="Z819" i="2" s="1"/>
  <c r="W824" i="2"/>
  <c r="AE826" i="2"/>
  <c r="V829" i="2"/>
  <c r="X833" i="2"/>
  <c r="Y833" i="2" s="1"/>
  <c r="Z833" i="2" s="1"/>
  <c r="V834" i="2"/>
  <c r="AE836" i="2"/>
  <c r="X840" i="2"/>
  <c r="Y840" i="2" s="1"/>
  <c r="Z840" i="2" s="1"/>
  <c r="V841" i="2"/>
  <c r="AE844" i="2"/>
  <c r="X848" i="2"/>
  <c r="Y848" i="2" s="1"/>
  <c r="Z848" i="2" s="1"/>
  <c r="V849" i="2"/>
  <c r="AE852" i="2"/>
  <c r="X860" i="2"/>
  <c r="Y860" i="2" s="1"/>
  <c r="Z860" i="2" s="1"/>
  <c r="V861" i="2"/>
  <c r="X873" i="2"/>
  <c r="Y873" i="2" s="1"/>
  <c r="Z873" i="2" s="1"/>
  <c r="V873" i="2"/>
  <c r="W876" i="2"/>
  <c r="AE876" i="2"/>
  <c r="W877" i="2"/>
  <c r="X880" i="2"/>
  <c r="Y880" i="2" s="1"/>
  <c r="Z880" i="2" s="1"/>
  <c r="AE885" i="2"/>
  <c r="X893" i="2"/>
  <c r="Y893" i="2" s="1"/>
  <c r="Z893" i="2" s="1"/>
  <c r="W893" i="2"/>
  <c r="V893" i="2"/>
  <c r="X896" i="2"/>
  <c r="X905" i="2"/>
  <c r="Y905" i="2" s="1"/>
  <c r="Z905" i="2" s="1"/>
  <c r="W905" i="2"/>
  <c r="V905" i="2"/>
  <c r="X908" i="2"/>
  <c r="Y908" i="2" s="1"/>
  <c r="Z908" i="2" s="1"/>
  <c r="X917" i="2"/>
  <c r="Y917" i="2" s="1"/>
  <c r="Z917" i="2" s="1"/>
  <c r="W917" i="2"/>
  <c r="V917" i="2"/>
  <c r="X920" i="2"/>
  <c r="Y920" i="2" s="1"/>
  <c r="Z920" i="2" s="1"/>
  <c r="X929" i="2"/>
  <c r="Y929" i="2" s="1"/>
  <c r="Z929" i="2" s="1"/>
  <c r="W929" i="2"/>
  <c r="V929" i="2"/>
  <c r="V932" i="2"/>
  <c r="W944" i="2"/>
  <c r="AE944" i="2"/>
  <c r="X956" i="2"/>
  <c r="Y964" i="2"/>
  <c r="Z964" i="2" s="1"/>
  <c r="W964" i="2"/>
  <c r="V964" i="2"/>
  <c r="AE964" i="2"/>
  <c r="X842" i="2"/>
  <c r="Y842" i="2" s="1"/>
  <c r="Z842" i="2" s="1"/>
  <c r="W842" i="2"/>
  <c r="X850" i="2"/>
  <c r="Y850" i="2" s="1"/>
  <c r="Z850" i="2" s="1"/>
  <c r="W850" i="2"/>
  <c r="AE853" i="2"/>
  <c r="X865" i="2"/>
  <c r="Y865" i="2" s="1"/>
  <c r="Z865" i="2" s="1"/>
  <c r="X869" i="2"/>
  <c r="Y869" i="2" s="1"/>
  <c r="Z869" i="2" s="1"/>
  <c r="V869" i="2"/>
  <c r="W872" i="2"/>
  <c r="AE872" i="2"/>
  <c r="AE897" i="2"/>
  <c r="AE909" i="2"/>
  <c r="AE921" i="2"/>
  <c r="X932" i="2"/>
  <c r="X941" i="2"/>
  <c r="Y941" i="2" s="1"/>
  <c r="Z941" i="2" s="1"/>
  <c r="W941" i="2"/>
  <c r="V941" i="2"/>
  <c r="W981" i="2"/>
  <c r="AE981" i="2"/>
  <c r="X981" i="2"/>
  <c r="Y981" i="2" s="1"/>
  <c r="Z981" i="2" s="1"/>
  <c r="V981" i="2"/>
  <c r="Y734" i="2"/>
  <c r="Z734" i="2" s="1"/>
  <c r="Y742" i="2"/>
  <c r="Z742" i="2" s="1"/>
  <c r="Y746" i="2"/>
  <c r="Z746" i="2" s="1"/>
  <c r="Y750" i="2"/>
  <c r="Z750" i="2" s="1"/>
  <c r="Y754" i="2"/>
  <c r="Z754" i="2" s="1"/>
  <c r="V755" i="2"/>
  <c r="Y758" i="2"/>
  <c r="Z758" i="2" s="1"/>
  <c r="V759" i="2"/>
  <c r="Y762" i="2"/>
  <c r="Z762" i="2" s="1"/>
  <c r="V763" i="2"/>
  <c r="Y766" i="2"/>
  <c r="Z766" i="2" s="1"/>
  <c r="V767" i="2"/>
  <c r="Y770" i="2"/>
  <c r="Z770" i="2" s="1"/>
  <c r="V771" i="2"/>
  <c r="Y774" i="2"/>
  <c r="Z774" i="2" s="1"/>
  <c r="V775" i="2"/>
  <c r="Y778" i="2"/>
  <c r="Z778" i="2" s="1"/>
  <c r="V779" i="2"/>
  <c r="Y782" i="2"/>
  <c r="Z782" i="2" s="1"/>
  <c r="V783" i="2"/>
  <c r="Y786" i="2"/>
  <c r="Z786" i="2" s="1"/>
  <c r="V787" i="2"/>
  <c r="Y790" i="2"/>
  <c r="Z790" i="2" s="1"/>
  <c r="V791" i="2"/>
  <c r="Y794" i="2"/>
  <c r="Z794" i="2" s="1"/>
  <c r="V795" i="2"/>
  <c r="Y798" i="2"/>
  <c r="Z798" i="2" s="1"/>
  <c r="V799" i="2"/>
  <c r="Y802" i="2"/>
  <c r="Z802" i="2" s="1"/>
  <c r="V803" i="2"/>
  <c r="V807" i="2"/>
  <c r="V811" i="2"/>
  <c r="X815" i="2"/>
  <c r="Y815" i="2" s="1"/>
  <c r="Z815" i="2" s="1"/>
  <c r="AE817" i="2"/>
  <c r="AE822" i="2"/>
  <c r="V825" i="2"/>
  <c r="X829" i="2"/>
  <c r="Y829" i="2" s="1"/>
  <c r="Z829" i="2" s="1"/>
  <c r="V830" i="2"/>
  <c r="Y834" i="2"/>
  <c r="Z834" i="2" s="1"/>
  <c r="V835" i="2"/>
  <c r="AE837" i="2"/>
  <c r="X841" i="2"/>
  <c r="Y841" i="2" s="1"/>
  <c r="Z841" i="2" s="1"/>
  <c r="V842" i="2"/>
  <c r="AE845" i="2"/>
  <c r="X849" i="2"/>
  <c r="Y849" i="2" s="1"/>
  <c r="Z849" i="2" s="1"/>
  <c r="V850" i="2"/>
  <c r="X864" i="2"/>
  <c r="Y864" i="2" s="1"/>
  <c r="Z864" i="2" s="1"/>
  <c r="V865" i="2"/>
  <c r="W868" i="2"/>
  <c r="AE868" i="2"/>
  <c r="W869" i="2"/>
  <c r="V872" i="2"/>
  <c r="X876" i="2"/>
  <c r="Y876" i="2" s="1"/>
  <c r="Z876" i="2" s="1"/>
  <c r="Y892" i="2"/>
  <c r="Z892" i="2" s="1"/>
  <c r="W892" i="2"/>
  <c r="AE892" i="2"/>
  <c r="Y904" i="2"/>
  <c r="Z904" i="2" s="1"/>
  <c r="W904" i="2"/>
  <c r="AE904" i="2"/>
  <c r="Y916" i="2"/>
  <c r="Z916" i="2" s="1"/>
  <c r="W916" i="2"/>
  <c r="AE916" i="2"/>
  <c r="Y928" i="2"/>
  <c r="Z928" i="2" s="1"/>
  <c r="W928" i="2"/>
  <c r="AE928" i="2"/>
  <c r="AE933" i="2"/>
  <c r="X944" i="2"/>
  <c r="Y944" i="2" s="1"/>
  <c r="Z944" i="2" s="1"/>
  <c r="X953" i="2"/>
  <c r="Y953" i="2" s="1"/>
  <c r="Z953" i="2" s="1"/>
  <c r="W953" i="2"/>
  <c r="V953" i="2"/>
  <c r="X961" i="2"/>
  <c r="Y961" i="2" s="1"/>
  <c r="Z961" i="2" s="1"/>
  <c r="W961" i="2"/>
  <c r="V961" i="2"/>
  <c r="AE961" i="2"/>
  <c r="W971" i="2"/>
  <c r="AE971" i="2"/>
  <c r="X971" i="2"/>
  <c r="Y971" i="2" s="1"/>
  <c r="Z971" i="2" s="1"/>
  <c r="V971" i="2"/>
  <c r="W755" i="2"/>
  <c r="W759" i="2"/>
  <c r="W763" i="2"/>
  <c r="W767" i="2"/>
  <c r="W771" i="2"/>
  <c r="W775" i="2"/>
  <c r="W779" i="2"/>
  <c r="W783" i="2"/>
  <c r="W787" i="2"/>
  <c r="W791" i="2"/>
  <c r="W795" i="2"/>
  <c r="W799" i="2"/>
  <c r="W803" i="2"/>
  <c r="W807" i="2"/>
  <c r="W811" i="2"/>
  <c r="Z821" i="2"/>
  <c r="W825" i="2"/>
  <c r="X830" i="2"/>
  <c r="Y830" i="2" s="1"/>
  <c r="Z830" i="2" s="1"/>
  <c r="W835" i="2"/>
  <c r="AE838" i="2"/>
  <c r="AE846" i="2"/>
  <c r="W865" i="2"/>
  <c r="X872" i="2"/>
  <c r="Y872" i="2" s="1"/>
  <c r="Z872" i="2" s="1"/>
  <c r="AE881" i="2"/>
  <c r="X889" i="2"/>
  <c r="Y889" i="2" s="1"/>
  <c r="Z889" i="2" s="1"/>
  <c r="W889" i="2"/>
  <c r="V889" i="2"/>
  <c r="Y940" i="2"/>
  <c r="Z940" i="2" s="1"/>
  <c r="W940" i="2"/>
  <c r="AE940" i="2"/>
  <c r="AE945" i="2"/>
  <c r="AE973" i="2"/>
  <c r="W1009" i="2"/>
  <c r="AE1009" i="2"/>
  <c r="X1009" i="2"/>
  <c r="Y1009" i="2" s="1"/>
  <c r="Z1009" i="2" s="1"/>
  <c r="V1009" i="2"/>
  <c r="AE813" i="2"/>
  <c r="AE818" i="2"/>
  <c r="X825" i="2"/>
  <c r="Y825" i="2" s="1"/>
  <c r="Z825" i="2" s="1"/>
  <c r="AE856" i="2"/>
  <c r="X901" i="2"/>
  <c r="Y901" i="2" s="1"/>
  <c r="Z901" i="2" s="1"/>
  <c r="W901" i="2"/>
  <c r="V901" i="2"/>
  <c r="Y913" i="2"/>
  <c r="Z913" i="2" s="1"/>
  <c r="X913" i="2"/>
  <c r="W913" i="2"/>
  <c r="V913" i="2"/>
  <c r="X925" i="2"/>
  <c r="Y925" i="2" s="1"/>
  <c r="Z925" i="2" s="1"/>
  <c r="W925" i="2"/>
  <c r="V925" i="2"/>
  <c r="Y952" i="2"/>
  <c r="Z952" i="2" s="1"/>
  <c r="W952" i="2"/>
  <c r="AE952" i="2"/>
  <c r="AE998" i="2"/>
  <c r="Z970" i="2"/>
  <c r="W970" i="2"/>
  <c r="W980" i="2"/>
  <c r="Z980" i="2"/>
  <c r="X1007" i="2"/>
  <c r="Y1007" i="2" s="1"/>
  <c r="Z1007" i="2" s="1"/>
  <c r="W1007" i="2"/>
  <c r="AE1021" i="2"/>
  <c r="Z1021" i="2"/>
  <c r="X1021" i="2"/>
  <c r="W1021" i="2"/>
  <c r="X1023" i="2"/>
  <c r="Y1023" i="2" s="1"/>
  <c r="Z1023" i="2" s="1"/>
  <c r="W1023" i="2"/>
  <c r="V1023" i="2"/>
  <c r="Y1118" i="2"/>
  <c r="Z1118" i="2" s="1"/>
  <c r="W982" i="2"/>
  <c r="W994" i="2"/>
  <c r="W1010" i="2"/>
  <c r="AE1017" i="2"/>
  <c r="X1017" i="2"/>
  <c r="W1017" i="2"/>
  <c r="V982" i="2"/>
  <c r="W983" i="2"/>
  <c r="V994" i="2"/>
  <c r="X995" i="2"/>
  <c r="Y995" i="2" s="1"/>
  <c r="Z995" i="2" s="1"/>
  <c r="W995" i="2"/>
  <c r="V1010" i="2"/>
  <c r="X1011" i="2"/>
  <c r="Y1011" i="2" s="1"/>
  <c r="Z1011" i="2" s="1"/>
  <c r="W1011" i="2"/>
  <c r="X1015" i="2"/>
  <c r="Y1015" i="2" s="1"/>
  <c r="Z1015" i="2" s="1"/>
  <c r="W1015" i="2"/>
  <c r="V1015" i="2"/>
  <c r="V1017" i="2"/>
  <c r="X1265" i="2"/>
  <c r="Y1265" i="2" s="1"/>
  <c r="Z1265" i="2" s="1"/>
  <c r="W1265" i="2"/>
  <c r="V1265" i="2"/>
  <c r="AE1265" i="2"/>
  <c r="AE967" i="2"/>
  <c r="V972" i="2"/>
  <c r="X982" i="2"/>
  <c r="Y982" i="2" s="1"/>
  <c r="Z982" i="2" s="1"/>
  <c r="V983" i="2"/>
  <c r="W984" i="2"/>
  <c r="X994" i="2"/>
  <c r="Y994" i="2" s="1"/>
  <c r="Z994" i="2" s="1"/>
  <c r="V995" i="2"/>
  <c r="W997" i="2"/>
  <c r="X1010" i="2"/>
  <c r="Y1010" i="2" s="1"/>
  <c r="Z1010" i="2" s="1"/>
  <c r="V1011" i="2"/>
  <c r="AE1013" i="2"/>
  <c r="X1013" i="2"/>
  <c r="Y1013" i="2" s="1"/>
  <c r="Z1013" i="2" s="1"/>
  <c r="W1013" i="2"/>
  <c r="Y1017" i="2"/>
  <c r="Z1017" i="2" s="1"/>
  <c r="V1013" i="2"/>
  <c r="AE1023" i="2"/>
  <c r="W966" i="2"/>
  <c r="X972" i="2"/>
  <c r="Y972" i="2" s="1"/>
  <c r="Z972" i="2" s="1"/>
  <c r="W974" i="2"/>
  <c r="Y983" i="2"/>
  <c r="Z983" i="2" s="1"/>
  <c r="X984" i="2"/>
  <c r="Y984" i="2" s="1"/>
  <c r="Z984" i="2" s="1"/>
  <c r="W986" i="2"/>
  <c r="X997" i="2"/>
  <c r="Y997" i="2" s="1"/>
  <c r="Z997" i="2" s="1"/>
  <c r="X999" i="2"/>
  <c r="Y999" i="2" s="1"/>
  <c r="Z999" i="2" s="1"/>
  <c r="W999" i="2"/>
  <c r="V974" i="2"/>
  <c r="W975" i="2"/>
  <c r="V986" i="2"/>
  <c r="W987" i="2"/>
  <c r="W1001" i="2"/>
  <c r="AE1007" i="2"/>
  <c r="Z1030" i="2"/>
  <c r="X1031" i="2"/>
  <c r="Y1031" i="2" s="1"/>
  <c r="Z1031" i="2" s="1"/>
  <c r="W1031" i="2"/>
  <c r="V1031" i="2"/>
  <c r="X966" i="2"/>
  <c r="V967" i="2"/>
  <c r="AE970" i="2"/>
  <c r="X974" i="2"/>
  <c r="V975" i="2"/>
  <c r="W976" i="2"/>
  <c r="AE980" i="2"/>
  <c r="X986" i="2"/>
  <c r="Y986" i="2" s="1"/>
  <c r="Z986" i="2" s="1"/>
  <c r="V987" i="2"/>
  <c r="W988" i="2"/>
  <c r="W1002" i="2"/>
  <c r="AE1015" i="2"/>
  <c r="V858" i="2"/>
  <c r="V862" i="2"/>
  <c r="V866" i="2"/>
  <c r="V870" i="2"/>
  <c r="V874" i="2"/>
  <c r="V878" i="2"/>
  <c r="V882" i="2"/>
  <c r="V886" i="2"/>
  <c r="V890" i="2"/>
  <c r="V894" i="2"/>
  <c r="V898" i="2"/>
  <c r="V902" i="2"/>
  <c r="V906" i="2"/>
  <c r="V910" i="2"/>
  <c r="V914" i="2"/>
  <c r="V918" i="2"/>
  <c r="V922" i="2"/>
  <c r="V926" i="2"/>
  <c r="V930" i="2"/>
  <c r="V934" i="2"/>
  <c r="V938" i="2"/>
  <c r="V942" i="2"/>
  <c r="V946" i="2"/>
  <c r="V950" i="2"/>
  <c r="V954" i="2"/>
  <c r="Y966" i="2"/>
  <c r="Z966" i="2" s="1"/>
  <c r="X967" i="2"/>
  <c r="Y967" i="2" s="1"/>
  <c r="Z967" i="2" s="1"/>
  <c r="Z968" i="2"/>
  <c r="Y974" i="2"/>
  <c r="Z974" i="2" s="1"/>
  <c r="X975" i="2"/>
  <c r="Y975" i="2" s="1"/>
  <c r="Z975" i="2" s="1"/>
  <c r="V976" i="2"/>
  <c r="Z977" i="2"/>
  <c r="W977" i="2"/>
  <c r="X987" i="2"/>
  <c r="Y987" i="2" s="1"/>
  <c r="Z987" i="2" s="1"/>
  <c r="V988" i="2"/>
  <c r="W989" i="2"/>
  <c r="X1001" i="2"/>
  <c r="Y1001" i="2" s="1"/>
  <c r="Z1001" i="2" s="1"/>
  <c r="V1002" i="2"/>
  <c r="X1003" i="2"/>
  <c r="W1003" i="2"/>
  <c r="AE1029" i="2"/>
  <c r="X1029" i="2"/>
  <c r="Y1029" i="2" s="1"/>
  <c r="Z1029" i="2" s="1"/>
  <c r="W1029" i="2"/>
  <c r="W858" i="2"/>
  <c r="W862" i="2"/>
  <c r="W866" i="2"/>
  <c r="W870" i="2"/>
  <c r="W874" i="2"/>
  <c r="W878" i="2"/>
  <c r="W882" i="2"/>
  <c r="W886" i="2"/>
  <c r="W890" i="2"/>
  <c r="W894" i="2"/>
  <c r="W898" i="2"/>
  <c r="W902" i="2"/>
  <c r="W906" i="2"/>
  <c r="W910" i="2"/>
  <c r="W914" i="2"/>
  <c r="W918" i="2"/>
  <c r="W922" i="2"/>
  <c r="W926" i="2"/>
  <c r="W930" i="2"/>
  <c r="W934" i="2"/>
  <c r="W938" i="2"/>
  <c r="W942" i="2"/>
  <c r="W946" i="2"/>
  <c r="W950" i="2"/>
  <c r="W954" i="2"/>
  <c r="W958" i="2"/>
  <c r="W962" i="2"/>
  <c r="V968" i="2"/>
  <c r="X976" i="2"/>
  <c r="Y976" i="2" s="1"/>
  <c r="Z976" i="2" s="1"/>
  <c r="V977" i="2"/>
  <c r="Z978" i="2"/>
  <c r="W978" i="2"/>
  <c r="AE982" i="2"/>
  <c r="X988" i="2"/>
  <c r="Y988" i="2" s="1"/>
  <c r="Z988" i="2" s="1"/>
  <c r="V989" i="2"/>
  <c r="W990" i="2"/>
  <c r="AE994" i="2"/>
  <c r="AE995" i="2"/>
  <c r="X1002" i="2"/>
  <c r="V1003" i="2"/>
  <c r="Z1005" i="2"/>
  <c r="W1005" i="2"/>
  <c r="AE1010" i="2"/>
  <c r="AE1011" i="2"/>
  <c r="X1027" i="2"/>
  <c r="Y1027" i="2" s="1"/>
  <c r="Z1027" i="2" s="1"/>
  <c r="W1027" i="2"/>
  <c r="V1027" i="2"/>
  <c r="V1029" i="2"/>
  <c r="W1094" i="2"/>
  <c r="AE1094" i="2"/>
  <c r="Y1094" i="2"/>
  <c r="Z1094" i="2" s="1"/>
  <c r="X1094" i="2"/>
  <c r="V1094" i="2"/>
  <c r="W968" i="2"/>
  <c r="Z969" i="2"/>
  <c r="W969" i="2"/>
  <c r="X977" i="2"/>
  <c r="V978" i="2"/>
  <c r="W979" i="2"/>
  <c r="AE983" i="2"/>
  <c r="X989" i="2"/>
  <c r="Y989" i="2" s="1"/>
  <c r="Z989" i="2" s="1"/>
  <c r="V990" i="2"/>
  <c r="Z991" i="2"/>
  <c r="W991" i="2"/>
  <c r="Y1002" i="2"/>
  <c r="Z1002" i="2" s="1"/>
  <c r="Y1003" i="2"/>
  <c r="Z1003" i="2" s="1"/>
  <c r="V1005" i="2"/>
  <c r="W1006" i="2"/>
  <c r="AE1025" i="2"/>
  <c r="X1025" i="2"/>
  <c r="Y1025" i="2" s="1"/>
  <c r="Z1025" i="2" s="1"/>
  <c r="W1025" i="2"/>
  <c r="W1093" i="2"/>
  <c r="W1225" i="2"/>
  <c r="V1225" i="2"/>
  <c r="AE1225" i="2"/>
  <c r="Y1225" i="2"/>
  <c r="Z1225" i="2" s="1"/>
  <c r="AE1304" i="2"/>
  <c r="V1304" i="2"/>
  <c r="X1304" i="2"/>
  <c r="Y1304" i="2" s="1"/>
  <c r="Z1304" i="2" s="1"/>
  <c r="Z996" i="2"/>
  <c r="Z1000" i="2"/>
  <c r="Z1008" i="2"/>
  <c r="Z1012" i="2"/>
  <c r="Z1016" i="2"/>
  <c r="Z1028" i="2"/>
  <c r="W1033" i="2"/>
  <c r="W1037" i="2"/>
  <c r="W1041" i="2"/>
  <c r="W1045" i="2"/>
  <c r="Z1048" i="2"/>
  <c r="W1049" i="2"/>
  <c r="W1053" i="2"/>
  <c r="W1057" i="2"/>
  <c r="W1061" i="2"/>
  <c r="W1065" i="2"/>
  <c r="W1069" i="2"/>
  <c r="W1073" i="2"/>
  <c r="W1077" i="2"/>
  <c r="W1081" i="2"/>
  <c r="W1085" i="2"/>
  <c r="W1089" i="2"/>
  <c r="X1093" i="2"/>
  <c r="Y1093" i="2" s="1"/>
  <c r="Z1093" i="2" s="1"/>
  <c r="W1103" i="2"/>
  <c r="Y1104" i="2"/>
  <c r="Z1104" i="2" s="1"/>
  <c r="W1104" i="2"/>
  <c r="Z1105" i="2"/>
  <c r="W1105" i="2"/>
  <c r="V1105" i="2"/>
  <c r="W1106" i="2"/>
  <c r="AE1106" i="2"/>
  <c r="W1119" i="2"/>
  <c r="Y1120" i="2"/>
  <c r="Z1120" i="2" s="1"/>
  <c r="W1120" i="2"/>
  <c r="Z1121" i="2"/>
  <c r="W1121" i="2"/>
  <c r="V1121" i="2"/>
  <c r="W1122" i="2"/>
  <c r="AE1122" i="2"/>
  <c r="X1122" i="2"/>
  <c r="Y1122" i="2" s="1"/>
  <c r="Z1122" i="2" s="1"/>
  <c r="AE1248" i="2"/>
  <c r="X1248" i="2"/>
  <c r="Y1248" i="2" s="1"/>
  <c r="Z1248" i="2" s="1"/>
  <c r="W1248" i="2"/>
  <c r="X1033" i="2"/>
  <c r="X1037" i="2"/>
  <c r="Y1037" i="2" s="1"/>
  <c r="Z1037" i="2" s="1"/>
  <c r="X1041" i="2"/>
  <c r="X1045" i="2"/>
  <c r="Y1045" i="2" s="1"/>
  <c r="Z1045" i="2" s="1"/>
  <c r="X1049" i="2"/>
  <c r="X1053" i="2"/>
  <c r="Y1053" i="2" s="1"/>
  <c r="Z1053" i="2" s="1"/>
  <c r="X1057" i="2"/>
  <c r="Y1057" i="2" s="1"/>
  <c r="Z1057" i="2" s="1"/>
  <c r="X1061" i="2"/>
  <c r="X1065" i="2"/>
  <c r="Y1065" i="2" s="1"/>
  <c r="Z1065" i="2" s="1"/>
  <c r="X1069" i="2"/>
  <c r="Y1069" i="2" s="1"/>
  <c r="Z1069" i="2" s="1"/>
  <c r="X1073" i="2"/>
  <c r="Y1073" i="2" s="1"/>
  <c r="Z1073" i="2" s="1"/>
  <c r="X1077" i="2"/>
  <c r="Y1077" i="2" s="1"/>
  <c r="Z1077" i="2" s="1"/>
  <c r="X1081" i="2"/>
  <c r="Y1081" i="2" s="1"/>
  <c r="Z1081" i="2" s="1"/>
  <c r="X1085" i="2"/>
  <c r="X1089" i="2"/>
  <c r="Y1089" i="2" s="1"/>
  <c r="Z1089" i="2" s="1"/>
  <c r="X1103" i="2"/>
  <c r="Y1103" i="2" s="1"/>
  <c r="Z1103" i="2" s="1"/>
  <c r="W1125" i="2"/>
  <c r="V1125" i="2"/>
  <c r="W1126" i="2"/>
  <c r="AE1126" i="2"/>
  <c r="X1126" i="2"/>
  <c r="Y1126" i="2" s="1"/>
  <c r="Z1126" i="2" s="1"/>
  <c r="Z1127" i="2"/>
  <c r="W1130" i="2"/>
  <c r="AE1130" i="2"/>
  <c r="X1130" i="2"/>
  <c r="Z1131" i="2"/>
  <c r="Z1133" i="2"/>
  <c r="W1134" i="2"/>
  <c r="AE1134" i="2"/>
  <c r="X1134" i="2"/>
  <c r="W1138" i="2"/>
  <c r="AE1138" i="2"/>
  <c r="X1138" i="2"/>
  <c r="Y1138" i="2" s="1"/>
  <c r="Z1138" i="2" s="1"/>
  <c r="AE1284" i="2"/>
  <c r="V1284" i="2"/>
  <c r="X1284" i="2"/>
  <c r="Y1284" i="2" s="1"/>
  <c r="Z1284" i="2" s="1"/>
  <c r="W1284" i="2"/>
  <c r="V1090" i="2"/>
  <c r="AE1091" i="2"/>
  <c r="V1095" i="2"/>
  <c r="AE1098" i="2"/>
  <c r="V1107" i="2"/>
  <c r="Y1119" i="2"/>
  <c r="Z1119" i="2" s="1"/>
  <c r="W1124" i="2"/>
  <c r="X1125" i="2"/>
  <c r="V1126" i="2"/>
  <c r="V1130" i="2"/>
  <c r="V1134" i="2"/>
  <c r="V1138" i="2"/>
  <c r="AE1216" i="2"/>
  <c r="X1216" i="2"/>
  <c r="Y1216" i="2" s="1"/>
  <c r="Z1216" i="2" s="1"/>
  <c r="W1216" i="2"/>
  <c r="AE1224" i="2"/>
  <c r="X1224" i="2"/>
  <c r="Y1224" i="2" s="1"/>
  <c r="Z1224" i="2" s="1"/>
  <c r="W1224" i="2"/>
  <c r="V1224" i="2"/>
  <c r="W1014" i="2"/>
  <c r="W1018" i="2"/>
  <c r="W1022" i="2"/>
  <c r="W1026" i="2"/>
  <c r="W1030" i="2"/>
  <c r="Z1033" i="2"/>
  <c r="W1034" i="2"/>
  <c r="W1038" i="2"/>
  <c r="W1042" i="2"/>
  <c r="W1046" i="2"/>
  <c r="W1050" i="2"/>
  <c r="W1054" i="2"/>
  <c r="W1058" i="2"/>
  <c r="W1062" i="2"/>
  <c r="W1066" i="2"/>
  <c r="W1070" i="2"/>
  <c r="W1074" i="2"/>
  <c r="W1078" i="2"/>
  <c r="W1082" i="2"/>
  <c r="W1086" i="2"/>
  <c r="W1090" i="2"/>
  <c r="W1095" i="2"/>
  <c r="Z1096" i="2"/>
  <c r="W1096" i="2"/>
  <c r="W1107" i="2"/>
  <c r="Y1108" i="2"/>
  <c r="Z1108" i="2" s="1"/>
  <c r="W1108" i="2"/>
  <c r="W1109" i="2"/>
  <c r="V1109" i="2"/>
  <c r="W1110" i="2"/>
  <c r="AE1110" i="2"/>
  <c r="V1124" i="2"/>
  <c r="Y1125" i="2"/>
  <c r="Z1125" i="2" s="1"/>
  <c r="Y1128" i="2"/>
  <c r="Z1128" i="2" s="1"/>
  <c r="X1128" i="2"/>
  <c r="W1128" i="2"/>
  <c r="Y1130" i="2"/>
  <c r="Z1130" i="2" s="1"/>
  <c r="Y1132" i="2"/>
  <c r="Z1132" i="2" s="1"/>
  <c r="X1132" i="2"/>
  <c r="W1132" i="2"/>
  <c r="Y1134" i="2"/>
  <c r="Z1134" i="2" s="1"/>
  <c r="X1136" i="2"/>
  <c r="Y1136" i="2" s="1"/>
  <c r="Z1136" i="2" s="1"/>
  <c r="W1136" i="2"/>
  <c r="V1216" i="2"/>
  <c r="W1372" i="2"/>
  <c r="V1372" i="2"/>
  <c r="AE1372" i="2"/>
  <c r="X1372" i="2"/>
  <c r="Y1372" i="2" s="1"/>
  <c r="Z1372" i="2" s="1"/>
  <c r="X1070" i="2"/>
  <c r="Y1070" i="2" s="1"/>
  <c r="Z1070" i="2" s="1"/>
  <c r="X1074" i="2"/>
  <c r="Y1074" i="2" s="1"/>
  <c r="Z1074" i="2" s="1"/>
  <c r="X1078" i="2"/>
  <c r="X1082" i="2"/>
  <c r="Y1082" i="2" s="1"/>
  <c r="Z1082" i="2" s="1"/>
  <c r="X1086" i="2"/>
  <c r="Y1086" i="2" s="1"/>
  <c r="Z1086" i="2" s="1"/>
  <c r="X1090" i="2"/>
  <c r="Y1090" i="2" s="1"/>
  <c r="Z1090" i="2" s="1"/>
  <c r="X1095" i="2"/>
  <c r="Y1095" i="2" s="1"/>
  <c r="Z1095" i="2" s="1"/>
  <c r="V1096" i="2"/>
  <c r="W1097" i="2"/>
  <c r="X1107" i="2"/>
  <c r="Y1107" i="2" s="1"/>
  <c r="Z1107" i="2" s="1"/>
  <c r="V1108" i="2"/>
  <c r="X1109" i="2"/>
  <c r="Y1109" i="2" s="1"/>
  <c r="Z1109" i="2" s="1"/>
  <c r="V1110" i="2"/>
  <c r="X1124" i="2"/>
  <c r="Y1124" i="2" s="1"/>
  <c r="Z1124" i="2" s="1"/>
  <c r="V1347" i="2"/>
  <c r="Y1347" i="2"/>
  <c r="Z1347" i="2" s="1"/>
  <c r="X1347" i="2"/>
  <c r="W1347" i="2"/>
  <c r="AE1347" i="2"/>
  <c r="V1035" i="2"/>
  <c r="V1039" i="2"/>
  <c r="W1035" i="2"/>
  <c r="W1039" i="2"/>
  <c r="W1043" i="2"/>
  <c r="W1047" i="2"/>
  <c r="W1051" i="2"/>
  <c r="W1055" i="2"/>
  <c r="W1059" i="2"/>
  <c r="W1063" i="2"/>
  <c r="W1067" i="2"/>
  <c r="W1071" i="2"/>
  <c r="W1075" i="2"/>
  <c r="AE1093" i="2"/>
  <c r="V1098" i="2"/>
  <c r="W1112" i="2"/>
  <c r="W1113" i="2"/>
  <c r="V1113" i="2"/>
  <c r="W1114" i="2"/>
  <c r="AE1114" i="2"/>
  <c r="Z1167" i="2"/>
  <c r="AE1244" i="2"/>
  <c r="X1244" i="2"/>
  <c r="Y1244" i="2" s="1"/>
  <c r="Z1244" i="2" s="1"/>
  <c r="W1244" i="2"/>
  <c r="Y1313" i="2"/>
  <c r="Z1313" i="2" s="1"/>
  <c r="X1313" i="2"/>
  <c r="W1313" i="2"/>
  <c r="V1313" i="2"/>
  <c r="AE1313" i="2"/>
  <c r="X1035" i="2"/>
  <c r="Y1035" i="2" s="1"/>
  <c r="Z1035" i="2" s="1"/>
  <c r="X1039" i="2"/>
  <c r="Y1039" i="2" s="1"/>
  <c r="Z1039" i="2" s="1"/>
  <c r="X1043" i="2"/>
  <c r="X1047" i="2"/>
  <c r="Y1047" i="2" s="1"/>
  <c r="Z1047" i="2" s="1"/>
  <c r="X1051" i="2"/>
  <c r="X1055" i="2"/>
  <c r="X1059" i="2"/>
  <c r="Y1059" i="2" s="1"/>
  <c r="Z1059" i="2" s="1"/>
  <c r="X1063" i="2"/>
  <c r="Y1063" i="2" s="1"/>
  <c r="Z1063" i="2" s="1"/>
  <c r="X1067" i="2"/>
  <c r="Y1067" i="2" s="1"/>
  <c r="Z1067" i="2" s="1"/>
  <c r="X1071" i="2"/>
  <c r="Y1071" i="2" s="1"/>
  <c r="Z1071" i="2" s="1"/>
  <c r="X1075" i="2"/>
  <c r="Y1075" i="2" s="1"/>
  <c r="Z1075" i="2" s="1"/>
  <c r="X1079" i="2"/>
  <c r="X1083" i="2"/>
  <c r="Y1083" i="2" s="1"/>
  <c r="Z1083" i="2" s="1"/>
  <c r="X1087" i="2"/>
  <c r="Y1087" i="2" s="1"/>
  <c r="Z1087" i="2" s="1"/>
  <c r="X1091" i="2"/>
  <c r="Y1091" i="2" s="1"/>
  <c r="Z1091" i="2" s="1"/>
  <c r="Y1097" i="2"/>
  <c r="Z1097" i="2" s="1"/>
  <c r="X1098" i="2"/>
  <c r="Y1098" i="2" s="1"/>
  <c r="Z1098" i="2" s="1"/>
  <c r="AE1103" i="2"/>
  <c r="AE1104" i="2"/>
  <c r="AE1105" i="2"/>
  <c r="Z1110" i="2"/>
  <c r="X1111" i="2"/>
  <c r="V1112" i="2"/>
  <c r="X1113" i="2"/>
  <c r="Y1113" i="2" s="1"/>
  <c r="Z1113" i="2" s="1"/>
  <c r="V1114" i="2"/>
  <c r="AE1119" i="2"/>
  <c r="AE1120" i="2"/>
  <c r="AE1121" i="2"/>
  <c r="Z1163" i="2"/>
  <c r="X1226" i="2"/>
  <c r="Y1226" i="2" s="1"/>
  <c r="Z1226" i="2" s="1"/>
  <c r="AE1226" i="2"/>
  <c r="W1226" i="2"/>
  <c r="V1226" i="2"/>
  <c r="V1244" i="2"/>
  <c r="X1293" i="2"/>
  <c r="Y1293" i="2" s="1"/>
  <c r="Z1293" i="2" s="1"/>
  <c r="W1293" i="2"/>
  <c r="V1293" i="2"/>
  <c r="AE1293" i="2"/>
  <c r="Y1043" i="2"/>
  <c r="Z1043" i="2" s="1"/>
  <c r="Y1051" i="2"/>
  <c r="Z1051" i="2" s="1"/>
  <c r="Y1055" i="2"/>
  <c r="Z1055" i="2" s="1"/>
  <c r="Y1079" i="2"/>
  <c r="Z1079" i="2" s="1"/>
  <c r="Y1111" i="2"/>
  <c r="Z1111" i="2" s="1"/>
  <c r="X1112" i="2"/>
  <c r="Y1112" i="2" s="1"/>
  <c r="Z1112" i="2" s="1"/>
  <c r="X1114" i="2"/>
  <c r="Y1114" i="2" s="1"/>
  <c r="Z1114" i="2" s="1"/>
  <c r="AE1124" i="2"/>
  <c r="AE1125" i="2"/>
  <c r="AE1128" i="2"/>
  <c r="AE1132" i="2"/>
  <c r="AE1136" i="2"/>
  <c r="Z1161" i="2"/>
  <c r="Y1100" i="2"/>
  <c r="Z1100" i="2" s="1"/>
  <c r="W1100" i="2"/>
  <c r="Z1101" i="2"/>
  <c r="W1101" i="2"/>
  <c r="V1101" i="2"/>
  <c r="W1102" i="2"/>
  <c r="AE1102" i="2"/>
  <c r="Y1116" i="2"/>
  <c r="Z1116" i="2" s="1"/>
  <c r="W1116" i="2"/>
  <c r="W1117" i="2"/>
  <c r="V1117" i="2"/>
  <c r="W1118" i="2"/>
  <c r="AE1118" i="2"/>
  <c r="Z1155" i="2"/>
  <c r="W1325" i="2"/>
  <c r="X1325" i="2"/>
  <c r="Y1325" i="2" s="1"/>
  <c r="Z1325" i="2" s="1"/>
  <c r="AE1325" i="2"/>
  <c r="X1142" i="2"/>
  <c r="Y1142" i="2" s="1"/>
  <c r="Z1142" i="2" s="1"/>
  <c r="X1146" i="2"/>
  <c r="Y1146" i="2" s="1"/>
  <c r="Z1146" i="2" s="1"/>
  <c r="X1150" i="2"/>
  <c r="Y1150" i="2" s="1"/>
  <c r="Z1150" i="2" s="1"/>
  <c r="X1154" i="2"/>
  <c r="X1158" i="2"/>
  <c r="Y1158" i="2" s="1"/>
  <c r="Z1158" i="2" s="1"/>
  <c r="X1162" i="2"/>
  <c r="Y1162" i="2" s="1"/>
  <c r="Z1162" i="2" s="1"/>
  <c r="X1166" i="2"/>
  <c r="Y1166" i="2" s="1"/>
  <c r="Z1166" i="2" s="1"/>
  <c r="X1170" i="2"/>
  <c r="X1174" i="2"/>
  <c r="X1178" i="2"/>
  <c r="Y1178" i="2" s="1"/>
  <c r="Z1178" i="2" s="1"/>
  <c r="X1182" i="2"/>
  <c r="Y1182" i="2" s="1"/>
  <c r="Z1182" i="2" s="1"/>
  <c r="X1186" i="2"/>
  <c r="Y1186" i="2" s="1"/>
  <c r="Z1186" i="2" s="1"/>
  <c r="X1190" i="2"/>
  <c r="Y1190" i="2" s="1"/>
  <c r="Z1190" i="2" s="1"/>
  <c r="X1194" i="2"/>
  <c r="X1198" i="2"/>
  <c r="Y1198" i="2" s="1"/>
  <c r="Z1198" i="2" s="1"/>
  <c r="X1202" i="2"/>
  <c r="X1206" i="2"/>
  <c r="Y1206" i="2" s="1"/>
  <c r="Z1206" i="2" s="1"/>
  <c r="X1210" i="2"/>
  <c r="Y1210" i="2" s="1"/>
  <c r="Z1210" i="2" s="1"/>
  <c r="W1215" i="2"/>
  <c r="AE1217" i="2"/>
  <c r="W1220" i="2"/>
  <c r="AD1244" i="2"/>
  <c r="X1245" i="2"/>
  <c r="Y1245" i="2" s="1"/>
  <c r="Z1245" i="2" s="1"/>
  <c r="W1245" i="2"/>
  <c r="V1245" i="2"/>
  <c r="X1249" i="2"/>
  <c r="Y1249" i="2" s="1"/>
  <c r="Z1249" i="2" s="1"/>
  <c r="W1249" i="2"/>
  <c r="V1249" i="2"/>
  <c r="AE1276" i="2"/>
  <c r="Y1276" i="2"/>
  <c r="Z1276" i="2" s="1"/>
  <c r="V1276" i="2"/>
  <c r="X1285" i="2"/>
  <c r="Y1285" i="2" s="1"/>
  <c r="Z1285" i="2" s="1"/>
  <c r="W1285" i="2"/>
  <c r="V1285" i="2"/>
  <c r="AE1285" i="2"/>
  <c r="X1418" i="2"/>
  <c r="Y1418" i="2" s="1"/>
  <c r="Z1418" i="2" s="1"/>
  <c r="W1418" i="2"/>
  <c r="AE1418" i="2"/>
  <c r="V1418" i="2"/>
  <c r="Z1215" i="2"/>
  <c r="AE1264" i="2"/>
  <c r="Y1264" i="2"/>
  <c r="Z1264" i="2" s="1"/>
  <c r="V1264" i="2"/>
  <c r="X1273" i="2"/>
  <c r="Y1273" i="2" s="1"/>
  <c r="Z1273" i="2" s="1"/>
  <c r="W1273" i="2"/>
  <c r="V1273" i="2"/>
  <c r="AE1273" i="2"/>
  <c r="W1324" i="2"/>
  <c r="AE1324" i="2"/>
  <c r="V1324" i="2"/>
  <c r="Y1346" i="2"/>
  <c r="Z1346" i="2" s="1"/>
  <c r="W1346" i="2"/>
  <c r="AE1346" i="2"/>
  <c r="X1346" i="2"/>
  <c r="X1434" i="2"/>
  <c r="Y1434" i="2" s="1"/>
  <c r="Z1434" i="2" s="1"/>
  <c r="W1434" i="2"/>
  <c r="AE1434" i="2"/>
  <c r="V1434" i="2"/>
  <c r="AD1228" i="2"/>
  <c r="W1229" i="2"/>
  <c r="V1229" i="2"/>
  <c r="AE1292" i="2"/>
  <c r="V1292" i="2"/>
  <c r="Y1301" i="2"/>
  <c r="Z1301" i="2" s="1"/>
  <c r="X1301" i="2"/>
  <c r="W1301" i="2"/>
  <c r="V1301" i="2"/>
  <c r="AE1301" i="2"/>
  <c r="AE1312" i="2"/>
  <c r="V1312" i="2"/>
  <c r="W1140" i="2"/>
  <c r="W1144" i="2"/>
  <c r="W1148" i="2"/>
  <c r="W1152" i="2"/>
  <c r="W1156" i="2"/>
  <c r="W1160" i="2"/>
  <c r="W1164" i="2"/>
  <c r="W1168" i="2"/>
  <c r="W1172" i="2"/>
  <c r="W1176" i="2"/>
  <c r="W1180" i="2"/>
  <c r="W1184" i="2"/>
  <c r="W1188" i="2"/>
  <c r="W1192" i="2"/>
  <c r="W1196" i="2"/>
  <c r="W1200" i="2"/>
  <c r="W1204" i="2"/>
  <c r="W1208" i="2"/>
  <c r="W1212" i="2"/>
  <c r="AE1214" i="2"/>
  <c r="X1217" i="2"/>
  <c r="AE1228" i="2"/>
  <c r="X1229" i="2"/>
  <c r="Y1229" i="2" s="1"/>
  <c r="Z1229" i="2" s="1"/>
  <c r="X1230" i="2"/>
  <c r="Y1230" i="2" s="1"/>
  <c r="Z1230" i="2" s="1"/>
  <c r="AE1230" i="2"/>
  <c r="AE1249" i="2"/>
  <c r="Y1261" i="2"/>
  <c r="Z1261" i="2" s="1"/>
  <c r="X1261" i="2"/>
  <c r="W1261" i="2"/>
  <c r="V1261" i="2"/>
  <c r="AE1261" i="2"/>
  <c r="X1264" i="2"/>
  <c r="AE1272" i="2"/>
  <c r="Y1272" i="2"/>
  <c r="Z1272" i="2" s="1"/>
  <c r="V1272" i="2"/>
  <c r="X1281" i="2"/>
  <c r="Y1281" i="2" s="1"/>
  <c r="Z1281" i="2" s="1"/>
  <c r="W1281" i="2"/>
  <c r="V1281" i="2"/>
  <c r="AE1281" i="2"/>
  <c r="W1292" i="2"/>
  <c r="W1312" i="2"/>
  <c r="X1321" i="2"/>
  <c r="Y1321" i="2" s="1"/>
  <c r="Z1321" i="2" s="1"/>
  <c r="W1321" i="2"/>
  <c r="V1321" i="2"/>
  <c r="AE1321" i="2"/>
  <c r="Y1324" i="2"/>
  <c r="Z1324" i="2" s="1"/>
  <c r="X1402" i="2"/>
  <c r="Y1402" i="2" s="1"/>
  <c r="Z1402" i="2" s="1"/>
  <c r="W1402" i="2"/>
  <c r="AE1402" i="2"/>
  <c r="X1140" i="2"/>
  <c r="Y1140" i="2" s="1"/>
  <c r="Z1140" i="2" s="1"/>
  <c r="X1144" i="2"/>
  <c r="Y1144" i="2" s="1"/>
  <c r="Z1144" i="2" s="1"/>
  <c r="X1148" i="2"/>
  <c r="Y1148" i="2" s="1"/>
  <c r="Z1148" i="2" s="1"/>
  <c r="X1152" i="2"/>
  <c r="X1156" i="2"/>
  <c r="Y1156" i="2" s="1"/>
  <c r="Z1156" i="2" s="1"/>
  <c r="X1160" i="2"/>
  <c r="Y1160" i="2" s="1"/>
  <c r="Z1160" i="2" s="1"/>
  <c r="X1164" i="2"/>
  <c r="X1168" i="2"/>
  <c r="Y1168" i="2" s="1"/>
  <c r="Z1168" i="2" s="1"/>
  <c r="X1172" i="2"/>
  <c r="X1176" i="2"/>
  <c r="Y1176" i="2" s="1"/>
  <c r="Z1176" i="2" s="1"/>
  <c r="X1180" i="2"/>
  <c r="Y1180" i="2" s="1"/>
  <c r="Z1180" i="2" s="1"/>
  <c r="X1184" i="2"/>
  <c r="Y1184" i="2" s="1"/>
  <c r="Z1184" i="2" s="1"/>
  <c r="X1188" i="2"/>
  <c r="Y1188" i="2" s="1"/>
  <c r="Z1188" i="2" s="1"/>
  <c r="X1192" i="2"/>
  <c r="Y1192" i="2" s="1"/>
  <c r="Z1192" i="2" s="1"/>
  <c r="X1196" i="2"/>
  <c r="Y1196" i="2" s="1"/>
  <c r="Z1196" i="2" s="1"/>
  <c r="X1200" i="2"/>
  <c r="Y1200" i="2" s="1"/>
  <c r="Z1200" i="2" s="1"/>
  <c r="X1204" i="2"/>
  <c r="Y1204" i="2" s="1"/>
  <c r="Z1204" i="2" s="1"/>
  <c r="X1208" i="2"/>
  <c r="Y1208" i="2" s="1"/>
  <c r="Z1208" i="2" s="1"/>
  <c r="X1212" i="2"/>
  <c r="Y1212" i="2" s="1"/>
  <c r="Z1212" i="2" s="1"/>
  <c r="Y1217" i="2"/>
  <c r="Z1217" i="2" s="1"/>
  <c r="AD1232" i="2"/>
  <c r="W1233" i="2"/>
  <c r="V1233" i="2"/>
  <c r="X1292" i="2"/>
  <c r="Y1292" i="2" s="1"/>
  <c r="Z1292" i="2" s="1"/>
  <c r="AE1300" i="2"/>
  <c r="Y1300" i="2"/>
  <c r="Z1300" i="2" s="1"/>
  <c r="V1300" i="2"/>
  <c r="X1312" i="2"/>
  <c r="Y1312" i="2" s="1"/>
  <c r="Z1312" i="2" s="1"/>
  <c r="W1333" i="2"/>
  <c r="X1333" i="2"/>
  <c r="Y1333" i="2" s="1"/>
  <c r="Z1333" i="2" s="1"/>
  <c r="V1333" i="2"/>
  <c r="AE1333" i="2"/>
  <c r="V1129" i="2"/>
  <c r="V1133" i="2"/>
  <c r="V1137" i="2"/>
  <c r="V1141" i="2"/>
  <c r="AE1142" i="2"/>
  <c r="V1145" i="2"/>
  <c r="AE1146" i="2"/>
  <c r="V1149" i="2"/>
  <c r="AE1150" i="2"/>
  <c r="Y1152" i="2"/>
  <c r="Z1152" i="2" s="1"/>
  <c r="V1153" i="2"/>
  <c r="AE1154" i="2"/>
  <c r="V1157" i="2"/>
  <c r="AE1158" i="2"/>
  <c r="V1161" i="2"/>
  <c r="AE1162" i="2"/>
  <c r="Y1164" i="2"/>
  <c r="Z1164" i="2" s="1"/>
  <c r="V1165" i="2"/>
  <c r="AE1166" i="2"/>
  <c r="V1169" i="2"/>
  <c r="AE1170" i="2"/>
  <c r="Y1172" i="2"/>
  <c r="Z1172" i="2" s="1"/>
  <c r="V1173" i="2"/>
  <c r="AE1174" i="2"/>
  <c r="V1177" i="2"/>
  <c r="AE1178" i="2"/>
  <c r="V1181" i="2"/>
  <c r="AE1182" i="2"/>
  <c r="V1185" i="2"/>
  <c r="AE1186" i="2"/>
  <c r="V1189" i="2"/>
  <c r="AE1190" i="2"/>
  <c r="V1193" i="2"/>
  <c r="AE1194" i="2"/>
  <c r="V1197" i="2"/>
  <c r="AE1198" i="2"/>
  <c r="V1201" i="2"/>
  <c r="V1205" i="2"/>
  <c r="V1209" i="2"/>
  <c r="W1228" i="2"/>
  <c r="W1230" i="2"/>
  <c r="AE1232" i="2"/>
  <c r="Y1232" i="2"/>
  <c r="Z1232" i="2" s="1"/>
  <c r="X1233" i="2"/>
  <c r="X1234" i="2"/>
  <c r="Y1234" i="2" s="1"/>
  <c r="Z1234" i="2" s="1"/>
  <c r="AE1234" i="2"/>
  <c r="AE1245" i="2"/>
  <c r="AE1260" i="2"/>
  <c r="Y1260" i="2"/>
  <c r="Z1260" i="2" s="1"/>
  <c r="V1260" i="2"/>
  <c r="AE1280" i="2"/>
  <c r="Y1280" i="2"/>
  <c r="Z1280" i="2" s="1"/>
  <c r="V1280" i="2"/>
  <c r="X1289" i="2"/>
  <c r="Y1289" i="2" s="1"/>
  <c r="Z1289" i="2" s="1"/>
  <c r="W1289" i="2"/>
  <c r="V1289" i="2"/>
  <c r="AE1289" i="2"/>
  <c r="W1300" i="2"/>
  <c r="X1309" i="2"/>
  <c r="Y1309" i="2" s="1"/>
  <c r="Z1309" i="2" s="1"/>
  <c r="W1309" i="2"/>
  <c r="V1309" i="2"/>
  <c r="AE1309" i="2"/>
  <c r="AE1320" i="2"/>
  <c r="Y1320" i="2"/>
  <c r="Z1320" i="2" s="1"/>
  <c r="V1320" i="2"/>
  <c r="V1343" i="2"/>
  <c r="AE1343" i="2"/>
  <c r="W1343" i="2"/>
  <c r="AE1517" i="2"/>
  <c r="V1517" i="2"/>
  <c r="X1517" i="2"/>
  <c r="Y1517" i="2" s="1"/>
  <c r="Z1517" i="2" s="1"/>
  <c r="W1517" i="2"/>
  <c r="W1129" i="2"/>
  <c r="W1133" i="2"/>
  <c r="W1137" i="2"/>
  <c r="W1141" i="2"/>
  <c r="W1145" i="2"/>
  <c r="W1149" i="2"/>
  <c r="W1153" i="2"/>
  <c r="W1157" i="2"/>
  <c r="W1161" i="2"/>
  <c r="W1165" i="2"/>
  <c r="W1169" i="2"/>
  <c r="W1173" i="2"/>
  <c r="W1177" i="2"/>
  <c r="W1181" i="2"/>
  <c r="W1185" i="2"/>
  <c r="W1189" i="2"/>
  <c r="W1193" i="2"/>
  <c r="AE1215" i="2"/>
  <c r="Y1218" i="2"/>
  <c r="Z1218" i="2" s="1"/>
  <c r="X1228" i="2"/>
  <c r="Y1228" i="2" s="1"/>
  <c r="Z1228" i="2" s="1"/>
  <c r="V1232" i="2"/>
  <c r="Y1233" i="2"/>
  <c r="Z1233" i="2" s="1"/>
  <c r="V1234" i="2"/>
  <c r="AD1236" i="2"/>
  <c r="W1237" i="2"/>
  <c r="V1237" i="2"/>
  <c r="Y1257" i="2"/>
  <c r="Z1257" i="2" s="1"/>
  <c r="X1257" i="2"/>
  <c r="W1257" i="2"/>
  <c r="V1257" i="2"/>
  <c r="W1260" i="2"/>
  <c r="X1269" i="2"/>
  <c r="Y1269" i="2" s="1"/>
  <c r="Z1269" i="2" s="1"/>
  <c r="W1269" i="2"/>
  <c r="V1269" i="2"/>
  <c r="AE1269" i="2"/>
  <c r="W1280" i="2"/>
  <c r="X1300" i="2"/>
  <c r="W1320" i="2"/>
  <c r="X1343" i="2"/>
  <c r="Y1343" i="2" s="1"/>
  <c r="Z1343" i="2" s="1"/>
  <c r="Z1375" i="2"/>
  <c r="W1376" i="2"/>
  <c r="V1376" i="2"/>
  <c r="AE1376" i="2"/>
  <c r="Z1376" i="2"/>
  <c r="X1376" i="2"/>
  <c r="AE1236" i="2"/>
  <c r="Y1236" i="2"/>
  <c r="Z1236" i="2" s="1"/>
  <c r="X1238" i="2"/>
  <c r="Y1238" i="2" s="1"/>
  <c r="Z1238" i="2" s="1"/>
  <c r="AE1238" i="2"/>
  <c r="AE1256" i="2"/>
  <c r="Y1256" i="2"/>
  <c r="Z1256" i="2" s="1"/>
  <c r="AE1288" i="2"/>
  <c r="Y1288" i="2"/>
  <c r="Z1288" i="2" s="1"/>
  <c r="V1288" i="2"/>
  <c r="X1297" i="2"/>
  <c r="Y1297" i="2" s="1"/>
  <c r="Z1297" i="2" s="1"/>
  <c r="W1297" i="2"/>
  <c r="V1297" i="2"/>
  <c r="AE1297" i="2"/>
  <c r="AE1308" i="2"/>
  <c r="V1308" i="2"/>
  <c r="X1317" i="2"/>
  <c r="Y1317" i="2" s="1"/>
  <c r="Z1317" i="2" s="1"/>
  <c r="W1317" i="2"/>
  <c r="V1317" i="2"/>
  <c r="AE1317" i="2"/>
  <c r="W1332" i="2"/>
  <c r="AE1332" i="2"/>
  <c r="X1332" i="2"/>
  <c r="Y1332" i="2" s="1"/>
  <c r="Z1332" i="2" s="1"/>
  <c r="X1390" i="2"/>
  <c r="Y1390" i="2" s="1"/>
  <c r="Z1390" i="2" s="1"/>
  <c r="W1390" i="2"/>
  <c r="AE1390" i="2"/>
  <c r="Y1220" i="2"/>
  <c r="Z1220" i="2" s="1"/>
  <c r="W1221" i="2"/>
  <c r="V1221" i="2"/>
  <c r="W1241" i="2"/>
  <c r="V1241" i="2"/>
  <c r="X1253" i="2"/>
  <c r="Y1253" i="2" s="1"/>
  <c r="Z1253" i="2" s="1"/>
  <c r="W1253" i="2"/>
  <c r="V1253" i="2"/>
  <c r="AE1268" i="2"/>
  <c r="Y1268" i="2"/>
  <c r="Z1268" i="2" s="1"/>
  <c r="V1268" i="2"/>
  <c r="X1277" i="2"/>
  <c r="Y1277" i="2" s="1"/>
  <c r="Z1277" i="2" s="1"/>
  <c r="W1277" i="2"/>
  <c r="V1277" i="2"/>
  <c r="AE1277" i="2"/>
  <c r="AE1331" i="2"/>
  <c r="Y1331" i="2"/>
  <c r="Z1331" i="2" s="1"/>
  <c r="V1331" i="2"/>
  <c r="X1470" i="2"/>
  <c r="Y1470" i="2" s="1"/>
  <c r="Z1470" i="2" s="1"/>
  <c r="W1470" i="2"/>
  <c r="V1470" i="2"/>
  <c r="AE1470" i="2"/>
  <c r="V1220" i="2"/>
  <c r="X1221" i="2"/>
  <c r="Y1221" i="2" s="1"/>
  <c r="Z1221" i="2" s="1"/>
  <c r="X1222" i="2"/>
  <c r="Y1222" i="2" s="1"/>
  <c r="Z1222" i="2" s="1"/>
  <c r="AE1222" i="2"/>
  <c r="AE1240" i="2"/>
  <c r="Y1240" i="2"/>
  <c r="Z1240" i="2" s="1"/>
  <c r="X1241" i="2"/>
  <c r="Y1241" i="2" s="1"/>
  <c r="Z1241" i="2" s="1"/>
  <c r="X1242" i="2"/>
  <c r="Y1242" i="2" s="1"/>
  <c r="Z1242" i="2" s="1"/>
  <c r="AE1242" i="2"/>
  <c r="AE1252" i="2"/>
  <c r="Y1252" i="2"/>
  <c r="Z1252" i="2" s="1"/>
  <c r="W1268" i="2"/>
  <c r="AE1296" i="2"/>
  <c r="Y1296" i="2"/>
  <c r="Z1296" i="2" s="1"/>
  <c r="V1296" i="2"/>
  <c r="X1305" i="2"/>
  <c r="Y1305" i="2" s="1"/>
  <c r="Z1305" i="2" s="1"/>
  <c r="W1305" i="2"/>
  <c r="V1305" i="2"/>
  <c r="AE1305" i="2"/>
  <c r="AE1316" i="2"/>
  <c r="Y1316" i="2"/>
  <c r="Z1316" i="2" s="1"/>
  <c r="V1316" i="2"/>
  <c r="W1331" i="2"/>
  <c r="AE1389" i="2"/>
  <c r="W1389" i="2"/>
  <c r="X1389" i="2"/>
  <c r="Y1389" i="2" s="1"/>
  <c r="Z1389" i="2" s="1"/>
  <c r="W1342" i="2"/>
  <c r="Y1357" i="2"/>
  <c r="Z1357" i="2" s="1"/>
  <c r="X1406" i="2"/>
  <c r="Y1406" i="2" s="1"/>
  <c r="Z1406" i="2" s="1"/>
  <c r="W1406" i="2"/>
  <c r="AD1454" i="2"/>
  <c r="AE1493" i="2"/>
  <c r="Y1493" i="2"/>
  <c r="Z1493" i="2" s="1"/>
  <c r="V1493" i="2"/>
  <c r="X1422" i="2"/>
  <c r="Y1422" i="2" s="1"/>
  <c r="Z1422" i="2" s="1"/>
  <c r="W1422" i="2"/>
  <c r="Z1439" i="2"/>
  <c r="W1344" i="2"/>
  <c r="AE1344" i="2"/>
  <c r="W1345" i="2"/>
  <c r="AE1373" i="2"/>
  <c r="W1373" i="2"/>
  <c r="X1374" i="2"/>
  <c r="Y1374" i="2" s="1"/>
  <c r="Z1374" i="2" s="1"/>
  <c r="W1374" i="2"/>
  <c r="Z1391" i="2"/>
  <c r="W1392" i="2"/>
  <c r="V1392" i="2"/>
  <c r="AE1392" i="2"/>
  <c r="Z1392" i="2"/>
  <c r="X1392" i="2"/>
  <c r="V1422" i="2"/>
  <c r="X1438" i="2"/>
  <c r="Y1438" i="2" s="1"/>
  <c r="Z1438" i="2" s="1"/>
  <c r="W1438" i="2"/>
  <c r="W1467" i="2"/>
  <c r="V1467" i="2"/>
  <c r="AE1467" i="2"/>
  <c r="X1467" i="2"/>
  <c r="Y1467" i="2" s="1"/>
  <c r="Z1467" i="2" s="1"/>
  <c r="V1488" i="2"/>
  <c r="AE1488" i="2"/>
  <c r="X1488" i="2"/>
  <c r="Y1488" i="2" s="1"/>
  <c r="Z1488" i="2" s="1"/>
  <c r="W1488" i="2"/>
  <c r="AE1505" i="2"/>
  <c r="Y1505" i="2"/>
  <c r="Z1505" i="2" s="1"/>
  <c r="V1505" i="2"/>
  <c r="AE1246" i="2"/>
  <c r="AE1250" i="2"/>
  <c r="AE1254" i="2"/>
  <c r="AE1258" i="2"/>
  <c r="AE1262" i="2"/>
  <c r="AE1266" i="2"/>
  <c r="AE1270" i="2"/>
  <c r="AE1274" i="2"/>
  <c r="AE1278" i="2"/>
  <c r="AE1282" i="2"/>
  <c r="AE1286" i="2"/>
  <c r="AE1290" i="2"/>
  <c r="AE1294" i="2"/>
  <c r="AE1298" i="2"/>
  <c r="AE1302" i="2"/>
  <c r="AE1306" i="2"/>
  <c r="AE1310" i="2"/>
  <c r="AE1314" i="2"/>
  <c r="AE1318" i="2"/>
  <c r="AE1322" i="2"/>
  <c r="Y1344" i="2"/>
  <c r="Z1344" i="2" s="1"/>
  <c r="Y1345" i="2"/>
  <c r="Z1345" i="2" s="1"/>
  <c r="W1348" i="2"/>
  <c r="AE1348" i="2"/>
  <c r="W1349" i="2"/>
  <c r="AE1369" i="2"/>
  <c r="Z1369" i="2"/>
  <c r="W1369" i="2"/>
  <c r="X1370" i="2"/>
  <c r="Y1370" i="2" s="1"/>
  <c r="Z1370" i="2" s="1"/>
  <c r="W1370" i="2"/>
  <c r="Y1373" i="2"/>
  <c r="Z1373" i="2" s="1"/>
  <c r="W1388" i="2"/>
  <c r="V1388" i="2"/>
  <c r="AE1388" i="2"/>
  <c r="AE1453" i="2"/>
  <c r="X1453" i="2"/>
  <c r="Y1453" i="2" s="1"/>
  <c r="Z1453" i="2" s="1"/>
  <c r="W1453" i="2"/>
  <c r="V1453" i="2"/>
  <c r="AD1466" i="2"/>
  <c r="V1334" i="2"/>
  <c r="V1348" i="2"/>
  <c r="V1349" i="2"/>
  <c r="W1350" i="2"/>
  <c r="AE1365" i="2"/>
  <c r="Z1365" i="2"/>
  <c r="W1365" i="2"/>
  <c r="X1366" i="2"/>
  <c r="Y1366" i="2" s="1"/>
  <c r="Z1366" i="2" s="1"/>
  <c r="W1366" i="2"/>
  <c r="V1369" i="2"/>
  <c r="V1370" i="2"/>
  <c r="AE1385" i="2"/>
  <c r="Z1385" i="2"/>
  <c r="W1385" i="2"/>
  <c r="X1386" i="2"/>
  <c r="Y1386" i="2" s="1"/>
  <c r="Z1386" i="2" s="1"/>
  <c r="W1386" i="2"/>
  <c r="X1388" i="2"/>
  <c r="Y1388" i="2" s="1"/>
  <c r="Z1388" i="2" s="1"/>
  <c r="Z1399" i="2"/>
  <c r="AE1406" i="2"/>
  <c r="Z1415" i="2"/>
  <c r="Z1431" i="2"/>
  <c r="X1490" i="2"/>
  <c r="Y1490" i="2" s="1"/>
  <c r="Z1490" i="2" s="1"/>
  <c r="W1490" i="2"/>
  <c r="V1490" i="2"/>
  <c r="AE1490" i="2"/>
  <c r="V1335" i="2"/>
  <c r="V1351" i="2"/>
  <c r="W1368" i="2"/>
  <c r="V1368" i="2"/>
  <c r="AE1368" i="2"/>
  <c r="Z1368" i="2"/>
  <c r="X1398" i="2"/>
  <c r="Y1398" i="2" s="1"/>
  <c r="Z1398" i="2" s="1"/>
  <c r="W1398" i="2"/>
  <c r="X1414" i="2"/>
  <c r="Y1414" i="2" s="1"/>
  <c r="Z1414" i="2" s="1"/>
  <c r="W1414" i="2"/>
  <c r="AE1422" i="2"/>
  <c r="X1430" i="2"/>
  <c r="Y1430" i="2" s="1"/>
  <c r="Z1430" i="2" s="1"/>
  <c r="W1430" i="2"/>
  <c r="AD1486" i="2"/>
  <c r="AE1582" i="2"/>
  <c r="V1582" i="2"/>
  <c r="X1582" i="2"/>
  <c r="Y1582" i="2" s="1"/>
  <c r="Z1582" i="2" s="1"/>
  <c r="W1582" i="2"/>
  <c r="W1336" i="2"/>
  <c r="AE1336" i="2"/>
  <c r="W1337" i="2"/>
  <c r="W1352" i="2"/>
  <c r="AE1352" i="2"/>
  <c r="W1353" i="2"/>
  <c r="AE1361" i="2"/>
  <c r="W1361" i="2"/>
  <c r="X1362" i="2"/>
  <c r="Y1362" i="2" s="1"/>
  <c r="Z1362" i="2" s="1"/>
  <c r="W1362" i="2"/>
  <c r="W1364" i="2"/>
  <c r="V1364" i="2"/>
  <c r="AE1364" i="2"/>
  <c r="W1384" i="2"/>
  <c r="V1384" i="2"/>
  <c r="AE1384" i="2"/>
  <c r="X1444" i="2"/>
  <c r="Y1444" i="2" s="1"/>
  <c r="Z1444" i="2" s="1"/>
  <c r="W1444" i="2"/>
  <c r="V1444" i="2"/>
  <c r="AE1444" i="2"/>
  <c r="AE1469" i="2"/>
  <c r="X1469" i="2"/>
  <c r="Y1469" i="2" s="1"/>
  <c r="Z1469" i="2" s="1"/>
  <c r="W1469" i="2"/>
  <c r="V1469" i="2"/>
  <c r="X1502" i="2"/>
  <c r="Y1502" i="2" s="1"/>
  <c r="Z1502" i="2" s="1"/>
  <c r="W1502" i="2"/>
  <c r="V1502" i="2"/>
  <c r="AE1502" i="2"/>
  <c r="AE1528" i="2"/>
  <c r="Y1528" i="2"/>
  <c r="Z1528" i="2" s="1"/>
  <c r="X1528" i="2"/>
  <c r="W1528" i="2"/>
  <c r="V1528" i="2"/>
  <c r="W1328" i="2"/>
  <c r="V1336" i="2"/>
  <c r="V1337" i="2"/>
  <c r="W1338" i="2"/>
  <c r="V1352" i="2"/>
  <c r="V1353" i="2"/>
  <c r="X1354" i="2"/>
  <c r="Y1354" i="2" s="1"/>
  <c r="Z1354" i="2" s="1"/>
  <c r="W1354" i="2"/>
  <c r="W1357" i="2"/>
  <c r="V1361" i="2"/>
  <c r="V1362" i="2"/>
  <c r="X1364" i="2"/>
  <c r="Y1364" i="2" s="1"/>
  <c r="Z1364" i="2" s="1"/>
  <c r="AE1381" i="2"/>
  <c r="W1381" i="2"/>
  <c r="X1382" i="2"/>
  <c r="Y1382" i="2" s="1"/>
  <c r="Z1382" i="2" s="1"/>
  <c r="W1382" i="2"/>
  <c r="X1384" i="2"/>
  <c r="Y1384" i="2" s="1"/>
  <c r="Z1384" i="2" s="1"/>
  <c r="X1246" i="2"/>
  <c r="Y1246" i="2" s="1"/>
  <c r="Z1246" i="2" s="1"/>
  <c r="X1250" i="2"/>
  <c r="Y1250" i="2" s="1"/>
  <c r="Z1250" i="2" s="1"/>
  <c r="X1254" i="2"/>
  <c r="X1258" i="2"/>
  <c r="Y1258" i="2" s="1"/>
  <c r="Z1258" i="2" s="1"/>
  <c r="X1262" i="2"/>
  <c r="Y1262" i="2" s="1"/>
  <c r="Z1262" i="2" s="1"/>
  <c r="X1266" i="2"/>
  <c r="Y1266" i="2" s="1"/>
  <c r="Z1266" i="2" s="1"/>
  <c r="X1270" i="2"/>
  <c r="Y1270" i="2" s="1"/>
  <c r="Z1270" i="2" s="1"/>
  <c r="X1274" i="2"/>
  <c r="Y1274" i="2" s="1"/>
  <c r="Z1274" i="2" s="1"/>
  <c r="X1278" i="2"/>
  <c r="Y1278" i="2" s="1"/>
  <c r="Z1278" i="2" s="1"/>
  <c r="X1282" i="2"/>
  <c r="Y1282" i="2" s="1"/>
  <c r="Z1282" i="2" s="1"/>
  <c r="X1286" i="2"/>
  <c r="Y1286" i="2" s="1"/>
  <c r="Z1286" i="2" s="1"/>
  <c r="X1290" i="2"/>
  <c r="Y1290" i="2" s="1"/>
  <c r="Z1290" i="2" s="1"/>
  <c r="X1294" i="2"/>
  <c r="Y1294" i="2" s="1"/>
  <c r="Z1294" i="2" s="1"/>
  <c r="X1298" i="2"/>
  <c r="Y1298" i="2" s="1"/>
  <c r="Z1298" i="2" s="1"/>
  <c r="X1302" i="2"/>
  <c r="Y1302" i="2" s="1"/>
  <c r="Z1302" i="2" s="1"/>
  <c r="X1306" i="2"/>
  <c r="Y1306" i="2" s="1"/>
  <c r="Z1306" i="2" s="1"/>
  <c r="X1310" i="2"/>
  <c r="Y1310" i="2" s="1"/>
  <c r="Z1310" i="2" s="1"/>
  <c r="X1314" i="2"/>
  <c r="Y1314" i="2" s="1"/>
  <c r="Z1314" i="2" s="1"/>
  <c r="X1318" i="2"/>
  <c r="Y1318" i="2" s="1"/>
  <c r="Z1318" i="2" s="1"/>
  <c r="X1322" i="2"/>
  <c r="Y1322" i="2" s="1"/>
  <c r="Z1322" i="2" s="1"/>
  <c r="X1327" i="2"/>
  <c r="Y1327" i="2" s="1"/>
  <c r="Z1327" i="2" s="1"/>
  <c r="V1328" i="2"/>
  <c r="Z1329" i="2"/>
  <c r="W1329" i="2"/>
  <c r="Y1335" i="2"/>
  <c r="Z1335" i="2" s="1"/>
  <c r="X1336" i="2"/>
  <c r="Y1336" i="2" s="1"/>
  <c r="Z1336" i="2" s="1"/>
  <c r="X1337" i="2"/>
  <c r="Y1337" i="2" s="1"/>
  <c r="Z1337" i="2" s="1"/>
  <c r="V1338" i="2"/>
  <c r="Z1339" i="2"/>
  <c r="V1339" i="2"/>
  <c r="AE1345" i="2"/>
  <c r="Y1351" i="2"/>
  <c r="Z1351" i="2" s="1"/>
  <c r="X1352" i="2"/>
  <c r="Y1352" i="2" s="1"/>
  <c r="Z1352" i="2" s="1"/>
  <c r="X1353" i="2"/>
  <c r="Y1353" i="2" s="1"/>
  <c r="Z1353" i="2" s="1"/>
  <c r="V1354" i="2"/>
  <c r="W1356" i="2"/>
  <c r="AE1356" i="2"/>
  <c r="Z1356" i="2"/>
  <c r="V1357" i="2"/>
  <c r="X1358" i="2"/>
  <c r="Y1358" i="2" s="1"/>
  <c r="Z1358" i="2" s="1"/>
  <c r="W1358" i="2"/>
  <c r="Z1359" i="2"/>
  <c r="W1360" i="2"/>
  <c r="V1360" i="2"/>
  <c r="AE1360" i="2"/>
  <c r="Z1360" i="2"/>
  <c r="X1361" i="2"/>
  <c r="Y1361" i="2" s="1"/>
  <c r="Z1361" i="2" s="1"/>
  <c r="V1381" i="2"/>
  <c r="V1382" i="2"/>
  <c r="Z1395" i="2"/>
  <c r="W1396" i="2"/>
  <c r="V1396" i="2"/>
  <c r="AE1396" i="2"/>
  <c r="X1396" i="2"/>
  <c r="Y1396" i="2" s="1"/>
  <c r="Z1396" i="2" s="1"/>
  <c r="X1410" i="2"/>
  <c r="Y1410" i="2" s="1"/>
  <c r="Z1410" i="2" s="1"/>
  <c r="W1410" i="2"/>
  <c r="X1426" i="2"/>
  <c r="Y1426" i="2" s="1"/>
  <c r="Z1426" i="2" s="1"/>
  <c r="W1426" i="2"/>
  <c r="V1468" i="2"/>
  <c r="AE1468" i="2"/>
  <c r="X1468" i="2"/>
  <c r="Y1468" i="2" s="1"/>
  <c r="Z1468" i="2" s="1"/>
  <c r="AE1489" i="2"/>
  <c r="X1489" i="2"/>
  <c r="Y1489" i="2" s="1"/>
  <c r="Z1489" i="2" s="1"/>
  <c r="W1489" i="2"/>
  <c r="V1489" i="2"/>
  <c r="X1514" i="2"/>
  <c r="Y1514" i="2" s="1"/>
  <c r="Z1514" i="2" s="1"/>
  <c r="W1514" i="2"/>
  <c r="V1514" i="2"/>
  <c r="AE1514" i="2"/>
  <c r="W1551" i="2"/>
  <c r="V1551" i="2"/>
  <c r="AE1551" i="2"/>
  <c r="Y1551" i="2"/>
  <c r="Z1551" i="2" s="1"/>
  <c r="X1328" i="2"/>
  <c r="Y1328" i="2" s="1"/>
  <c r="Z1328" i="2" s="1"/>
  <c r="X1338" i="2"/>
  <c r="Y1338" i="2" s="1"/>
  <c r="Z1338" i="2" s="1"/>
  <c r="W1340" i="2"/>
  <c r="AE1340" i="2"/>
  <c r="Z1340" i="2"/>
  <c r="W1341" i="2"/>
  <c r="X1357" i="2"/>
  <c r="AE1377" i="2"/>
  <c r="W1377" i="2"/>
  <c r="X1378" i="2"/>
  <c r="Y1378" i="2" s="1"/>
  <c r="Z1378" i="2" s="1"/>
  <c r="W1378" i="2"/>
  <c r="W1380" i="2"/>
  <c r="V1380" i="2"/>
  <c r="AE1380" i="2"/>
  <c r="X1381" i="2"/>
  <c r="Y1381" i="2" s="1"/>
  <c r="Z1381" i="2" s="1"/>
  <c r="X1394" i="2"/>
  <c r="Y1394" i="2" s="1"/>
  <c r="Z1394" i="2" s="1"/>
  <c r="W1394" i="2"/>
  <c r="W1443" i="2"/>
  <c r="AE1443" i="2"/>
  <c r="X1443" i="2"/>
  <c r="Y1443" i="2" s="1"/>
  <c r="Z1443" i="2" s="1"/>
  <c r="V1450" i="2"/>
  <c r="AE1450" i="2"/>
  <c r="W1450" i="2"/>
  <c r="V1464" i="2"/>
  <c r="AE1464" i="2"/>
  <c r="X1464" i="2"/>
  <c r="Y1464" i="2" s="1"/>
  <c r="Z1464" i="2" s="1"/>
  <c r="W1464" i="2"/>
  <c r="V1472" i="2"/>
  <c r="AE1472" i="2"/>
  <c r="Z1472" i="2"/>
  <c r="W1472" i="2"/>
  <c r="V1527" i="2"/>
  <c r="AE1527" i="2"/>
  <c r="X1527" i="2"/>
  <c r="Y1527" i="2" s="1"/>
  <c r="Z1527" i="2" s="1"/>
  <c r="X1400" i="2"/>
  <c r="Y1400" i="2" s="1"/>
  <c r="Z1400" i="2" s="1"/>
  <c r="X1404" i="2"/>
  <c r="Y1404" i="2" s="1"/>
  <c r="Z1404" i="2" s="1"/>
  <c r="X1408" i="2"/>
  <c r="Y1408" i="2" s="1"/>
  <c r="Z1408" i="2" s="1"/>
  <c r="X1412" i="2"/>
  <c r="Y1412" i="2" s="1"/>
  <c r="Z1412" i="2" s="1"/>
  <c r="X1416" i="2"/>
  <c r="Y1416" i="2" s="1"/>
  <c r="Z1416" i="2" s="1"/>
  <c r="X1420" i="2"/>
  <c r="Y1420" i="2" s="1"/>
  <c r="Z1420" i="2" s="1"/>
  <c r="X1424" i="2"/>
  <c r="Y1424" i="2" s="1"/>
  <c r="Z1424" i="2" s="1"/>
  <c r="X1428" i="2"/>
  <c r="Y1428" i="2" s="1"/>
  <c r="Z1428" i="2" s="1"/>
  <c r="X1432" i="2"/>
  <c r="Y1432" i="2" s="1"/>
  <c r="Z1432" i="2" s="1"/>
  <c r="X1436" i="2"/>
  <c r="X1440" i="2"/>
  <c r="Y1440" i="2" s="1"/>
  <c r="Z1440" i="2" s="1"/>
  <c r="Y1441" i="2"/>
  <c r="Z1441" i="2" s="1"/>
  <c r="AE1449" i="2"/>
  <c r="Y1449" i="2"/>
  <c r="Z1449" i="2" s="1"/>
  <c r="Y1475" i="2"/>
  <c r="Z1475" i="2" s="1"/>
  <c r="AE1477" i="2"/>
  <c r="Y1477" i="2"/>
  <c r="Z1477" i="2" s="1"/>
  <c r="X1478" i="2"/>
  <c r="Y1478" i="2" s="1"/>
  <c r="Z1478" i="2" s="1"/>
  <c r="W1478" i="2"/>
  <c r="V1478" i="2"/>
  <c r="X1494" i="2"/>
  <c r="Y1494" i="2" s="1"/>
  <c r="Z1494" i="2" s="1"/>
  <c r="W1494" i="2"/>
  <c r="V1494" i="2"/>
  <c r="X1506" i="2"/>
  <c r="Y1506" i="2" s="1"/>
  <c r="Z1506" i="2" s="1"/>
  <c r="W1506" i="2"/>
  <c r="V1506" i="2"/>
  <c r="Y1518" i="2"/>
  <c r="Z1518" i="2" s="1"/>
  <c r="X1518" i="2"/>
  <c r="W1518" i="2"/>
  <c r="V1518" i="2"/>
  <c r="X1552" i="2"/>
  <c r="Y1552" i="2" s="1"/>
  <c r="Z1552" i="2" s="1"/>
  <c r="W1552" i="2"/>
  <c r="AE1552" i="2"/>
  <c r="W1393" i="2"/>
  <c r="W1397" i="2"/>
  <c r="W1401" i="2"/>
  <c r="W1405" i="2"/>
  <c r="W1409" i="2"/>
  <c r="W1413" i="2"/>
  <c r="W1417" i="2"/>
  <c r="W1421" i="2"/>
  <c r="W1425" i="2"/>
  <c r="W1429" i="2"/>
  <c r="W1433" i="2"/>
  <c r="Z1436" i="2"/>
  <c r="W1437" i="2"/>
  <c r="W1441" i="2"/>
  <c r="V1442" i="2"/>
  <c r="W1449" i="2"/>
  <c r="W1451" i="2"/>
  <c r="AE1451" i="2"/>
  <c r="Y1471" i="2"/>
  <c r="Z1471" i="2" s="1"/>
  <c r="AE1473" i="2"/>
  <c r="X1474" i="2"/>
  <c r="Y1474" i="2" s="1"/>
  <c r="Z1474" i="2" s="1"/>
  <c r="W1474" i="2"/>
  <c r="V1474" i="2"/>
  <c r="W1477" i="2"/>
  <c r="W1536" i="2"/>
  <c r="AE1536" i="2"/>
  <c r="Y1536" i="2"/>
  <c r="Z1536" i="2" s="1"/>
  <c r="X1536" i="2"/>
  <c r="X1575" i="2"/>
  <c r="Y1575" i="2" s="1"/>
  <c r="Z1575" i="2" s="1"/>
  <c r="W1575" i="2"/>
  <c r="V1575" i="2"/>
  <c r="AE1575" i="2"/>
  <c r="Z1393" i="2"/>
  <c r="Z1405" i="2"/>
  <c r="Z1413" i="2"/>
  <c r="Z1417" i="2"/>
  <c r="Y1452" i="2"/>
  <c r="Z1452" i="2" s="1"/>
  <c r="Z1454" i="2"/>
  <c r="V1454" i="2"/>
  <c r="V1460" i="2"/>
  <c r="AE1460" i="2"/>
  <c r="W1463" i="2"/>
  <c r="V1463" i="2"/>
  <c r="AE1463" i="2"/>
  <c r="AE1465" i="2"/>
  <c r="Y1465" i="2"/>
  <c r="Z1465" i="2" s="1"/>
  <c r="Y1466" i="2"/>
  <c r="Z1466" i="2" s="1"/>
  <c r="W1466" i="2"/>
  <c r="V1466" i="2"/>
  <c r="X1473" i="2"/>
  <c r="Y1473" i="2" s="1"/>
  <c r="Z1473" i="2" s="1"/>
  <c r="AE1478" i="2"/>
  <c r="Y1487" i="2"/>
  <c r="Z1487" i="2" s="1"/>
  <c r="AE1494" i="2"/>
  <c r="AE1501" i="2"/>
  <c r="Y1501" i="2"/>
  <c r="Z1501" i="2" s="1"/>
  <c r="AE1506" i="2"/>
  <c r="AE1513" i="2"/>
  <c r="Y1513" i="2"/>
  <c r="Z1513" i="2" s="1"/>
  <c r="AE1518" i="2"/>
  <c r="W1535" i="2"/>
  <c r="V1535" i="2"/>
  <c r="AE1535" i="2"/>
  <c r="Y1535" i="2"/>
  <c r="Z1535" i="2" s="1"/>
  <c r="X1548" i="2"/>
  <c r="Y1548" i="2" s="1"/>
  <c r="Z1548" i="2" s="1"/>
  <c r="W1548" i="2"/>
  <c r="AE1548" i="2"/>
  <c r="X1572" i="2"/>
  <c r="Y1572" i="2" s="1"/>
  <c r="Z1572" i="2" s="1"/>
  <c r="W1572" i="2"/>
  <c r="AE1572" i="2"/>
  <c r="V1572" i="2"/>
  <c r="AE1574" i="2"/>
  <c r="X1574" i="2"/>
  <c r="Y1574" i="2" s="1"/>
  <c r="Z1574" i="2" s="1"/>
  <c r="W1574" i="2"/>
  <c r="AE1598" i="2"/>
  <c r="Y1598" i="2"/>
  <c r="Z1598" i="2" s="1"/>
  <c r="X1598" i="2"/>
  <c r="W1598" i="2"/>
  <c r="W1454" i="2"/>
  <c r="Y1455" i="2"/>
  <c r="Z1455" i="2" s="1"/>
  <c r="W1455" i="2"/>
  <c r="AE1455" i="2"/>
  <c r="V1456" i="2"/>
  <c r="AE1456" i="2"/>
  <c r="Y1459" i="2"/>
  <c r="Z1459" i="2" s="1"/>
  <c r="W1459" i="2"/>
  <c r="V1459" i="2"/>
  <c r="AE1459" i="2"/>
  <c r="W1460" i="2"/>
  <c r="AE1461" i="2"/>
  <c r="Y1462" i="2"/>
  <c r="Z1462" i="2" s="1"/>
  <c r="W1462" i="2"/>
  <c r="V1462" i="2"/>
  <c r="X1463" i="2"/>
  <c r="Y1463" i="2" s="1"/>
  <c r="Z1463" i="2" s="1"/>
  <c r="V1465" i="2"/>
  <c r="X1466" i="2"/>
  <c r="V1501" i="2"/>
  <c r="V1513" i="2"/>
  <c r="X1535" i="2"/>
  <c r="V1548" i="2"/>
  <c r="AE1550" i="2"/>
  <c r="X1550" i="2"/>
  <c r="Y1550" i="2" s="1"/>
  <c r="Z1550" i="2" s="1"/>
  <c r="W1550" i="2"/>
  <c r="V1574" i="2"/>
  <c r="V1598" i="2"/>
  <c r="V1355" i="2"/>
  <c r="V1359" i="2"/>
  <c r="V1363" i="2"/>
  <c r="V1367" i="2"/>
  <c r="V1371" i="2"/>
  <c r="V1375" i="2"/>
  <c r="V1379" i="2"/>
  <c r="V1383" i="2"/>
  <c r="V1387" i="2"/>
  <c r="V1391" i="2"/>
  <c r="V1395" i="2"/>
  <c r="V1399" i="2"/>
  <c r="AE1400" i="2"/>
  <c r="AE1404" i="2"/>
  <c r="AE1408" i="2"/>
  <c r="AE1412" i="2"/>
  <c r="AE1416" i="2"/>
  <c r="AE1420" i="2"/>
  <c r="AE1424" i="2"/>
  <c r="AE1428" i="2"/>
  <c r="AE1432" i="2"/>
  <c r="AE1436" i="2"/>
  <c r="AE1440" i="2"/>
  <c r="AE1457" i="2"/>
  <c r="W1458" i="2"/>
  <c r="V1458" i="2"/>
  <c r="AE1474" i="2"/>
  <c r="V1484" i="2"/>
  <c r="AE1484" i="2"/>
  <c r="AE1485" i="2"/>
  <c r="Y1486" i="2"/>
  <c r="Z1486" i="2" s="1"/>
  <c r="X1486" i="2"/>
  <c r="W1486" i="2"/>
  <c r="V1486" i="2"/>
  <c r="AE1534" i="2"/>
  <c r="X1534" i="2"/>
  <c r="Y1534" i="2" s="1"/>
  <c r="Z1534" i="2" s="1"/>
  <c r="Z1547" i="2"/>
  <c r="W1547" i="2"/>
  <c r="V1547" i="2"/>
  <c r="AE1547" i="2"/>
  <c r="X1498" i="2"/>
  <c r="Y1498" i="2" s="1"/>
  <c r="Z1498" i="2" s="1"/>
  <c r="W1498" i="2"/>
  <c r="V1498" i="2"/>
  <c r="Y1510" i="2"/>
  <c r="Z1510" i="2" s="1"/>
  <c r="X1510" i="2"/>
  <c r="W1510" i="2"/>
  <c r="V1510" i="2"/>
  <c r="Y1522" i="2"/>
  <c r="Z1522" i="2" s="1"/>
  <c r="X1522" i="2"/>
  <c r="W1522" i="2"/>
  <c r="AE1522" i="2"/>
  <c r="AE1546" i="2"/>
  <c r="W1571" i="2"/>
  <c r="V1571" i="2"/>
  <c r="AE1571" i="2"/>
  <c r="X1571" i="2"/>
  <c r="Y1571" i="2" s="1"/>
  <c r="Z1571" i="2" s="1"/>
  <c r="V1446" i="2"/>
  <c r="V1480" i="2"/>
  <c r="AE1480" i="2"/>
  <c r="AE1497" i="2"/>
  <c r="Y1497" i="2"/>
  <c r="Z1497" i="2" s="1"/>
  <c r="AE1509" i="2"/>
  <c r="Y1509" i="2"/>
  <c r="Z1509" i="2" s="1"/>
  <c r="V1522" i="2"/>
  <c r="V1546" i="2"/>
  <c r="X1595" i="2"/>
  <c r="Y1595" i="2" s="1"/>
  <c r="Z1595" i="2" s="1"/>
  <c r="W1595" i="2"/>
  <c r="V1595" i="2"/>
  <c r="AE1595" i="2"/>
  <c r="V1400" i="2"/>
  <c r="V1404" i="2"/>
  <c r="V1408" i="2"/>
  <c r="V1412" i="2"/>
  <c r="V1416" i="2"/>
  <c r="V1420" i="2"/>
  <c r="V1424" i="2"/>
  <c r="V1428" i="2"/>
  <c r="V1432" i="2"/>
  <c r="V1436" i="2"/>
  <c r="V1440" i="2"/>
  <c r="X1445" i="2"/>
  <c r="W1446" i="2"/>
  <c r="Y1447" i="2"/>
  <c r="Z1447" i="2" s="1"/>
  <c r="W1447" i="2"/>
  <c r="AE1447" i="2"/>
  <c r="X1457" i="2"/>
  <c r="Y1457" i="2" s="1"/>
  <c r="Z1457" i="2" s="1"/>
  <c r="Y1479" i="2"/>
  <c r="Z1479" i="2" s="1"/>
  <c r="W1480" i="2"/>
  <c r="AE1481" i="2"/>
  <c r="Y1481" i="2"/>
  <c r="Z1481" i="2" s="1"/>
  <c r="X1482" i="2"/>
  <c r="Y1482" i="2" s="1"/>
  <c r="Z1482" i="2" s="1"/>
  <c r="W1482" i="2"/>
  <c r="V1482" i="2"/>
  <c r="Y1484" i="2"/>
  <c r="Z1484" i="2" s="1"/>
  <c r="X1485" i="2"/>
  <c r="Y1485" i="2" s="1"/>
  <c r="Z1485" i="2" s="1"/>
  <c r="V1497" i="2"/>
  <c r="V1509" i="2"/>
  <c r="W1546" i="2"/>
  <c r="Y1570" i="2"/>
  <c r="Z1570" i="2" s="1"/>
  <c r="AE1570" i="2"/>
  <c r="V1570" i="2"/>
  <c r="Z1445" i="2"/>
  <c r="X1446" i="2"/>
  <c r="Y1446" i="2" s="1"/>
  <c r="Z1446" i="2" s="1"/>
  <c r="V1447" i="2"/>
  <c r="W1448" i="2"/>
  <c r="AE1452" i="2"/>
  <c r="AE1466" i="2"/>
  <c r="V1476" i="2"/>
  <c r="AE1476" i="2"/>
  <c r="X1480" i="2"/>
  <c r="Y1480" i="2" s="1"/>
  <c r="Z1480" i="2" s="1"/>
  <c r="W1497" i="2"/>
  <c r="W1509" i="2"/>
  <c r="Y1537" i="2"/>
  <c r="Z1537" i="2" s="1"/>
  <c r="X1537" i="2"/>
  <c r="W1537" i="2"/>
  <c r="V1537" i="2"/>
  <c r="X1546" i="2"/>
  <c r="Y1546" i="2" s="1"/>
  <c r="Z1546" i="2" s="1"/>
  <c r="Y1526" i="2"/>
  <c r="Z1526" i="2" s="1"/>
  <c r="Z1580" i="2"/>
  <c r="X1583" i="2"/>
  <c r="Y1583" i="2" s="1"/>
  <c r="Z1583" i="2" s="1"/>
  <c r="W1583" i="2"/>
  <c r="V1583" i="2"/>
  <c r="X1579" i="2"/>
  <c r="Y1579" i="2" s="1"/>
  <c r="Z1579" i="2" s="1"/>
  <c r="W1579" i="2"/>
  <c r="V1579" i="2"/>
  <c r="X1599" i="2"/>
  <c r="Y1599" i="2" s="1"/>
  <c r="Z1599" i="2" s="1"/>
  <c r="W1599" i="2"/>
  <c r="V1599" i="2"/>
  <c r="Y1607" i="2"/>
  <c r="Z1607" i="2" s="1"/>
  <c r="AE1607" i="2"/>
  <c r="W1607" i="2"/>
  <c r="Y1619" i="2"/>
  <c r="Z1619" i="2" s="1"/>
  <c r="X1619" i="2"/>
  <c r="AE1619" i="2"/>
  <c r="W1619" i="2"/>
  <c r="V1619" i="2"/>
  <c r="AE1471" i="2"/>
  <c r="AE1475" i="2"/>
  <c r="AE1479" i="2"/>
  <c r="AE1483" i="2"/>
  <c r="AE1487" i="2"/>
  <c r="AE1491" i="2"/>
  <c r="AE1495" i="2"/>
  <c r="AE1499" i="2"/>
  <c r="AE1503" i="2"/>
  <c r="AE1507" i="2"/>
  <c r="AE1511" i="2"/>
  <c r="AE1515" i="2"/>
  <c r="AE1519" i="2"/>
  <c r="Y1554" i="2"/>
  <c r="Z1554" i="2" s="1"/>
  <c r="W1555" i="2"/>
  <c r="V1555" i="2"/>
  <c r="X1556" i="2"/>
  <c r="Y1556" i="2" s="1"/>
  <c r="Z1556" i="2" s="1"/>
  <c r="W1556" i="2"/>
  <c r="AE1556" i="2"/>
  <c r="X1578" i="2"/>
  <c r="Y1578" i="2" s="1"/>
  <c r="Z1578" i="2" s="1"/>
  <c r="AE1583" i="2"/>
  <c r="AE1594" i="2"/>
  <c r="X1780" i="2"/>
  <c r="Y1780" i="2" s="1"/>
  <c r="Z1780" i="2" s="1"/>
  <c r="V1780" i="2"/>
  <c r="AE1780" i="2"/>
  <c r="W1780" i="2"/>
  <c r="V1529" i="2"/>
  <c r="W1554" i="2"/>
  <c r="Y1555" i="2"/>
  <c r="Z1555" i="2" s="1"/>
  <c r="Y1558" i="2"/>
  <c r="Z1558" i="2" s="1"/>
  <c r="W1559" i="2"/>
  <c r="V1559" i="2"/>
  <c r="X1560" i="2"/>
  <c r="W1560" i="2"/>
  <c r="AE1560" i="2"/>
  <c r="AE1579" i="2"/>
  <c r="X1591" i="2"/>
  <c r="Y1591" i="2" s="1"/>
  <c r="Z1591" i="2" s="1"/>
  <c r="W1591" i="2"/>
  <c r="V1591" i="2"/>
  <c r="AE1599" i="2"/>
  <c r="AE1617" i="2"/>
  <c r="X1617" i="2"/>
  <c r="Y1617" i="2" s="1"/>
  <c r="Z1617" i="2" s="1"/>
  <c r="W1617" i="2"/>
  <c r="V1617" i="2"/>
  <c r="V1471" i="2"/>
  <c r="V1475" i="2"/>
  <c r="V1479" i="2"/>
  <c r="V1483" i="2"/>
  <c r="V1487" i="2"/>
  <c r="V1491" i="2"/>
  <c r="AE1492" i="2"/>
  <c r="V1495" i="2"/>
  <c r="AE1496" i="2"/>
  <c r="V1499" i="2"/>
  <c r="AE1500" i="2"/>
  <c r="V1503" i="2"/>
  <c r="AE1504" i="2"/>
  <c r="V1507" i="2"/>
  <c r="AE1508" i="2"/>
  <c r="V1511" i="2"/>
  <c r="AE1512" i="2"/>
  <c r="V1515" i="2"/>
  <c r="AE1516" i="2"/>
  <c r="V1519" i="2"/>
  <c r="V1524" i="2"/>
  <c r="W1529" i="2"/>
  <c r="V1538" i="2"/>
  <c r="Z1539" i="2"/>
  <c r="W1539" i="2"/>
  <c r="V1539" i="2"/>
  <c r="X1540" i="2"/>
  <c r="W1540" i="2"/>
  <c r="AE1540" i="2"/>
  <c r="X1554" i="2"/>
  <c r="V1558" i="2"/>
  <c r="X1559" i="2"/>
  <c r="Y1559" i="2" s="1"/>
  <c r="Z1559" i="2" s="1"/>
  <c r="V1560" i="2"/>
  <c r="AE1590" i="2"/>
  <c r="X1594" i="2"/>
  <c r="Y1594" i="2" s="1"/>
  <c r="Z1594" i="2" s="1"/>
  <c r="W1471" i="2"/>
  <c r="W1475" i="2"/>
  <c r="W1479" i="2"/>
  <c r="W1483" i="2"/>
  <c r="W1487" i="2"/>
  <c r="W1491" i="2"/>
  <c r="W1495" i="2"/>
  <c r="W1499" i="2"/>
  <c r="W1503" i="2"/>
  <c r="W1507" i="2"/>
  <c r="W1511" i="2"/>
  <c r="W1515" i="2"/>
  <c r="W1519" i="2"/>
  <c r="W1524" i="2"/>
  <c r="AE1526" i="2"/>
  <c r="X1529" i="2"/>
  <c r="Y1529" i="2" s="1"/>
  <c r="Z1529" i="2" s="1"/>
  <c r="Y1530" i="2"/>
  <c r="Z1530" i="2" s="1"/>
  <c r="W1538" i="2"/>
  <c r="W1558" i="2"/>
  <c r="Y1560" i="2"/>
  <c r="Z1560" i="2" s="1"/>
  <c r="Y1562" i="2"/>
  <c r="Z1562" i="2" s="1"/>
  <c r="W1563" i="2"/>
  <c r="V1563" i="2"/>
  <c r="X1564" i="2"/>
  <c r="Y1564" i="2" s="1"/>
  <c r="Z1564" i="2" s="1"/>
  <c r="W1564" i="2"/>
  <c r="AE1564" i="2"/>
  <c r="AE1578" i="2"/>
  <c r="X1603" i="2"/>
  <c r="Y1603" i="2" s="1"/>
  <c r="Z1603" i="2" s="1"/>
  <c r="W1603" i="2"/>
  <c r="V1603" i="2"/>
  <c r="X1524" i="2"/>
  <c r="V1525" i="2"/>
  <c r="V1530" i="2"/>
  <c r="W1531" i="2"/>
  <c r="V1531" i="2"/>
  <c r="W1532" i="2"/>
  <c r="AE1532" i="2"/>
  <c r="X1538" i="2"/>
  <c r="Y1538" i="2" s="1"/>
  <c r="Z1538" i="2" s="1"/>
  <c r="X1558" i="2"/>
  <c r="V1562" i="2"/>
  <c r="X1563" i="2"/>
  <c r="Y1563" i="2" s="1"/>
  <c r="Z1563" i="2" s="1"/>
  <c r="V1564" i="2"/>
  <c r="X1587" i="2"/>
  <c r="Y1587" i="2" s="1"/>
  <c r="Z1587" i="2" s="1"/>
  <c r="W1587" i="2"/>
  <c r="V1587" i="2"/>
  <c r="W1590" i="2"/>
  <c r="AD1621" i="2"/>
  <c r="V1520" i="2"/>
  <c r="Y1524" i="2"/>
  <c r="Z1524" i="2" s="1"/>
  <c r="W1530" i="2"/>
  <c r="X1531" i="2"/>
  <c r="Y1531" i="2" s="1"/>
  <c r="Z1531" i="2" s="1"/>
  <c r="V1532" i="2"/>
  <c r="Z1540" i="2"/>
  <c r="Z1543" i="2"/>
  <c r="W1543" i="2"/>
  <c r="V1543" i="2"/>
  <c r="Z1544" i="2"/>
  <c r="X1544" i="2"/>
  <c r="W1544" i="2"/>
  <c r="AE1544" i="2"/>
  <c r="W1562" i="2"/>
  <c r="Y1566" i="2"/>
  <c r="Z1566" i="2" s="1"/>
  <c r="W1567" i="2"/>
  <c r="V1567" i="2"/>
  <c r="Z1568" i="2"/>
  <c r="X1568" i="2"/>
  <c r="W1568" i="2"/>
  <c r="AE1568" i="2"/>
  <c r="AE1586" i="2"/>
  <c r="Y1586" i="2"/>
  <c r="Z1586" i="2" s="1"/>
  <c r="X1590" i="2"/>
  <c r="Y1590" i="2" s="1"/>
  <c r="Z1590" i="2" s="1"/>
  <c r="AE1602" i="2"/>
  <c r="Y1602" i="2"/>
  <c r="Z1602" i="2" s="1"/>
  <c r="W1602" i="2"/>
  <c r="X1615" i="2"/>
  <c r="Y1615" i="2" s="1"/>
  <c r="Z1615" i="2" s="1"/>
  <c r="AE1615" i="2"/>
  <c r="V1615" i="2"/>
  <c r="X1748" i="2"/>
  <c r="Y1748" i="2" s="1"/>
  <c r="Z1748" i="2" s="1"/>
  <c r="V1748" i="2"/>
  <c r="W1748" i="2"/>
  <c r="X1752" i="2"/>
  <c r="Y1752" i="2" s="1"/>
  <c r="Z1752" i="2" s="1"/>
  <c r="V1752" i="2"/>
  <c r="AE1752" i="2"/>
  <c r="X1786" i="2"/>
  <c r="AE1786" i="2"/>
  <c r="Y1786" i="2"/>
  <c r="Z1786" i="2" s="1"/>
  <c r="W1786" i="2"/>
  <c r="V1786" i="2"/>
  <c r="AD1617" i="2"/>
  <c r="W1752" i="2"/>
  <c r="AD1721" i="2"/>
  <c r="X1740" i="2"/>
  <c r="Y1740" i="2" s="1"/>
  <c r="Z1740" i="2" s="1"/>
  <c r="V1740" i="2"/>
  <c r="W1740" i="2"/>
  <c r="X1744" i="2"/>
  <c r="Y1744" i="2" s="1"/>
  <c r="Z1744" i="2" s="1"/>
  <c r="V1744" i="2"/>
  <c r="AE1744" i="2"/>
  <c r="AE1576" i="2"/>
  <c r="AE1580" i="2"/>
  <c r="AE1584" i="2"/>
  <c r="AE1588" i="2"/>
  <c r="AE1592" i="2"/>
  <c r="AE1596" i="2"/>
  <c r="AE1600" i="2"/>
  <c r="AE1604" i="2"/>
  <c r="X1608" i="2"/>
  <c r="Y1608" i="2" s="1"/>
  <c r="Z1608" i="2" s="1"/>
  <c r="AE1609" i="2"/>
  <c r="Z1609" i="2"/>
  <c r="AE1611" i="2"/>
  <c r="AE1621" i="2"/>
  <c r="X1621" i="2"/>
  <c r="Y1621" i="2" s="1"/>
  <c r="Z1621" i="2" s="1"/>
  <c r="X1623" i="2"/>
  <c r="Y1623" i="2" s="1"/>
  <c r="Z1623" i="2" s="1"/>
  <c r="AE1623" i="2"/>
  <c r="AD1625" i="2"/>
  <c r="W1744" i="2"/>
  <c r="X1772" i="2"/>
  <c r="V1772" i="2"/>
  <c r="Y1772" i="2"/>
  <c r="Z1772" i="2" s="1"/>
  <c r="W1772" i="2"/>
  <c r="X1776" i="2"/>
  <c r="Y1776" i="2" s="1"/>
  <c r="Z1776" i="2" s="1"/>
  <c r="V1776" i="2"/>
  <c r="AE1776" i="2"/>
  <c r="AE1625" i="2"/>
  <c r="X1625" i="2"/>
  <c r="Y1625" i="2" s="1"/>
  <c r="Z1625" i="2" s="1"/>
  <c r="X1627" i="2"/>
  <c r="Y1627" i="2" s="1"/>
  <c r="Z1627" i="2" s="1"/>
  <c r="AE1627" i="2"/>
  <c r="AD1629" i="2"/>
  <c r="AD1673" i="2"/>
  <c r="X1726" i="2"/>
  <c r="Y1726" i="2" s="1"/>
  <c r="Z1726" i="2" s="1"/>
  <c r="W1726" i="2"/>
  <c r="V1726" i="2"/>
  <c r="AE1726" i="2"/>
  <c r="X1732" i="2"/>
  <c r="Y1732" i="2" s="1"/>
  <c r="Z1732" i="2" s="1"/>
  <c r="V1732" i="2"/>
  <c r="W1732" i="2"/>
  <c r="X1736" i="2"/>
  <c r="Y1736" i="2" s="1"/>
  <c r="Z1736" i="2" s="1"/>
  <c r="V1736" i="2"/>
  <c r="AE1736" i="2"/>
  <c r="AE1748" i="2"/>
  <c r="AE1629" i="2"/>
  <c r="X1629" i="2"/>
  <c r="Y1629" i="2" s="1"/>
  <c r="Z1629" i="2" s="1"/>
  <c r="Y1631" i="2"/>
  <c r="Z1631" i="2" s="1"/>
  <c r="X1631" i="2"/>
  <c r="AE1631" i="2"/>
  <c r="AD1633" i="2"/>
  <c r="AD1643" i="2"/>
  <c r="AD1647" i="2"/>
  <c r="X1724" i="2"/>
  <c r="Y1724" i="2" s="1"/>
  <c r="Z1724" i="2" s="1"/>
  <c r="AE1724" i="2"/>
  <c r="W1724" i="2"/>
  <c r="V1724" i="2"/>
  <c r="V1576" i="2"/>
  <c r="V1580" i="2"/>
  <c r="V1584" i="2"/>
  <c r="V1588" i="2"/>
  <c r="V1592" i="2"/>
  <c r="V1596" i="2"/>
  <c r="V1600" i="2"/>
  <c r="V1604" i="2"/>
  <c r="AE1606" i="2"/>
  <c r="W1625" i="2"/>
  <c r="W1627" i="2"/>
  <c r="V1629" i="2"/>
  <c r="V1631" i="2"/>
  <c r="AE1633" i="2"/>
  <c r="X1633" i="2"/>
  <c r="Y1633" i="2" s="1"/>
  <c r="Z1633" i="2" s="1"/>
  <c r="X1635" i="2"/>
  <c r="Y1635" i="2" s="1"/>
  <c r="Z1635" i="2" s="1"/>
  <c r="AE1635" i="2"/>
  <c r="X1639" i="2"/>
  <c r="Y1639" i="2" s="1"/>
  <c r="Z1639" i="2" s="1"/>
  <c r="AE1639" i="2"/>
  <c r="Y1643" i="2"/>
  <c r="Z1643" i="2" s="1"/>
  <c r="X1643" i="2"/>
  <c r="AE1643" i="2"/>
  <c r="X1647" i="2"/>
  <c r="Y1647" i="2" s="1"/>
  <c r="Z1647" i="2" s="1"/>
  <c r="AE1647" i="2"/>
  <c r="AD1709" i="2"/>
  <c r="AE1719" i="2"/>
  <c r="X1719" i="2"/>
  <c r="Y1719" i="2" s="1"/>
  <c r="Z1719" i="2" s="1"/>
  <c r="W1719" i="2"/>
  <c r="AE1740" i="2"/>
  <c r="X1764" i="2"/>
  <c r="Y1764" i="2" s="1"/>
  <c r="Z1764" i="2" s="1"/>
  <c r="V1764" i="2"/>
  <c r="W1764" i="2"/>
  <c r="X1768" i="2"/>
  <c r="V1768" i="2"/>
  <c r="AE1768" i="2"/>
  <c r="Y1768" i="2"/>
  <c r="Z1768" i="2" s="1"/>
  <c r="W1576" i="2"/>
  <c r="W1580" i="2"/>
  <c r="W1584" i="2"/>
  <c r="W1588" i="2"/>
  <c r="W1592" i="2"/>
  <c r="W1596" i="2"/>
  <c r="W1600" i="2"/>
  <c r="W1604" i="2"/>
  <c r="W1629" i="2"/>
  <c r="W1631" i="2"/>
  <c r="AE1637" i="2"/>
  <c r="Y1637" i="2"/>
  <c r="Z1637" i="2" s="1"/>
  <c r="X1637" i="2"/>
  <c r="X1651" i="2"/>
  <c r="Y1651" i="2" s="1"/>
  <c r="Z1651" i="2" s="1"/>
  <c r="AE1651" i="2"/>
  <c r="AE1671" i="2"/>
  <c r="Y1671" i="2"/>
  <c r="Z1671" i="2" s="1"/>
  <c r="X1671" i="2"/>
  <c r="W1671" i="2"/>
  <c r="X1678" i="2"/>
  <c r="Y1678" i="2" s="1"/>
  <c r="Z1678" i="2" s="1"/>
  <c r="W1678" i="2"/>
  <c r="AE1678" i="2"/>
  <c r="AE1695" i="2"/>
  <c r="X1695" i="2"/>
  <c r="Y1695" i="2" s="1"/>
  <c r="Z1695" i="2" s="1"/>
  <c r="W1695" i="2"/>
  <c r="X1702" i="2"/>
  <c r="Y1702" i="2" s="1"/>
  <c r="Z1702" i="2" s="1"/>
  <c r="W1702" i="2"/>
  <c r="AE1702" i="2"/>
  <c r="X1716" i="2"/>
  <c r="Y1716" i="2" s="1"/>
  <c r="Z1716" i="2" s="1"/>
  <c r="W1716" i="2"/>
  <c r="AE1716" i="2"/>
  <c r="AD1791" i="2"/>
  <c r="X1576" i="2"/>
  <c r="Y1576" i="2" s="1"/>
  <c r="Z1576" i="2" s="1"/>
  <c r="X1580" i="2"/>
  <c r="X1584" i="2"/>
  <c r="X1588" i="2"/>
  <c r="Y1588" i="2" s="1"/>
  <c r="Z1588" i="2" s="1"/>
  <c r="X1592" i="2"/>
  <c r="Y1592" i="2" s="1"/>
  <c r="Z1592" i="2" s="1"/>
  <c r="X1596" i="2"/>
  <c r="X1600" i="2"/>
  <c r="Y1600" i="2" s="1"/>
  <c r="Z1600" i="2" s="1"/>
  <c r="AE1605" i="2"/>
  <c r="Z1605" i="2"/>
  <c r="W1611" i="2"/>
  <c r="W1633" i="2"/>
  <c r="W1635" i="2"/>
  <c r="V1637" i="2"/>
  <c r="W1639" i="2"/>
  <c r="W1643" i="2"/>
  <c r="W1647" i="2"/>
  <c r="V1651" i="2"/>
  <c r="X1655" i="2"/>
  <c r="Y1655" i="2" s="1"/>
  <c r="Z1655" i="2" s="1"/>
  <c r="AE1655" i="2"/>
  <c r="AD1657" i="2"/>
  <c r="AD1659" i="2"/>
  <c r="AE1666" i="2"/>
  <c r="X1666" i="2"/>
  <c r="Y1666" i="2" s="1"/>
  <c r="Z1666" i="2" s="1"/>
  <c r="W1666" i="2"/>
  <c r="X1668" i="2"/>
  <c r="Y1668" i="2" s="1"/>
  <c r="Z1668" i="2" s="1"/>
  <c r="AE1668" i="2"/>
  <c r="V1671" i="2"/>
  <c r="X1676" i="2"/>
  <c r="Y1676" i="2" s="1"/>
  <c r="Z1676" i="2" s="1"/>
  <c r="AE1676" i="2"/>
  <c r="W1676" i="2"/>
  <c r="V1676" i="2"/>
  <c r="V1678" i="2"/>
  <c r="Y1683" i="2"/>
  <c r="Z1683" i="2" s="1"/>
  <c r="X1683" i="2"/>
  <c r="W1683" i="2"/>
  <c r="AE1683" i="2"/>
  <c r="AE1690" i="2"/>
  <c r="X1690" i="2"/>
  <c r="Y1690" i="2" s="1"/>
  <c r="Z1690" i="2" s="1"/>
  <c r="W1690" i="2"/>
  <c r="X1692" i="2"/>
  <c r="Y1692" i="2" s="1"/>
  <c r="Z1692" i="2" s="1"/>
  <c r="AE1692" i="2"/>
  <c r="V1695" i="2"/>
  <c r="X1700" i="2"/>
  <c r="Y1700" i="2" s="1"/>
  <c r="Z1700" i="2" s="1"/>
  <c r="AE1700" i="2"/>
  <c r="W1700" i="2"/>
  <c r="V1700" i="2"/>
  <c r="V1702" i="2"/>
  <c r="Y1707" i="2"/>
  <c r="Z1707" i="2" s="1"/>
  <c r="X1707" i="2"/>
  <c r="W1707" i="2"/>
  <c r="AE1707" i="2"/>
  <c r="AE1714" i="2"/>
  <c r="X1714" i="2"/>
  <c r="Y1714" i="2" s="1"/>
  <c r="Z1714" i="2" s="1"/>
  <c r="W1714" i="2"/>
  <c r="V1716" i="2"/>
  <c r="AE1732" i="2"/>
  <c r="X1792" i="2"/>
  <c r="Y1792" i="2" s="1"/>
  <c r="Z1792" i="2" s="1"/>
  <c r="W1792" i="2"/>
  <c r="V1792" i="2"/>
  <c r="AE1792" i="2"/>
  <c r="Y1659" i="2"/>
  <c r="Z1659" i="2" s="1"/>
  <c r="X1659" i="2"/>
  <c r="AE1659" i="2"/>
  <c r="X1756" i="2"/>
  <c r="Y1756" i="2" s="1"/>
  <c r="Z1756" i="2" s="1"/>
  <c r="V1756" i="2"/>
  <c r="W1756" i="2"/>
  <c r="X1760" i="2"/>
  <c r="Y1760" i="2" s="1"/>
  <c r="Z1760" i="2" s="1"/>
  <c r="V1760" i="2"/>
  <c r="AE1760" i="2"/>
  <c r="V1606" i="2"/>
  <c r="AE1613" i="2"/>
  <c r="X1613" i="2"/>
  <c r="Y1613" i="2" s="1"/>
  <c r="Z1613" i="2" s="1"/>
  <c r="V1659" i="2"/>
  <c r="X1664" i="2"/>
  <c r="Y1664" i="2" s="1"/>
  <c r="Z1664" i="2" s="1"/>
  <c r="W1664" i="2"/>
  <c r="V1664" i="2"/>
  <c r="AE1664" i="2"/>
  <c r="X1688" i="2"/>
  <c r="Y1688" i="2" s="1"/>
  <c r="Z1688" i="2" s="1"/>
  <c r="W1688" i="2"/>
  <c r="V1688" i="2"/>
  <c r="AE1688" i="2"/>
  <c r="X1712" i="2"/>
  <c r="Y1712" i="2" s="1"/>
  <c r="Z1712" i="2" s="1"/>
  <c r="W1712" i="2"/>
  <c r="V1712" i="2"/>
  <c r="AE1712" i="2"/>
  <c r="W1760" i="2"/>
  <c r="X1641" i="2"/>
  <c r="X1645" i="2"/>
  <c r="Y1645" i="2" s="1"/>
  <c r="Z1645" i="2" s="1"/>
  <c r="X1649" i="2"/>
  <c r="X1653" i="2"/>
  <c r="Y1653" i="2" s="1"/>
  <c r="Z1653" i="2" s="1"/>
  <c r="X1657" i="2"/>
  <c r="X1661" i="2"/>
  <c r="Y1661" i="2" s="1"/>
  <c r="Z1661" i="2" s="1"/>
  <c r="AE1663" i="2"/>
  <c r="Y1670" i="2"/>
  <c r="Z1670" i="2" s="1"/>
  <c r="Y1675" i="2"/>
  <c r="Z1675" i="2" s="1"/>
  <c r="Y1680" i="2"/>
  <c r="Z1680" i="2" s="1"/>
  <c r="AE1687" i="2"/>
  <c r="Y1694" i="2"/>
  <c r="Z1694" i="2" s="1"/>
  <c r="Y1699" i="2"/>
  <c r="Z1699" i="2" s="1"/>
  <c r="Y1704" i="2"/>
  <c r="Z1704" i="2" s="1"/>
  <c r="AE1711" i="2"/>
  <c r="AD1738" i="2"/>
  <c r="AD1746" i="2"/>
  <c r="AD1754" i="2"/>
  <c r="AD1762" i="2"/>
  <c r="AD1770" i="2"/>
  <c r="AD1778" i="2"/>
  <c r="X1788" i="2"/>
  <c r="W1788" i="2"/>
  <c r="V1788" i="2"/>
  <c r="Y1641" i="2"/>
  <c r="Z1641" i="2" s="1"/>
  <c r="Y1649" i="2"/>
  <c r="Z1649" i="2" s="1"/>
  <c r="Y1657" i="2"/>
  <c r="Z1657" i="2" s="1"/>
  <c r="AD1682" i="2"/>
  <c r="AD1706" i="2"/>
  <c r="X1778" i="2"/>
  <c r="Y1778" i="2" s="1"/>
  <c r="Z1778" i="2" s="1"/>
  <c r="Y1779" i="2"/>
  <c r="Z1779" i="2" s="1"/>
  <c r="V1672" i="2"/>
  <c r="V1696" i="2"/>
  <c r="V1720" i="2"/>
  <c r="V1738" i="2"/>
  <c r="Y1739" i="2"/>
  <c r="Z1739" i="2" s="1"/>
  <c r="V1746" i="2"/>
  <c r="V1754" i="2"/>
  <c r="Y1755" i="2"/>
  <c r="Z1755" i="2" s="1"/>
  <c r="V1762" i="2"/>
  <c r="Y1763" i="2"/>
  <c r="Z1763" i="2" s="1"/>
  <c r="V1770" i="2"/>
  <c r="Y1771" i="2"/>
  <c r="Z1771" i="2" s="1"/>
  <c r="V1778" i="2"/>
  <c r="AD1780" i="2"/>
  <c r="Z1790" i="2"/>
  <c r="X1790" i="2"/>
  <c r="AD1792" i="2"/>
  <c r="X1794" i="2"/>
  <c r="Y1794" i="2" s="1"/>
  <c r="Z1794" i="2" s="1"/>
  <c r="AE1675" i="2"/>
  <c r="AE1680" i="2"/>
  <c r="Y1682" i="2"/>
  <c r="Z1682" i="2" s="1"/>
  <c r="Y1687" i="2"/>
  <c r="Z1687" i="2" s="1"/>
  <c r="AE1699" i="2"/>
  <c r="AE1704" i="2"/>
  <c r="Y1711" i="2"/>
  <c r="Z1711" i="2" s="1"/>
  <c r="AE1723" i="2"/>
  <c r="Z1731" i="2"/>
  <c r="AD1734" i="2"/>
  <c r="AD1742" i="2"/>
  <c r="AD1750" i="2"/>
  <c r="AD1758" i="2"/>
  <c r="AD1766" i="2"/>
  <c r="AD1774" i="2"/>
  <c r="X1782" i="2"/>
  <c r="Y1782" i="2" s="1"/>
  <c r="Z1782" i="2" s="1"/>
  <c r="Y1783" i="2"/>
  <c r="Z1783" i="2" s="1"/>
  <c r="AE1788" i="2"/>
  <c r="V1794" i="2"/>
  <c r="X1796" i="2"/>
  <c r="Y1796" i="2" s="1"/>
  <c r="Z1796" i="2" s="1"/>
  <c r="W1796" i="2"/>
  <c r="V1796" i="2"/>
  <c r="AD1670" i="2"/>
  <c r="AD1694" i="2"/>
  <c r="AD1718" i="2"/>
  <c r="AD1784" i="2"/>
  <c r="W1794" i="2"/>
  <c r="X1728" i="2"/>
  <c r="Y1728" i="2" s="1"/>
  <c r="Z1728" i="2" s="1"/>
  <c r="V1728" i="2"/>
  <c r="AE1778" i="2"/>
  <c r="X1784" i="2"/>
  <c r="Y1784" i="2" s="1"/>
  <c r="Z1784" i="2" s="1"/>
  <c r="V1784" i="2"/>
  <c r="X1798" i="2"/>
  <c r="Y1798" i="2" s="1"/>
  <c r="Z1798" i="2" s="1"/>
  <c r="Y1799" i="2"/>
  <c r="Z1799" i="2" s="1"/>
  <c r="AD1800" i="2"/>
  <c r="W1728" i="2"/>
  <c r="AE1746" i="2"/>
  <c r="AE1754" i="2"/>
  <c r="AE1762" i="2"/>
  <c r="AE1770" i="2"/>
  <c r="V1798" i="2"/>
  <c r="X1800" i="2"/>
  <c r="Y1800" i="2" s="1"/>
  <c r="Z1800" i="2" s="1"/>
  <c r="W1800" i="2"/>
  <c r="V1800" i="2"/>
  <c r="F7" i="4" l="1"/>
  <c r="G7" i="4" s="1"/>
  <c r="F4" i="4"/>
  <c r="F3" i="4"/>
  <c r="F8" i="4"/>
  <c r="F2" i="4"/>
  <c r="G2" i="4" s="1"/>
  <c r="F5" i="4"/>
  <c r="I3" i="4"/>
  <c r="I5" i="4"/>
  <c r="I7" i="4"/>
  <c r="I8" i="4"/>
  <c r="I4" i="4"/>
  <c r="F6" i="4"/>
  <c r="G6" i="4" s="1"/>
  <c r="I2" i="4"/>
  <c r="I6" i="4"/>
  <c r="D7" i="6"/>
  <c r="E7" i="6" s="1"/>
  <c r="D15" i="6"/>
  <c r="E15" i="6" s="1"/>
  <c r="D11" i="6"/>
  <c r="E11" i="6" s="1"/>
  <c r="D8" i="6"/>
  <c r="E8" i="6" s="1"/>
  <c r="D13" i="6"/>
  <c r="E13" i="6" s="1"/>
  <c r="D3" i="6"/>
  <c r="E3" i="6" s="1"/>
  <c r="E2" i="6"/>
  <c r="D4" i="6"/>
  <c r="E4" i="6" s="1"/>
  <c r="D18" i="6"/>
  <c r="E18" i="6" s="1"/>
  <c r="D20" i="6"/>
  <c r="E20" i="6" s="1"/>
  <c r="E2" i="4"/>
  <c r="E9" i="4"/>
  <c r="E3" i="4"/>
  <c r="E6" i="4"/>
  <c r="E5" i="4"/>
  <c r="E7" i="4"/>
  <c r="H3" i="3"/>
  <c r="M3" i="3" s="1"/>
  <c r="D21" i="6"/>
  <c r="E21" i="6" s="1"/>
  <c r="D12" i="6"/>
  <c r="E12" i="6" s="1"/>
  <c r="J2" i="3"/>
  <c r="J3" i="3"/>
  <c r="K6" i="3"/>
  <c r="G6" i="3"/>
  <c r="D16" i="6"/>
  <c r="E16" i="6" s="1"/>
  <c r="D14" i="6"/>
  <c r="E14" i="6" s="1"/>
  <c r="G3" i="4"/>
  <c r="J3" i="4"/>
  <c r="D5" i="6"/>
  <c r="E5" i="6" s="1"/>
  <c r="D9" i="6"/>
  <c r="E9" i="6" s="1"/>
  <c r="K9" i="3"/>
  <c r="G9" i="3"/>
  <c r="J8" i="4"/>
  <c r="G8" i="4"/>
  <c r="H6" i="3"/>
  <c r="M6" i="3" s="1"/>
  <c r="I4" i="1"/>
  <c r="A4" i="1"/>
  <c r="F9" i="4"/>
  <c r="D19" i="6"/>
  <c r="E19" i="6" s="1"/>
  <c r="D10" i="6"/>
  <c r="E10" i="6" s="1"/>
  <c r="D17" i="6"/>
  <c r="E17" i="6" s="1"/>
  <c r="J8" i="3"/>
  <c r="D6" i="6"/>
  <c r="E6" i="6" s="1"/>
  <c r="J4" i="3"/>
  <c r="I9" i="4"/>
  <c r="J4" i="4"/>
  <c r="G4" i="4"/>
  <c r="E4" i="4"/>
  <c r="G5" i="4"/>
  <c r="J5" i="4"/>
  <c r="K2" i="3"/>
  <c r="G2" i="3"/>
  <c r="J7" i="3"/>
  <c r="K5" i="3"/>
  <c r="G5" i="3"/>
  <c r="J7" i="4"/>
  <c r="E8" i="4"/>
  <c r="H9" i="3"/>
  <c r="M9" i="3" s="1"/>
  <c r="K8" i="3"/>
  <c r="G8" i="3"/>
  <c r="K3" i="3"/>
  <c r="G3" i="3"/>
  <c r="H7" i="3"/>
  <c r="M7" i="3" s="1"/>
  <c r="K7" i="3"/>
  <c r="G7" i="3"/>
  <c r="J9" i="3"/>
  <c r="J2" i="4"/>
  <c r="H5" i="3"/>
  <c r="M5" i="3" s="1"/>
  <c r="H4" i="3"/>
  <c r="M4" i="3" s="1"/>
  <c r="H2" i="3"/>
  <c r="M2" i="3" s="1"/>
  <c r="J5" i="3"/>
  <c r="K4" i="1"/>
  <c r="J6" i="3"/>
  <c r="E4" i="1"/>
  <c r="K4" i="3"/>
  <c r="G4" i="3"/>
  <c r="H8" i="3"/>
  <c r="M8" i="3" s="1"/>
  <c r="J6" i="4" l="1"/>
  <c r="G9" i="4"/>
  <c r="J9" i="4"/>
</calcChain>
</file>

<file path=xl/sharedStrings.xml><?xml version="1.0" encoding="utf-8"?>
<sst xmlns="http://schemas.openxmlformats.org/spreadsheetml/2006/main" count="15776" uniqueCount="2060">
  <si>
    <t>Commercial &amp; CRM Operations Dashboard</t>
  </si>
  <si>
    <t>Sales pipeline, channel efficiency, rep performance and funnel health | Data snapshot: 2026-09-01</t>
  </si>
  <si>
    <t>Won Revenue</t>
  </si>
  <si>
    <t>Open Pipeline</t>
  </si>
  <si>
    <t>Weighted Pipeline</t>
  </si>
  <si>
    <t>Win Rate</t>
  </si>
  <si>
    <t>Avg Won Deal</t>
  </si>
  <si>
    <t>Stale Open Leads</t>
  </si>
  <si>
    <t>Excel Model</t>
  </si>
  <si>
    <t>Auditable formulas</t>
  </si>
  <si>
    <t>Lead_ID</t>
  </si>
  <si>
    <t>Created_Date</t>
  </si>
  <si>
    <t>Owner</t>
  </si>
  <si>
    <t>Region</t>
  </si>
  <si>
    <t>Raw_Source</t>
  </si>
  <si>
    <t>Product_Code</t>
  </si>
  <si>
    <t>Industry</t>
  </si>
  <si>
    <t>Company_Size</t>
  </si>
  <si>
    <t>Deal_Stage</t>
  </si>
  <si>
    <t>Last_Stage_Date</t>
  </si>
  <si>
    <t>Close_Date</t>
  </si>
  <si>
    <t>Expected_Value_USD</t>
  </si>
  <si>
    <t>Discount_Pct</t>
  </si>
  <si>
    <t>Stage_Probability</t>
  </si>
  <si>
    <t>Lost_Reason</t>
  </si>
  <si>
    <t>Funnel_Level</t>
  </si>
  <si>
    <t>Source_Clean</t>
  </si>
  <si>
    <t>Product_Name</t>
  </si>
  <si>
    <t>Product_Category</t>
  </si>
  <si>
    <t>Deal_Segment</t>
  </si>
  <si>
    <t>Outcome</t>
  </si>
  <si>
    <t>Actual_Revenue_USD</t>
  </si>
  <si>
    <t>Weighted_Pipeline_USD</t>
  </si>
  <si>
    <t>Sales_Cycle_Days</t>
  </si>
  <si>
    <t>Age_Days</t>
  </si>
  <si>
    <t>SLA_Flag</t>
  </si>
  <si>
    <t>Created_Month</t>
  </si>
  <si>
    <t>Close_Month</t>
  </si>
  <si>
    <t>Created_Quarter</t>
  </si>
  <si>
    <t>Lead_Score</t>
  </si>
  <si>
    <t>Forecast_Category</t>
  </si>
  <si>
    <t>L00001</t>
  </si>
  <si>
    <t>Ha Vo</t>
  </si>
  <si>
    <t>North</t>
  </si>
  <si>
    <t>Google Organic</t>
  </si>
  <si>
    <t>CS-CLOUD</t>
  </si>
  <si>
    <t>Education</t>
  </si>
  <si>
    <t>SMB</t>
  </si>
  <si>
    <t>Negotiation</t>
  </si>
  <si>
    <t>L00002</t>
  </si>
  <si>
    <t>Quynh Vu</t>
  </si>
  <si>
    <t>Google Ads</t>
  </si>
  <si>
    <t>CRM-CORE</t>
  </si>
  <si>
    <t>Mid-Market</t>
  </si>
  <si>
    <t>Proposal</t>
  </si>
  <si>
    <t>L00003</t>
  </si>
  <si>
    <t>Chi Le</t>
  </si>
  <si>
    <t>South</t>
  </si>
  <si>
    <t>newsletter</t>
  </si>
  <si>
    <t>CRM-PRO</t>
  </si>
  <si>
    <t>Retail</t>
  </si>
  <si>
    <t>Closed Lost</t>
  </si>
  <si>
    <t>Competitor</t>
  </si>
  <si>
    <t>L00004</t>
  </si>
  <si>
    <t>Bao Tran</t>
  </si>
  <si>
    <t>SEM - Google</t>
  </si>
  <si>
    <t>L00005</t>
  </si>
  <si>
    <t>REV-OPS</t>
  </si>
  <si>
    <t>L00006</t>
  </si>
  <si>
    <t>An Nguyen</t>
  </si>
  <si>
    <t>linkedin</t>
  </si>
  <si>
    <t>MKT-AUTO</t>
  </si>
  <si>
    <t>Healthcare</t>
  </si>
  <si>
    <t>Qualified</t>
  </si>
  <si>
    <t>L00007</t>
  </si>
  <si>
    <t>Webinar</t>
  </si>
  <si>
    <t>Manufacturing</t>
  </si>
  <si>
    <t>Closed Won</t>
  </si>
  <si>
    <t>L00008</t>
  </si>
  <si>
    <t>No Decision</t>
  </si>
  <si>
    <t>L00009</t>
  </si>
  <si>
    <t>Price</t>
  </si>
  <si>
    <t>L00010</t>
  </si>
  <si>
    <t>organic search</t>
  </si>
  <si>
    <t>Enterprise</t>
  </si>
  <si>
    <t>L00011</t>
  </si>
  <si>
    <t>Tuan Bui</t>
  </si>
  <si>
    <t>Central</t>
  </si>
  <si>
    <t>Unknown Event</t>
  </si>
  <si>
    <t>L00012</t>
  </si>
  <si>
    <t>Duy Pham</t>
  </si>
  <si>
    <t>L00013</t>
  </si>
  <si>
    <t>virtual event</t>
  </si>
  <si>
    <t>L00014</t>
  </si>
  <si>
    <t>Financial Services</t>
  </si>
  <si>
    <t>L00015</t>
  </si>
  <si>
    <t>LI Ads</t>
  </si>
  <si>
    <t>L00016</t>
  </si>
  <si>
    <t>Cold Email</t>
  </si>
  <si>
    <t>Professional Services</t>
  </si>
  <si>
    <t>L00017</t>
  </si>
  <si>
    <t>L00018</t>
  </si>
  <si>
    <t>Timing</t>
  </si>
  <si>
    <t>L00019</t>
  </si>
  <si>
    <t>Offline List</t>
  </si>
  <si>
    <t>Demo / Meeting</t>
  </si>
  <si>
    <t>L00020</t>
  </si>
  <si>
    <t>Referral</t>
  </si>
  <si>
    <t>L00021</t>
  </si>
  <si>
    <t>Outbound</t>
  </si>
  <si>
    <t>Feature Gap</t>
  </si>
  <si>
    <t>L00022</t>
  </si>
  <si>
    <t>Technology</t>
  </si>
  <si>
    <t>L00023</t>
  </si>
  <si>
    <t>L00024</t>
  </si>
  <si>
    <t>SDR Outreach</t>
  </si>
  <si>
    <t>Budget</t>
  </si>
  <si>
    <t>L00025</t>
  </si>
  <si>
    <t>L00026</t>
  </si>
  <si>
    <t>customer referral</t>
  </si>
  <si>
    <t>L00027</t>
  </si>
  <si>
    <t>L00028</t>
  </si>
  <si>
    <t>L00029</t>
  </si>
  <si>
    <t>email nurture</t>
  </si>
  <si>
    <t>L00030</t>
  </si>
  <si>
    <t>L00031</t>
  </si>
  <si>
    <t>L00032</t>
  </si>
  <si>
    <t>google cpc</t>
  </si>
  <si>
    <t>L00033</t>
  </si>
  <si>
    <t>L00034</t>
  </si>
  <si>
    <t>L00035</t>
  </si>
  <si>
    <t>L00036</t>
  </si>
  <si>
    <t>Conference Scan</t>
  </si>
  <si>
    <t>BI-PLUS</t>
  </si>
  <si>
    <t>L00037</t>
  </si>
  <si>
    <t>L00038</t>
  </si>
  <si>
    <t>L00039</t>
  </si>
  <si>
    <t>L00040</t>
  </si>
  <si>
    <t>SEO</t>
  </si>
  <si>
    <t>L00041</t>
  </si>
  <si>
    <t>L00042</t>
  </si>
  <si>
    <t>L00043</t>
  </si>
  <si>
    <t>L00044</t>
  </si>
  <si>
    <t>L00045</t>
  </si>
  <si>
    <t>L00046</t>
  </si>
  <si>
    <t>L00047</t>
  </si>
  <si>
    <t>LinkedIn Ads</t>
  </si>
  <si>
    <t>L00048</t>
  </si>
  <si>
    <t>Minh Do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</si>
  <si>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</si>
  <si>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</si>
  <si>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</si>
  <si>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</si>
  <si>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</si>
  <si>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</si>
  <si>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</si>
  <si>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</si>
  <si>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</si>
  <si>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</si>
  <si>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</si>
  <si>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Email Campaign</t>
  </si>
  <si>
    <t>L00060</t>
  </si>
  <si>
    <t>L00061</t>
  </si>
  <si>
    <t>L00062</t>
  </si>
  <si>
    <t>L00063</t>
  </si>
  <si>
    <t>L00064</t>
  </si>
  <si>
    <t>Partner Referral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</si>
  <si>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</si>
  <si>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</si>
  <si>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</si>
  <si>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</si>
  <si>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</si>
  <si>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</si>
  <si>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</si>
  <si>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</si>
  <si>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</si>
  <si>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</si>
  <si>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</si>
  <si>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</si>
  <si>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</si>
  <si>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</si>
  <si>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</si>
  <si>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</si>
  <si>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</si>
  <si>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</si>
  <si>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</si>
  <si>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</si>
  <si>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New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</si>
  <si>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</si>
  <si>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</si>
  <si>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</si>
  <si>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</si>
  <si>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</si>
  <si>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</si>
  <si>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</si>
  <si>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</si>
  <si>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</si>
  <si>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</si>
  <si>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</si>
  <si>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</si>
  <si>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</si>
  <si>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</si>
  <si>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</si>
  <si>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</si>
  <si>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</si>
  <si>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</si>
  <si>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</si>
  <si>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</si>
  <si>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</si>
  <si>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</si>
  <si>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</si>
  <si>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</si>
  <si>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</si>
  <si>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</si>
  <si>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</si>
  <si>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</si>
  <si>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</si>
  <si>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</si>
  <si>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</si>
  <si>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</si>
  <si>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</si>
  <si>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</si>
  <si>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</si>
  <si>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</si>
  <si>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</si>
  <si>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</si>
  <si>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</si>
  <si>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</si>
  <si>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</si>
  <si>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</si>
  <si>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</si>
  <si>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</si>
  <si>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</si>
  <si>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</si>
  <si>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</si>
  <si>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</si>
  <si>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</si>
  <si>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</si>
  <si>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</si>
  <si>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</si>
  <si>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</si>
  <si>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</si>
  <si>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</si>
  <si>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</si>
  <si>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</si>
  <si>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</si>
  <si>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</si>
  <si>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</si>
  <si>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</si>
  <si>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</si>
  <si>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</si>
  <si>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</si>
  <si>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</si>
  <si>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</si>
  <si>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</si>
  <si>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</si>
  <si>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</si>
  <si>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</si>
  <si>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</si>
  <si>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</si>
  <si>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</si>
  <si>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</si>
  <si>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</si>
  <si>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</si>
  <si>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</si>
  <si>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</si>
  <si>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</si>
  <si>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</si>
  <si>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</si>
  <si>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</si>
  <si>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</si>
  <si>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</si>
  <si>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</si>
  <si>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</si>
  <si>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</si>
  <si>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</si>
  <si>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</si>
  <si>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</si>
  <si>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</si>
  <si>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</si>
  <si>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</si>
  <si>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</si>
  <si>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</si>
  <si>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</si>
  <si>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</si>
  <si>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</si>
  <si>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</si>
  <si>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</si>
  <si>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</si>
  <si>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</si>
  <si>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</si>
  <si>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</si>
  <si>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</si>
  <si>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</si>
  <si>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</si>
  <si>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</si>
  <si>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</si>
  <si>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</si>
  <si>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</si>
  <si>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</si>
  <si>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</si>
  <si>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</si>
  <si>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</si>
  <si>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</si>
  <si>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</si>
  <si>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</si>
  <si>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</si>
  <si>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</si>
  <si>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</si>
  <si>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</si>
  <si>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</si>
  <si>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</si>
  <si>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</si>
  <si>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</si>
  <si>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</si>
  <si>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</si>
  <si>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</si>
  <si>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</si>
  <si>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</si>
  <si>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</si>
  <si>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</si>
  <si>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</si>
  <si>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</si>
  <si>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</si>
  <si>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</si>
  <si>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</si>
  <si>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</si>
  <si>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</si>
  <si>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</si>
  <si>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</si>
  <si>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</si>
  <si>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</si>
  <si>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</si>
  <si>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</si>
  <si>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</si>
  <si>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</si>
  <si>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</si>
  <si>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</si>
  <si>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</si>
  <si>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</si>
  <si>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</si>
  <si>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</si>
  <si>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</si>
  <si>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</si>
  <si>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</si>
  <si>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</si>
  <si>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</si>
  <si>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</si>
  <si>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</si>
  <si>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</si>
  <si>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</si>
  <si>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</si>
  <si>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</si>
  <si>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</si>
  <si>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</si>
  <si>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</si>
  <si>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</si>
  <si>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</si>
  <si>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</si>
  <si>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</si>
  <si>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</si>
  <si>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</si>
  <si>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</si>
  <si>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</si>
  <si>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</si>
  <si>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</si>
  <si>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</si>
  <si>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</si>
  <si>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</si>
  <si>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</si>
  <si>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</si>
  <si>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</si>
  <si>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</si>
  <si>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</si>
  <si>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</si>
  <si>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</si>
  <si>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</si>
  <si>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</si>
  <si>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</si>
  <si>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</si>
  <si>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</si>
  <si>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</si>
  <si>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</si>
  <si>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</si>
  <si>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</si>
  <si>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</si>
  <si>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</si>
  <si>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</si>
  <si>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</si>
  <si>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</si>
  <si>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</si>
  <si>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</si>
  <si>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</si>
  <si>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</si>
  <si>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</si>
  <si>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</si>
  <si>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</si>
  <si>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</si>
  <si>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</si>
  <si>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</si>
  <si>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</si>
  <si>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</si>
  <si>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</si>
  <si>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</si>
  <si>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</si>
  <si>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</si>
  <si>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</si>
  <si>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</si>
  <si>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</si>
  <si>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</si>
  <si>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</si>
  <si>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</si>
  <si>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</si>
  <si>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</si>
  <si>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</si>
  <si>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</si>
  <si>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</si>
  <si>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</si>
  <si>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</si>
  <si>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</si>
  <si>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</si>
  <si>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</si>
  <si>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</si>
  <si>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</si>
  <si>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</si>
  <si>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</si>
  <si>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</si>
  <si>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</si>
  <si>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</si>
  <si>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</si>
  <si>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</si>
  <si>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</si>
  <si>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</si>
  <si>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</si>
  <si>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</si>
  <si>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</si>
  <si>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</si>
  <si>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</si>
  <si>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</si>
  <si>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</si>
  <si>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</si>
  <si>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</si>
  <si>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</si>
  <si>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</si>
  <si>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</si>
  <si>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</si>
  <si>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</si>
  <si>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</si>
  <si>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</si>
  <si>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</si>
  <si>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</si>
  <si>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</si>
  <si>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</si>
  <si>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</si>
  <si>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</si>
  <si>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</si>
  <si>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</si>
  <si>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</si>
  <si>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</si>
  <si>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</si>
  <si>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</si>
  <si>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</si>
  <si>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</si>
  <si>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</si>
  <si>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</si>
  <si>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</si>
  <si>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</si>
  <si>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</si>
  <si>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</si>
  <si>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</si>
  <si>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</si>
  <si>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</si>
  <si>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</si>
  <si>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</si>
  <si>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</si>
  <si>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</si>
  <si>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</si>
  <si>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</si>
  <si>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</si>
  <si>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</si>
  <si>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</si>
  <si>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</si>
  <si>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</si>
  <si>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</si>
  <si>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</si>
  <si>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</si>
  <si>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</si>
  <si>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</si>
  <si>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</si>
  <si>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</si>
  <si>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</si>
  <si>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</si>
  <si>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</si>
  <si>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</si>
  <si>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</si>
  <si>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</si>
  <si>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</si>
  <si>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</si>
  <si>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</si>
  <si>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</si>
  <si>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</si>
  <si>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</si>
  <si>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</si>
  <si>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</si>
  <si>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</si>
  <si>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</si>
  <si>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</si>
  <si>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</si>
  <si>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</si>
  <si>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</si>
  <si>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</si>
  <si>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</si>
  <si>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</si>
  <si>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</si>
  <si>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</si>
  <si>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</si>
  <si>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</si>
  <si>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</si>
  <si>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</si>
  <si>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</si>
  <si>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</si>
  <si>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</si>
  <si>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</si>
  <si>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</si>
  <si>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</si>
  <si>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</si>
  <si>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</si>
  <si>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</si>
  <si>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</si>
  <si>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</si>
  <si>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</si>
  <si>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</si>
  <si>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</si>
  <si>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</si>
  <si>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</si>
  <si>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</si>
  <si>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</si>
  <si>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</si>
  <si>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</si>
  <si>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</si>
  <si>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</si>
  <si>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</si>
  <si>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</si>
  <si>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</si>
  <si>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</si>
  <si>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</si>
  <si>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</si>
  <si>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</si>
  <si>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</si>
  <si>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</si>
  <si>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</si>
  <si>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</si>
  <si>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</si>
  <si>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</si>
  <si>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</si>
  <si>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</si>
  <si>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</si>
  <si>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</si>
  <si>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</si>
  <si>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</si>
  <si>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</si>
  <si>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</si>
  <si>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</si>
  <si>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</si>
  <si>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</si>
  <si>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</si>
  <si>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</si>
  <si>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</si>
  <si>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</si>
  <si>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</si>
  <si>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</si>
  <si>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</si>
  <si>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</si>
  <si>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</si>
  <si>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</si>
  <si>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</si>
  <si>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</si>
  <si>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</si>
  <si>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</si>
  <si>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</si>
  <si>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</si>
  <si>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</si>
  <si>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</si>
  <si>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</si>
  <si>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</si>
  <si>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</si>
  <si>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</si>
  <si>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</si>
  <si>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</si>
  <si>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</si>
  <si>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</si>
  <si>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</si>
  <si>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</si>
  <si>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</si>
  <si>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</si>
  <si>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</si>
  <si>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</si>
  <si>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</si>
  <si>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</si>
  <si>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</si>
  <si>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</si>
  <si>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</si>
  <si>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</si>
  <si>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</si>
  <si>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</si>
  <si>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</si>
  <si>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</si>
  <si>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</si>
  <si>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</si>
  <si>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</si>
  <si>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</si>
  <si>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</si>
  <si>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</si>
  <si>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</si>
  <si>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</si>
  <si>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</si>
  <si>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</si>
  <si>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</si>
  <si>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</si>
  <si>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</si>
  <si>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</si>
  <si>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</si>
  <si>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</si>
  <si>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</si>
  <si>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</si>
  <si>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</si>
  <si>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</si>
  <si>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</si>
  <si>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</si>
  <si>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</si>
  <si>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</si>
  <si>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</si>
  <si>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</si>
  <si>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</si>
  <si>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</si>
  <si>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</si>
  <si>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</si>
  <si>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</si>
  <si>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</si>
  <si>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</si>
  <si>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</si>
  <si>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</si>
  <si>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</si>
  <si>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</si>
  <si>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</si>
  <si>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</si>
  <si>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</si>
  <si>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</si>
  <si>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</si>
  <si>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</si>
  <si>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</si>
  <si>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</si>
  <si>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</si>
  <si>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</si>
  <si>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</si>
  <si>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</si>
  <si>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</si>
  <si>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</si>
  <si>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</si>
  <si>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</si>
  <si>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</si>
  <si>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</si>
  <si>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</si>
  <si>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</si>
  <si>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</si>
  <si>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</si>
  <si>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</si>
  <si>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</si>
  <si>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</si>
  <si>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</si>
  <si>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</si>
  <si>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</si>
  <si>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</si>
  <si>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</si>
  <si>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</si>
  <si>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</si>
  <si>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</si>
  <si>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</si>
  <si>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</si>
  <si>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</si>
  <si>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</si>
  <si>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</si>
  <si>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</si>
  <si>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</si>
  <si>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</si>
  <si>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</si>
  <si>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</si>
  <si>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</si>
  <si>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</si>
  <si>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</si>
  <si>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</si>
  <si>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</si>
  <si>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</si>
  <si>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</si>
  <si>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</si>
  <si>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</si>
  <si>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</si>
  <si>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</si>
  <si>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</si>
  <si>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</si>
  <si>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</si>
  <si>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</si>
  <si>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</si>
  <si>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</si>
  <si>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</si>
  <si>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</si>
  <si>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</si>
  <si>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</si>
  <si>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</si>
  <si>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</si>
  <si>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</si>
  <si>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</si>
  <si>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</si>
  <si>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</si>
  <si>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</si>
  <si>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</si>
  <si>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</si>
  <si>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</si>
  <si>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</si>
  <si>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</si>
  <si>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</si>
  <si>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</si>
  <si>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</si>
  <si>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</si>
  <si>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</si>
  <si>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</si>
  <si>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</si>
  <si>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</si>
  <si>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</si>
  <si>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</si>
  <si>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</si>
  <si>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</si>
  <si>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</si>
  <si>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</si>
  <si>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</si>
  <si>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</si>
  <si>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</si>
  <si>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</si>
  <si>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</si>
  <si>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</si>
  <si>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</si>
  <si>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</si>
  <si>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</si>
  <si>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</si>
  <si>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</si>
  <si>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</si>
  <si>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</si>
  <si>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</si>
  <si>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</si>
  <si>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</si>
  <si>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</si>
  <si>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</si>
  <si>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</si>
  <si>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</si>
  <si>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</si>
  <si>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</si>
  <si>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</si>
  <si>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</si>
  <si>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</si>
  <si>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</si>
  <si>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</si>
  <si>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</si>
  <si>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</si>
  <si>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</si>
  <si>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</si>
  <si>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</si>
  <si>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</si>
  <si>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</si>
  <si>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</si>
  <si>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</si>
  <si>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</si>
  <si>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</si>
  <si>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</si>
  <si>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</si>
  <si>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</si>
  <si>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</si>
  <si>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</si>
  <si>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</si>
  <si>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</si>
  <si>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</si>
  <si>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</si>
  <si>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</si>
  <si>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</si>
  <si>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</si>
  <si>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</si>
  <si>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</si>
  <si>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</si>
  <si>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</si>
  <si>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</si>
  <si>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</si>
  <si>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</si>
  <si>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</si>
  <si>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</si>
  <si>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</si>
  <si>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</si>
  <si>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</si>
  <si>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</si>
  <si>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</si>
  <si>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</si>
  <si>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</si>
  <si>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</si>
  <si>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</si>
  <si>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</si>
  <si>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</si>
  <si>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</si>
  <si>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</si>
  <si>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</si>
  <si>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</si>
  <si>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</si>
  <si>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</si>
  <si>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</si>
  <si>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</si>
  <si>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</si>
  <si>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</si>
  <si>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</si>
  <si>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</si>
  <si>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</si>
  <si>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</si>
  <si>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</si>
  <si>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</si>
  <si>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</si>
  <si>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</si>
  <si>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</si>
  <si>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</si>
  <si>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</si>
  <si>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</si>
  <si>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</si>
  <si>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</si>
  <si>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</si>
  <si>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</si>
  <si>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</si>
  <si>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</si>
  <si>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</si>
  <si>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</si>
  <si>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</si>
  <si>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</si>
  <si>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</si>
  <si>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</si>
  <si>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</si>
  <si>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</si>
  <si>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</si>
  <si>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</si>
  <si>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</si>
  <si>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</si>
  <si>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</si>
  <si>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</si>
  <si>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</si>
  <si>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</si>
  <si>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</si>
  <si>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</si>
  <si>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</si>
  <si>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</si>
  <si>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</si>
  <si>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</si>
  <si>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</si>
  <si>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</si>
  <si>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</si>
  <si>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</si>
  <si>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</si>
  <si>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</si>
  <si>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</si>
  <si>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</si>
  <si>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</si>
  <si>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</si>
  <si>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</si>
  <si>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</si>
  <si>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</si>
  <si>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</si>
  <si>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</si>
  <si>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</si>
  <si>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</si>
  <si>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</si>
  <si>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</si>
  <si>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</si>
  <si>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</si>
  <si>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</si>
  <si>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</si>
  <si>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</si>
  <si>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</si>
  <si>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</si>
  <si>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</si>
  <si>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</si>
  <si>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</si>
  <si>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</si>
  <si>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</si>
  <si>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</si>
  <si>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</si>
  <si>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</si>
  <si>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</si>
  <si>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</si>
  <si>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</si>
  <si>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</si>
  <si>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</si>
  <si>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</si>
  <si>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</si>
  <si>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</si>
  <si>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</si>
  <si>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</si>
  <si>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</si>
  <si>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</si>
  <si>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</si>
  <si>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</si>
  <si>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</si>
  <si>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</si>
  <si>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</si>
  <si>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</si>
  <si>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</si>
  <si>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</si>
  <si>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</si>
  <si>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</si>
  <si>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</si>
  <si>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</si>
  <si>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</si>
  <si>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</si>
  <si>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</si>
  <si>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</si>
  <si>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</si>
  <si>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</si>
  <si>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</si>
  <si>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</si>
  <si>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</si>
  <si>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</si>
  <si>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</si>
  <si>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</si>
  <si>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</si>
  <si>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</si>
  <si>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</si>
  <si>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</si>
  <si>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</si>
  <si>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</si>
  <si>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</si>
  <si>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</si>
  <si>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</si>
  <si>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</si>
  <si>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</si>
  <si>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</si>
  <si>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</si>
  <si>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</si>
  <si>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</si>
  <si>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</si>
  <si>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</si>
  <si>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</si>
  <si>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</si>
  <si>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</si>
  <si>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</si>
  <si>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</si>
  <si>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</si>
  <si>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</si>
  <si>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</si>
  <si>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</si>
  <si>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</si>
  <si>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</si>
  <si>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</si>
  <si>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</si>
  <si>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</si>
  <si>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</si>
  <si>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</si>
  <si>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</si>
  <si>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</si>
  <si>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</si>
  <si>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</si>
  <si>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</si>
  <si>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</si>
  <si>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</si>
  <si>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</si>
  <si>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</si>
  <si>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</si>
  <si>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</si>
  <si>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</si>
  <si>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</si>
  <si>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</si>
  <si>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</si>
  <si>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</si>
  <si>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</si>
  <si>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</si>
  <si>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</si>
  <si>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</si>
  <si>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</si>
  <si>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</si>
  <si>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</si>
  <si>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</si>
  <si>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</si>
  <si>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</si>
  <si>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</si>
  <si>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</si>
  <si>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</si>
  <si>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</si>
  <si>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</si>
  <si>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</si>
  <si>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</si>
  <si>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</si>
  <si>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</si>
  <si>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</si>
  <si>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</si>
  <si>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</si>
  <si>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</si>
  <si>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</si>
  <si>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</si>
  <si>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</si>
  <si>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</si>
  <si>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</si>
  <si>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</si>
  <si>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</si>
  <si>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</si>
  <si>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</si>
  <si>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</si>
  <si>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</si>
  <si>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</si>
  <si>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</si>
  <si>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</si>
  <si>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</si>
  <si>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</si>
  <si>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</si>
  <si>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</si>
  <si>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</si>
  <si>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</si>
  <si>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</si>
  <si>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</si>
  <si>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</si>
  <si>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</si>
  <si>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</si>
  <si>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</si>
  <si>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</si>
  <si>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</si>
  <si>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</si>
  <si>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</si>
  <si>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</si>
  <si>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</si>
  <si>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</si>
  <si>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</si>
  <si>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</si>
  <si>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</si>
  <si>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</si>
  <si>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</si>
  <si>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</si>
  <si>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</si>
  <si>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</si>
  <si>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</si>
  <si>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</si>
  <si>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</si>
  <si>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</si>
  <si>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</si>
  <si>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</si>
  <si>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</si>
  <si>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</si>
  <si>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</si>
  <si>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</si>
  <si>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</si>
  <si>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</si>
  <si>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</si>
  <si>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</si>
  <si>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</si>
  <si>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</si>
  <si>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</si>
  <si>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</si>
  <si>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</si>
  <si>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</si>
  <si>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</si>
  <si>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</si>
  <si>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</si>
  <si>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</si>
  <si>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</si>
  <si>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</si>
  <si>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</si>
  <si>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</si>
  <si>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</si>
  <si>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</si>
  <si>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</si>
  <si>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</si>
  <si>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</si>
  <si>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</si>
  <si>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</si>
  <si>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</si>
  <si>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</si>
  <si>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</si>
  <si>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</si>
  <si>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</si>
  <si>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</si>
  <si>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</si>
  <si>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</si>
  <si>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</si>
  <si>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</si>
  <si>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</si>
  <si>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</si>
  <si>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</si>
  <si>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</si>
  <si>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</si>
  <si>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</si>
  <si>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</si>
  <si>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</si>
  <si>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</si>
  <si>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</si>
  <si>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</si>
  <si>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</si>
  <si>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</si>
  <si>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</si>
  <si>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</si>
  <si>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</si>
  <si>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</si>
  <si>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</si>
  <si>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</si>
  <si>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</si>
  <si>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</si>
  <si>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</si>
  <si>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</si>
  <si>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</si>
  <si>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</si>
  <si>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</si>
  <si>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</si>
  <si>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</si>
  <si>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</si>
  <si>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</si>
  <si>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</si>
  <si>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</si>
  <si>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</si>
  <si>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</si>
  <si>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</si>
  <si>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</si>
  <si>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</si>
  <si>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</si>
  <si>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</si>
  <si>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</si>
  <si>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</si>
  <si>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</si>
  <si>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</si>
  <si>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</si>
  <si>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</si>
  <si>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</si>
  <si>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</si>
  <si>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</si>
  <si>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</si>
  <si>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</si>
  <si>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</si>
  <si>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</si>
  <si>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</si>
  <si>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</si>
  <si>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</si>
  <si>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</si>
  <si>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</si>
  <si>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</si>
  <si>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</si>
  <si>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</si>
  <si>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</si>
  <si>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</si>
  <si>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</si>
  <si>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</si>
  <si>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</si>
  <si>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</si>
  <si>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</si>
  <si>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</si>
  <si>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</si>
  <si>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</si>
  <si>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</si>
  <si>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</si>
  <si>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</si>
  <si>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</si>
  <si>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</si>
  <si>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</si>
  <si>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</si>
  <si>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</si>
  <si>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</si>
  <si>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</si>
  <si>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</si>
  <si>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</si>
  <si>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</si>
  <si>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</si>
  <si>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</si>
  <si>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</si>
  <si>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</si>
  <si>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</si>
  <si>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</si>
  <si>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</si>
  <si>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</si>
  <si>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</si>
  <si>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</si>
  <si>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</si>
  <si>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</si>
  <si>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</si>
  <si>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</si>
  <si>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</si>
  <si>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</si>
  <si>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</si>
  <si>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</si>
  <si>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</si>
  <si>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</si>
  <si>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</si>
  <si>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</si>
  <si>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</si>
  <si>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</si>
  <si>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</si>
  <si>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</si>
  <si>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</si>
  <si>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</si>
  <si>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</si>
  <si>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</si>
  <si>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</si>
  <si>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</si>
  <si>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</si>
  <si>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</si>
  <si>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</si>
  <si>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</si>
  <si>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</si>
  <si>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</si>
  <si>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</si>
  <si>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</si>
  <si>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</si>
  <si>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</si>
  <si>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</si>
  <si>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</si>
  <si>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</si>
  <si>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</si>
  <si>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</si>
  <si>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</si>
  <si>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</si>
  <si>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</si>
  <si>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</si>
  <si>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</si>
  <si>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</si>
  <si>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</si>
  <si>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</si>
  <si>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</si>
  <si>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</si>
  <si>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</si>
  <si>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</si>
  <si>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</si>
  <si>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</si>
  <si>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</si>
  <si>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</si>
  <si>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</si>
  <si>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</si>
  <si>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</si>
  <si>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</si>
  <si>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</si>
  <si>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</si>
  <si>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</si>
  <si>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</si>
  <si>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</si>
  <si>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</si>
  <si>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</si>
  <si>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</si>
  <si>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</si>
  <si>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</si>
  <si>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</si>
  <si>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</si>
  <si>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</si>
  <si>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</si>
  <si>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</si>
  <si>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</si>
  <si>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</si>
  <si>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</si>
  <si>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</si>
  <si>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</si>
  <si>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</si>
  <si>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</si>
  <si>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</si>
  <si>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</si>
  <si>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</si>
  <si>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</si>
  <si>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</si>
  <si>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</si>
  <si>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</si>
  <si>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</si>
  <si>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</si>
  <si>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</si>
  <si>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</si>
  <si>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</si>
  <si>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</si>
  <si>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</si>
  <si>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</si>
  <si>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</si>
  <si>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</si>
  <si>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</si>
  <si>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</si>
  <si>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</si>
  <si>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</si>
  <si>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</si>
  <si>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</si>
  <si>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</si>
  <si>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</si>
  <si>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</si>
  <si>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</si>
  <si>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</si>
  <si>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</si>
  <si>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</si>
  <si>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</si>
  <si>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</si>
  <si>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</si>
  <si>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</si>
  <si>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</si>
  <si>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</si>
  <si>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</si>
  <si>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</si>
  <si>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</si>
  <si>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</si>
  <si>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</si>
  <si>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</si>
  <si>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</si>
  <si>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</si>
  <si>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</si>
  <si>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</si>
  <si>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</si>
  <si>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</si>
  <si>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</si>
  <si>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</si>
  <si>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</si>
  <si>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</si>
  <si>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</si>
  <si>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</si>
  <si>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</si>
  <si>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</si>
  <si>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</si>
  <si>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</si>
  <si>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</si>
  <si>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</si>
  <si>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</si>
  <si>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</si>
  <si>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</si>
  <si>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</si>
  <si>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</si>
  <si>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</si>
  <si>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</si>
  <si>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</si>
  <si>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</si>
  <si>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</si>
  <si>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</si>
  <si>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</si>
  <si>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</si>
  <si>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</si>
  <si>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</si>
  <si>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</si>
  <si>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</si>
  <si>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</si>
  <si>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</si>
  <si>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</si>
  <si>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</si>
  <si>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</si>
  <si>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</si>
  <si>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</si>
  <si>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</si>
  <si>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</si>
  <si>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</si>
  <si>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</si>
  <si>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</si>
  <si>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</si>
  <si>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</si>
  <si>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</si>
  <si>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</si>
  <si>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</si>
  <si>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</si>
  <si>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</si>
  <si>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</si>
  <si>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</si>
  <si>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</si>
  <si>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</si>
  <si>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</si>
  <si>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</si>
  <si>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</si>
  <si>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</si>
  <si>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</si>
  <si>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</si>
  <si>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</si>
  <si>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</si>
  <si>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</si>
  <si>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</si>
  <si>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</si>
  <si>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</si>
  <si>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</si>
  <si>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</si>
  <si>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</si>
  <si>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</si>
  <si>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</si>
  <si>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</si>
  <si>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</si>
  <si>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</si>
  <si>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</si>
  <si>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</si>
  <si>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</si>
  <si>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</si>
  <si>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</si>
  <si>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</si>
  <si>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</si>
  <si>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</si>
  <si>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</si>
  <si>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</si>
  <si>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</si>
  <si>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</si>
  <si>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</si>
  <si>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</si>
  <si>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</si>
  <si>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</si>
  <si>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</si>
  <si>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</si>
  <si>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</si>
  <si>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</si>
  <si>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</si>
  <si>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</si>
  <si>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</si>
  <si>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</si>
  <si>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</si>
  <si>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</si>
  <si>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</si>
  <si>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</si>
  <si>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</si>
  <si>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</si>
  <si>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</si>
  <si>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</si>
  <si>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</si>
  <si>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</si>
  <si>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</si>
  <si>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</si>
  <si>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</si>
  <si>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</si>
  <si>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</si>
  <si>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</si>
  <si>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</si>
  <si>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</si>
  <si>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</si>
  <si>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</si>
  <si>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</si>
  <si>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</si>
  <si>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</si>
  <si>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</si>
  <si>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</si>
  <si>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</si>
  <si>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</si>
  <si>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</si>
  <si>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</si>
  <si>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</si>
  <si>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</si>
  <si>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</si>
  <si>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</si>
  <si>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</si>
  <si>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</si>
  <si>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</si>
  <si>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</si>
  <si>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</si>
  <si>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</si>
  <si>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</si>
  <si>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</si>
  <si>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</si>
  <si>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</si>
  <si>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</si>
  <si>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</si>
  <si>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</si>
  <si>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</si>
  <si>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</si>
  <si>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</si>
  <si>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</si>
  <si>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</si>
  <si>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</si>
  <si>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</si>
  <si>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</si>
  <si>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</si>
  <si>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</si>
  <si>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</si>
  <si>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</si>
  <si>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</si>
  <si>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</si>
  <si>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</si>
  <si>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</si>
  <si>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</si>
  <si>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</si>
  <si>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</si>
  <si>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</si>
  <si>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</si>
  <si>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</si>
  <si>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</si>
  <si>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</si>
  <si>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</si>
  <si>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</si>
  <si>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</si>
  <si>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</si>
  <si>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</si>
  <si>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</si>
  <si>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</si>
  <si>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</si>
  <si>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</si>
  <si>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</si>
  <si>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</si>
  <si>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</si>
  <si>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</si>
  <si>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</si>
  <si>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</si>
  <si>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</si>
  <si>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</si>
  <si>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</si>
  <si>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</si>
  <si>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</si>
  <si>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</si>
  <si>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</si>
  <si>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</si>
  <si>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</si>
  <si>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</si>
  <si>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</si>
  <si>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</si>
  <si>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</si>
  <si>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</si>
  <si>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</si>
  <si>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</si>
  <si>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</si>
  <si>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</si>
  <si>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</si>
  <si>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</si>
  <si>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</si>
  <si>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</si>
  <si>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</si>
  <si>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</si>
  <si>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</si>
  <si>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</si>
  <si>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</si>
  <si>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</si>
  <si>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</si>
  <si>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</si>
  <si>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</si>
  <si>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</si>
  <si>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</si>
  <si>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</si>
  <si>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</si>
  <si>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</si>
  <si>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</si>
  <si>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</si>
  <si>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</si>
  <si>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</si>
  <si>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</si>
  <si>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</si>
  <si>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</si>
  <si>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</si>
  <si>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</si>
  <si>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</si>
  <si>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</si>
  <si>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</si>
  <si>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</si>
  <si>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</si>
  <si>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</si>
  <si>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</si>
  <si>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</si>
  <si>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</si>
  <si>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</si>
  <si>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</si>
  <si>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</si>
  <si>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</si>
  <si>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</si>
  <si>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</si>
  <si>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</si>
  <si>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</si>
  <si>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</si>
  <si>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</si>
  <si>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</si>
  <si>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</si>
  <si>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</si>
  <si>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</si>
  <si>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</si>
  <si>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</si>
  <si>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</si>
  <si>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</si>
  <si>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</si>
  <si>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</si>
  <si>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</si>
  <si>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</si>
  <si>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</si>
  <si>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</si>
  <si>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</si>
  <si>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</si>
  <si>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</si>
  <si>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</si>
  <si>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</si>
  <si>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</si>
  <si>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</si>
  <si>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</si>
  <si>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</si>
  <si>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</si>
  <si>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</si>
  <si>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</si>
  <si>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</si>
  <si>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</si>
  <si>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</si>
  <si>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</si>
  <si>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</si>
  <si>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</si>
  <si>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</si>
  <si>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</si>
  <si>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</si>
  <si>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</si>
  <si>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</si>
  <si>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</si>
  <si>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</si>
  <si>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</si>
  <si>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</si>
  <si>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</si>
  <si>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</si>
  <si>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</si>
  <si>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</si>
  <si>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</si>
  <si>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</si>
  <si>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</si>
  <si>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</si>
  <si>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</si>
  <si>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</si>
  <si>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</si>
  <si>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</si>
  <si>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</si>
  <si>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</si>
  <si>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</si>
  <si>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</si>
  <si>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</si>
  <si>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</si>
  <si>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</si>
  <si>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</si>
  <si>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</si>
  <si>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</si>
  <si>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</si>
  <si>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</si>
  <si>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</si>
  <si>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</si>
  <si>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</si>
  <si>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</si>
  <si>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</si>
  <si>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</si>
  <si>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</si>
  <si>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</si>
  <si>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</si>
  <si>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</si>
  <si>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</si>
  <si>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</si>
  <si>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</si>
  <si>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</si>
  <si>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</si>
  <si>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</si>
  <si>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</si>
  <si>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</si>
  <si>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</si>
  <si>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</si>
  <si>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</si>
  <si>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</si>
  <si>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</si>
  <si>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</si>
  <si>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</si>
  <si>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</si>
  <si>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</si>
  <si>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</si>
  <si>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</si>
  <si>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</si>
  <si>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</si>
  <si>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</si>
  <si>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</si>
  <si>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</si>
  <si>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</si>
  <si>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</si>
  <si>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</si>
  <si>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</si>
  <si>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</si>
  <si>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</si>
  <si>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</si>
  <si>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</si>
  <si>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</si>
  <si>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</si>
  <si>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</si>
  <si>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</si>
  <si>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</si>
  <si>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</si>
  <si>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</si>
  <si>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</si>
  <si>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</si>
  <si>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</si>
  <si>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</si>
  <si>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</si>
  <si>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</si>
  <si>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</si>
  <si>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</si>
  <si>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</si>
  <si>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</si>
  <si>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</si>
  <si>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</si>
  <si>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</si>
  <si>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</si>
  <si>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</si>
  <si>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</si>
  <si>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</si>
  <si>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</si>
  <si>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</si>
  <si>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</si>
  <si>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</si>
  <si>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</si>
  <si>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</si>
  <si>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</si>
  <si>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</si>
  <si>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</si>
  <si>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</si>
  <si>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</si>
  <si>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</si>
  <si>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</si>
  <si>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</si>
  <si>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</si>
  <si>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</si>
  <si>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</si>
  <si>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</si>
  <si>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</si>
  <si>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</si>
  <si>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</si>
  <si>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</si>
  <si>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</si>
  <si>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</si>
  <si>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</si>
  <si>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</si>
  <si>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</si>
  <si>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</si>
  <si>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</si>
  <si>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</si>
  <si>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</si>
  <si>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</si>
  <si>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</si>
  <si>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</si>
  <si>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</si>
  <si>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</si>
  <si>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</si>
  <si>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</si>
  <si>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</si>
  <si>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</si>
  <si>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</si>
  <si>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</si>
  <si>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</si>
  <si>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</si>
  <si>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</si>
  <si>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</si>
  <si>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</si>
  <si>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</si>
  <si>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</si>
  <si>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</si>
  <si>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</si>
  <si>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</si>
  <si>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</si>
  <si>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</si>
  <si>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</si>
  <si>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</si>
  <si>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</si>
  <si>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</si>
  <si>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</si>
  <si>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</si>
  <si>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</si>
  <si>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</si>
  <si>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</si>
  <si>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</si>
  <si>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</si>
  <si>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</si>
  <si>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</si>
  <si>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</si>
  <si>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</si>
  <si>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</si>
  <si>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</si>
  <si>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</si>
  <si>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</si>
  <si>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</si>
  <si>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</si>
  <si>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</si>
  <si>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</si>
  <si>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</si>
  <si>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</si>
  <si>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</si>
  <si>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</si>
  <si>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</si>
  <si>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</si>
  <si>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</si>
  <si>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</si>
  <si>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</si>
  <si>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</si>
  <si>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</si>
  <si>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</si>
  <si>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</si>
  <si>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</si>
  <si>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</si>
  <si>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</si>
  <si>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</si>
  <si>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</si>
  <si>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</si>
  <si>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</si>
  <si>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</si>
  <si>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</si>
  <si>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</si>
  <si>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</si>
  <si>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</si>
  <si>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</si>
  <si>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</si>
  <si>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</si>
  <si>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</si>
  <si>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</si>
  <si>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</si>
  <si>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</si>
  <si>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</si>
  <si>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</si>
  <si>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</si>
  <si>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</si>
  <si>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</si>
  <si>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</si>
  <si>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</si>
  <si>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</si>
  <si>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</si>
  <si>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</si>
  <si>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</si>
  <si>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</si>
  <si>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</si>
  <si>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</si>
  <si>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</si>
  <si>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</si>
  <si>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</si>
  <si>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</si>
  <si>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</si>
  <si>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</si>
  <si>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</si>
  <si>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</si>
  <si>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</si>
  <si>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</si>
  <si>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</si>
  <si>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</si>
  <si>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</si>
  <si>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</si>
  <si>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</si>
  <si>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</si>
  <si>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</si>
  <si>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</si>
  <si>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</si>
  <si>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</si>
  <si>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</si>
  <si>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</si>
  <si>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</si>
  <si>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</si>
  <si>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</si>
  <si>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</si>
  <si>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</si>
  <si>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</si>
  <si>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</si>
  <si>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</si>
  <si>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</si>
  <si>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</si>
  <si>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</si>
  <si>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</si>
  <si>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</si>
  <si>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</si>
  <si>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</si>
  <si>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</si>
  <si>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</si>
  <si>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</si>
  <si>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</si>
  <si>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</si>
  <si>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</si>
  <si>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</si>
  <si>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</si>
  <si>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</si>
  <si>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</si>
  <si>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</si>
  <si>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</si>
  <si>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</si>
  <si>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</si>
  <si>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</si>
  <si>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</si>
  <si>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</si>
  <si>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</si>
  <si>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</si>
  <si>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</si>
  <si>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</si>
  <si>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</si>
  <si>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</si>
  <si>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</si>
  <si>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</si>
  <si>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</si>
  <si>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</si>
  <si>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</si>
  <si>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</si>
  <si>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</si>
  <si>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</si>
  <si>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</si>
  <si>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</si>
  <si>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</si>
  <si>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</si>
  <si>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</si>
  <si>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</si>
  <si>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</si>
  <si>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</si>
  <si>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</si>
  <si>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</si>
  <si>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</si>
  <si>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</si>
  <si>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</si>
  <si>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</si>
  <si>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</si>
  <si>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</si>
  <si>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</si>
  <si>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</si>
  <si>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</si>
  <si>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</si>
  <si>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</si>
  <si>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</si>
  <si>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</si>
  <si>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</si>
  <si>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</si>
  <si>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</si>
  <si>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</si>
  <si>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</si>
  <si>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</si>
  <si>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</si>
  <si>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</si>
  <si>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</si>
  <si>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</si>
  <si>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</si>
  <si>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</si>
  <si>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Rep</t>
  </si>
  <si>
    <t>Team</t>
  </si>
  <si>
    <t>Total Leads</t>
  </si>
  <si>
    <t>Won Deals</t>
  </si>
  <si>
    <t>Lost Deals</t>
  </si>
  <si>
    <t>Avg Sales Cycle</t>
  </si>
  <si>
    <t>Revenue Target</t>
  </si>
  <si>
    <t>Target Attainment</t>
  </si>
  <si>
    <t>Channel</t>
  </si>
  <si>
    <t>Leads</t>
  </si>
  <si>
    <t>Won</t>
  </si>
  <si>
    <t>Lost</t>
  </si>
  <si>
    <t>Revenue / Lead</t>
  </si>
  <si>
    <t>Paid Search</t>
  </si>
  <si>
    <t>Organic Search</t>
  </si>
  <si>
    <t>LinkedIn</t>
  </si>
  <si>
    <t>Email</t>
  </si>
  <si>
    <t>Other</t>
  </si>
  <si>
    <t>Funnel Stage</t>
  </si>
  <si>
    <t>Reached Stage</t>
  </si>
  <si>
    <t>Conversion from Previous</t>
  </si>
  <si>
    <t>Drop-off from Previous</t>
  </si>
  <si>
    <t>Lead Created</t>
  </si>
  <si>
    <t>Month</t>
  </si>
  <si>
    <t>Created Leads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</si>
  <si>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</si>
  <si>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</si>
  <si>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</si>
  <si>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</si>
  <si>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</si>
  <si>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</si>
  <si>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</si>
  <si>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</si>
  <si>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</si>
  <si>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</si>
  <si>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</si>
  <si>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</si>
  <si>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</si>
  <si>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</si>
  <si>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</si>
  <si>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</si>
  <si>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</si>
  <si>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</si>
  <si>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</si>
  <si>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</si>
  <si>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Priority</t>
  </si>
  <si>
    <t>Management Finding</t>
  </si>
  <si>
    <t>Evidence</t>
  </si>
  <si>
    <t>Recommended Action</t>
  </si>
  <si>
    <t>High</t>
  </si>
  <si>
    <t>Late-funnel conversion is the biggest leakage point</t>
  </si>
  <si>
    <t>Negotiation → Closed Won conversion = 45.6%; drop-off = 54.4%</t>
  </si>
  <si>
    <t>Review negotiation objections, pricing approval, proposal quality and follow-up cadence; track loss reason by rep and product.</t>
  </si>
  <si>
    <t>Sales Ops</t>
  </si>
  <si>
    <t>Open pipeline contains a material stale-lead backlog</t>
  </si>
  <si>
    <t>358 open leads are older than 30 days</t>
  </si>
  <si>
    <t>Run a weekly aging review; requalify, progress or close stale opportunities so pipeline coverage is not overstated.</t>
  </si>
  <si>
    <t>Sales Managers</t>
  </si>
  <si>
    <t>Paid Search delivers volume but weak commercial efficiency</t>
  </si>
  <si>
    <t>346 leads (largest channel) but 20.9% win rate and $3,628 revenue per lead</t>
  </si>
  <si>
    <t>Tighten keyword/landing-page alignment and qualification criteria before increasing acquisition volume.</t>
  </si>
  <si>
    <t>Growth + Sales</t>
  </si>
  <si>
    <t>Medium</t>
  </si>
  <si>
    <t>Email produces the strongest channel efficiency</t>
  </si>
  <si>
    <t>32.0% win rate and $7,705 revenue per lead</t>
  </si>
  <si>
    <t>Expand nurture and lifecycle programs carefully; protect list quality and separate owned-channel efficiency from paid acquisition economics.</t>
  </si>
  <si>
    <t>CRM / Growth</t>
  </si>
  <si>
    <t>Rep performance should be read using both absolute revenue and target attainment</t>
  </si>
  <si>
    <t>Quynh Vu generated $1.59M revenue but reached 90.9% of target; Minh Do reached 108.7%</t>
  </si>
  <si>
    <t>Use revenue, attainment, win rate, and pipeline coverage together for coaching rather than ranking reps on one metric.</t>
  </si>
  <si>
    <t>Commercial Lead</t>
  </si>
  <si>
    <t>Lookup Tables &amp; Control Values</t>
  </si>
  <si>
    <t>Data Snapshot Date</t>
  </si>
  <si>
    <t>Raw Source</t>
  </si>
  <si>
    <t>Clean Channel</t>
  </si>
  <si>
    <t>Product Code</t>
  </si>
  <si>
    <t>Product Name</t>
  </si>
  <si>
    <t>Product Category</t>
  </si>
  <si>
    <t>List Price</t>
  </si>
  <si>
    <t>Clean Channels</t>
  </si>
  <si>
    <t>NexaCRM Core</t>
  </si>
  <si>
    <t>CRM</t>
  </si>
  <si>
    <t>Growth</t>
  </si>
  <si>
    <t>NexaCRM Pro</t>
  </si>
  <si>
    <t>Marketing Automation</t>
  </si>
  <si>
    <t>Marketing</t>
  </si>
  <si>
    <t>Commercial</t>
  </si>
  <si>
    <t>Analytics Plus</t>
  </si>
  <si>
    <t>Analytics</t>
  </si>
  <si>
    <t>Service Cloud</t>
  </si>
  <si>
    <t>Customer Service</t>
  </si>
  <si>
    <t>Revenue Operations Suite</t>
  </si>
  <si>
    <t>Revenue Ops</t>
  </si>
  <si>
    <t>Field</t>
  </si>
  <si>
    <t>Type</t>
  </si>
  <si>
    <t>Source / Formula</t>
  </si>
  <si>
    <t>Business meaning</t>
  </si>
  <si>
    <t>Text</t>
  </si>
  <si>
    <t>Raw</t>
  </si>
  <si>
    <t>Unique CRM lead identifier</t>
  </si>
  <si>
    <t>Date</t>
  </si>
  <si>
    <t>Lead creation date</t>
  </si>
  <si>
    <t>Sales owner</t>
  </si>
  <si>
    <t>Unstandardized acquisition source</t>
  </si>
  <si>
    <t>Standardized acquisition channel</t>
  </si>
  <si>
    <t>Product mapped from Product_Code</t>
  </si>
  <si>
    <t>IF</t>
  </si>
  <si>
    <t>Segment derived from expected value</t>
  </si>
  <si>
    <t>Won / Lost / Open</t>
  </si>
  <si>
    <t>Currency</t>
  </si>
  <si>
    <t>Closed-won value after discount</t>
  </si>
  <si>
    <t>Open expected value × stage probability</t>
  </si>
  <si>
    <t>Whole number</t>
  </si>
  <si>
    <t>IF + IFERROR</t>
  </si>
  <si>
    <t>Days from creation to close</t>
  </si>
  <si>
    <t>Open lead age as of snapshot date</t>
  </si>
  <si>
    <t>IF + AND</t>
  </si>
  <si>
    <t>Flags open leads older than 30 days</t>
  </si>
  <si>
    <t>TEXT</t>
  </si>
  <si>
    <t>Monthly cohort key</t>
  </si>
  <si>
    <t>ROUNDUP + MONTH + YEAR</t>
  </si>
  <si>
    <t>Quarter key</t>
  </si>
  <si>
    <t>Nested IF + MIN</t>
  </si>
  <si>
    <t>Rule-based prioritization score</t>
  </si>
  <si>
    <t>Nested IF</t>
  </si>
  <si>
    <t>Pipeline / Best Case / Commit / Closed outcome</t>
  </si>
  <si>
    <t>Commercial &amp; CRM Operations Analysis | Excel</t>
  </si>
  <si>
    <t>Business Problem</t>
  </si>
  <si>
    <t>Turn CRM pipeline data into management-ready insight on funnel leakage, channel quality, rep performance, pipeline health and stale opportunities.</t>
  </si>
  <si>
    <t>Dataset</t>
  </si>
  <si>
    <t>1,800 synthetic CRM leads covering Jan 2025 to Aug 2026.</t>
  </si>
  <si>
    <t>Core Excel Skills</t>
  </si>
  <si>
    <t>Key Deliverable</t>
  </si>
  <si>
    <t>Executive dashboard plus formula-driven rep, channel, funnel and monthly performance analysis.</t>
  </si>
  <si>
    <t>Data Ethics</t>
  </si>
  <si>
    <t>Synthetic portfolio data; no claim that records belong to a real company.</t>
  </si>
  <si>
    <t>HR Positioning</t>
  </si>
  <si>
    <t>Commercial Analytics / CRM Analytics / Growth Analytics / Business Analyst / Junior Data Analyst.</t>
  </si>
  <si>
    <t>Excel Formula Evidence</t>
  </si>
  <si>
    <t>Standardizes raw acquisition sources and maps product names/categories.</t>
  </si>
  <si>
    <t>SUMIFS</t>
  </si>
  <si>
    <t>Revenue, open pipeline, weighted pipeline by rep/channel/month.</t>
  </si>
  <si>
    <t>COUNTIFS</t>
  </si>
  <si>
    <t>Won/lost deals, win rates, monthly deal counts and funnel analysis.</t>
  </si>
  <si>
    <t>IF / Nested IF</t>
  </si>
  <si>
    <t>Outcome, segmentation, SLA status, lead score, forecast category.</t>
  </si>
  <si>
    <t>TEXT / MONTH / YEAR / ROUNDUP</t>
  </si>
  <si>
    <t>Monthly and quarterly reporting keys.</t>
  </si>
  <si>
    <t>Conditional Formatting</t>
  </si>
  <si>
    <t>Stale opportunities, lead score, target attainment and pipeline emphasis.</t>
  </si>
  <si>
    <t>Excel Tables + Validation</t>
  </si>
  <si>
    <t>Filterable CRM table, clean input controls and structured analysis sheets.</t>
  </si>
  <si>
    <t>Charts</t>
  </si>
  <si>
    <t>Funnel, channel revenue, monthly revenue trend, rep revenue vs target.</t>
  </si>
  <si>
    <t>VLOOKUP + IFERROR</t>
  </si>
  <si>
    <t>VLOOKUP, SUMIFS, COUNTIFS, IF, IFERROR, TEXT, ROUNDUP, conditional formatting, tables, data validation,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</si>
</sst>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%"/>
  </numFmts>
  <fonts count="9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17365D"/>
      <name val="Carlito"/>
    </font>
    <font>
      <b/>
      <sz val="18"/>
      <color rgb="FF17365D"/>
      <name val="Carlito"/>
    </font>
    <font>
      <b/>
      <sz val="11"/>
      <color rgb="FFC62828"/>
      <name val="Carlito"/>
    </font>
    <font>
      <b/>
      <sz val="11"/>
      <color rgb="FF7F6000"/>
      <name val="Carlito"/>
    </font>
    <font>
      <b/>
      <sz val="14"/>
      <color rgb="FF17365D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7FBFE"/>
      </patternFill>
    </fill>
    <fill>
      <patternFill patternType="solid">
        <fgColor rgb="FFFCE8E6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4" fillId="4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6" fontId="5" fillId="5" borderId="0" xfId="0" applyNumberFormat="1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C62828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vi-VN" sz="1800" b="1" i="0" u="none" strike="noStrike" baseline="0"/>
              <a:t>Sales Funnel by Stage</a:t>
            </a:r>
            <a:endParaRPr lang="vi-VN" sz="18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Reached Stage</c:v>
          </c:tx>
          <c:invertIfNegative val="1"/>
          <c:cat>
            <c:strRef>
              <c:f>Funnel_Analysis!$A$2:$A$7</c:f>
              <c:strCache>
                <c:ptCount val="6"/>
                <c:pt idx="0">
                  <c:v>Lead Created</c:v>
                </c:pt>
                <c:pt idx="1">
                  <c:v>Qualified</c:v>
                </c:pt>
                <c:pt idx="2">
                  <c:v>Demo / Meeting</c:v>
                </c:pt>
                <c:pt idx="3">
                  <c:v>Proposal</c:v>
                </c:pt>
                <c:pt idx="4">
                  <c:v>Negotiation</c:v>
                </c:pt>
                <c:pt idx="5">
                  <c:v>Closed Won</c:v>
                </c:pt>
              </c:strCache>
            </c:strRef>
          </c:cat>
          <c:val>
            <c:numRef>
              <c:f>Funnel_Analysis!$B$2:$B$7</c:f>
              <c:numCache>
                <c:formatCode>General</c:formatCode>
                <c:ptCount val="6"/>
                <c:pt idx="0">
                  <c:v>1800</c:v>
                </c:pt>
                <c:pt idx="1">
                  <c:v>1757</c:v>
                </c:pt>
                <c:pt idx="2">
                  <c:v>1481</c:v>
                </c:pt>
                <c:pt idx="3">
                  <c:v>1142</c:v>
                </c:pt>
                <c:pt idx="4">
                  <c:v>792</c:v>
                </c:pt>
                <c:pt idx="5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1-4F70-BCA1-22CDCE41F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vi-VN" sz="1800" b="1" i="0" u="none" strike="noStrike" baseline="0">
                <a:solidFill>
                  <a:sysClr val="windowText" lastClr="000000"/>
                </a:solidFill>
              </a:rPr>
              <a:t>Won Revenue by Channel</a:t>
            </a:r>
            <a:endParaRPr lang="vi-VN" sz="180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Channel_Performance!$F$1</c:f>
              <c:strCache>
                <c:ptCount val="1"/>
                <c:pt idx="0">
                  <c:v>Won Revenue</c:v>
                </c:pt>
              </c:strCache>
            </c:strRef>
          </c:tx>
          <c:invertIfNegative val="1"/>
          <c:cat>
            <c:strRef>
              <c:f>Channel_Performance!$A$2:$A$9</c:f>
              <c:strCache>
                <c:ptCount val="8"/>
                <c:pt idx="0">
                  <c:v>Paid Search</c:v>
                </c:pt>
                <c:pt idx="1">
                  <c:v>Organic Search</c:v>
                </c:pt>
                <c:pt idx="2">
                  <c:v>LinkedIn</c:v>
                </c:pt>
                <c:pt idx="3">
                  <c:v>Referral</c:v>
                </c:pt>
                <c:pt idx="4">
                  <c:v>Email</c:v>
                </c:pt>
                <c:pt idx="5">
                  <c:v>Webinar</c:v>
                </c:pt>
                <c:pt idx="6">
                  <c:v>Outbound</c:v>
                </c:pt>
                <c:pt idx="7">
                  <c:v>Other</c:v>
                </c:pt>
              </c:strCache>
            </c:strRef>
          </c:cat>
          <c:val>
            <c:numRef>
              <c:f>Channel_Performance!$F$2:$F$9</c:f>
              <c:numCache>
                <c:formatCode>\$#,##0</c:formatCode>
                <c:ptCount val="8"/>
                <c:pt idx="0">
                  <c:v>1255405</c:v>
                </c:pt>
                <c:pt idx="1">
                  <c:v>1821606</c:v>
                </c:pt>
                <c:pt idx="2">
                  <c:v>1633109</c:v>
                </c:pt>
                <c:pt idx="3">
                  <c:v>1518294</c:v>
                </c:pt>
                <c:pt idx="4">
                  <c:v>1656502</c:v>
                </c:pt>
                <c:pt idx="5">
                  <c:v>679313</c:v>
                </c:pt>
                <c:pt idx="6">
                  <c:v>921554</c:v>
                </c:pt>
                <c:pt idx="7">
                  <c:v>289847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4-4FD6-89BA-87AF22A42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vi-VN" sz="1800" b="1" i="0" u="none" strike="noStrike" baseline="0"/>
              <a:t>Won Revenue vs Target by Sales Rep</a:t>
            </a:r>
            <a:endParaRPr lang="vi-VN" sz="18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Won Revenue</c:v>
          </c:tx>
          <c:invertIfNegative val="1"/>
          <c:cat>
            <c:strRef>
              <c:f>Rep_Performance!$A$2:$A$9</c:f>
              <c:strCache>
                <c:ptCount val="8"/>
                <c:pt idx="0">
                  <c:v>An Nguyen</c:v>
                </c:pt>
                <c:pt idx="1">
                  <c:v>Bao Tran</c:v>
                </c:pt>
                <c:pt idx="2">
                  <c:v>Chi Le</c:v>
                </c:pt>
                <c:pt idx="3">
                  <c:v>Duy Pham</c:v>
                </c:pt>
                <c:pt idx="4">
                  <c:v>Ha Vo</c:v>
                </c:pt>
                <c:pt idx="5">
                  <c:v>Minh Do</c:v>
                </c:pt>
                <c:pt idx="6">
                  <c:v>Quynh Vu</c:v>
                </c:pt>
                <c:pt idx="7">
                  <c:v>Tuan Bui</c:v>
                </c:pt>
              </c:strCache>
            </c:strRef>
          </c:cat>
          <c:val>
            <c:numRef>
              <c:f>Rep_Performance!$H$2:$H$9</c:f>
              <c:numCache>
                <c:formatCode>\$#,##0</c:formatCode>
                <c:ptCount val="8"/>
                <c:pt idx="0">
                  <c:v>1014864</c:v>
                </c:pt>
                <c:pt idx="1">
                  <c:v>1296394</c:v>
                </c:pt>
                <c:pt idx="2">
                  <c:v>1164807</c:v>
                </c:pt>
                <c:pt idx="3">
                  <c:v>1187010</c:v>
                </c:pt>
                <c:pt idx="4">
                  <c:v>1007131</c:v>
                </c:pt>
                <c:pt idx="5">
                  <c:v>1168309</c:v>
                </c:pt>
                <c:pt idx="6">
                  <c:v>1594527</c:v>
                </c:pt>
                <c:pt idx="7">
                  <c:v>1342588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8-4886-803A-F1093A305165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Rep_Performance!$A$2:$A$9</c:f>
              <c:strCache>
                <c:ptCount val="8"/>
                <c:pt idx="0">
                  <c:v>An Nguyen</c:v>
                </c:pt>
                <c:pt idx="1">
                  <c:v>Bao Tran</c:v>
                </c:pt>
                <c:pt idx="2">
                  <c:v>Chi Le</c:v>
                </c:pt>
                <c:pt idx="3">
                  <c:v>Duy Pham</c:v>
                </c:pt>
                <c:pt idx="4">
                  <c:v>Ha Vo</c:v>
                </c:pt>
                <c:pt idx="5">
                  <c:v>Minh Do</c:v>
                </c:pt>
                <c:pt idx="6">
                  <c:v>Quynh Vu</c:v>
                </c:pt>
                <c:pt idx="7">
                  <c:v>Tuan Bui</c:v>
                </c:pt>
              </c:strCache>
            </c:strRef>
          </c:cat>
          <c:val>
            <c:numRef>
              <c:f>Rep_Performance!$L$2:$L$9</c:f>
              <c:numCache>
                <c:formatCode>\$#,##0</c:formatCode>
                <c:ptCount val="8"/>
                <c:pt idx="0">
                  <c:v>1035000</c:v>
                </c:pt>
                <c:pt idx="1">
                  <c:v>1232000</c:v>
                </c:pt>
                <c:pt idx="2">
                  <c:v>1258000</c:v>
                </c:pt>
                <c:pt idx="3">
                  <c:v>1163000</c:v>
                </c:pt>
                <c:pt idx="4">
                  <c:v>1057000</c:v>
                </c:pt>
                <c:pt idx="5">
                  <c:v>1075000</c:v>
                </c:pt>
                <c:pt idx="6">
                  <c:v>1754000</c:v>
                </c:pt>
                <c:pt idx="7">
                  <c:v>1289000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8-4886-803A-F1093A305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 i="0" u="none" strike="noStrike" baseline="0">
                <a:solidFill>
                  <a:sysClr val="windowText" lastClr="000000"/>
                </a:solidFill>
              </a:rPr>
              <a:t>Monthly Won Revenue Trend</a:t>
            </a:r>
            <a:endParaRPr lang="vi-VN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Monthly_Trend!$D$1</c:f>
              <c:strCache>
                <c:ptCount val="1"/>
                <c:pt idx="0">
                  <c:v>Won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Monthly_Trend!$A$2:$A$21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Monthly_Trend!$D$2:$D$21</c:f>
              <c:numCache>
                <c:formatCode>\$#,##0</c:formatCode>
                <c:ptCount val="20"/>
                <c:pt idx="0">
                  <c:v>0</c:v>
                </c:pt>
                <c:pt idx="1">
                  <c:v>60812</c:v>
                </c:pt>
                <c:pt idx="2">
                  <c:v>337413</c:v>
                </c:pt>
                <c:pt idx="3">
                  <c:v>646155</c:v>
                </c:pt>
                <c:pt idx="4">
                  <c:v>725995</c:v>
                </c:pt>
                <c:pt idx="5">
                  <c:v>501960</c:v>
                </c:pt>
                <c:pt idx="6">
                  <c:v>393784</c:v>
                </c:pt>
                <c:pt idx="7">
                  <c:v>346790</c:v>
                </c:pt>
                <c:pt idx="8">
                  <c:v>547893</c:v>
                </c:pt>
                <c:pt idx="9">
                  <c:v>496510</c:v>
                </c:pt>
                <c:pt idx="10">
                  <c:v>669378</c:v>
                </c:pt>
                <c:pt idx="11">
                  <c:v>358193</c:v>
                </c:pt>
                <c:pt idx="12">
                  <c:v>501687</c:v>
                </c:pt>
                <c:pt idx="13">
                  <c:v>447336</c:v>
                </c:pt>
                <c:pt idx="14">
                  <c:v>573721</c:v>
                </c:pt>
                <c:pt idx="15">
                  <c:v>797483</c:v>
                </c:pt>
                <c:pt idx="16">
                  <c:v>362963</c:v>
                </c:pt>
                <c:pt idx="17">
                  <c:v>663935</c:v>
                </c:pt>
                <c:pt idx="18">
                  <c:v>482566</c:v>
                </c:pt>
                <c:pt idx="19">
                  <c:v>348890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D-4B4E-8544-9D1935E65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664351"/>
        <c:axId val="235722095"/>
      </c:lineChart>
      <c:catAx>
        <c:axId val="15896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35722095"/>
        <c:crosses val="autoZero"/>
        <c:auto val="1"/>
        <c:lblAlgn val="ctr"/>
        <c:lblOffset val="100"/>
        <c:noMultiLvlLbl val="0"/>
      </c:catAx>
      <c:valAx>
        <c:axId val="2357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8966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11206</xdr:rowOff>
    </xdr:from>
    <xdr:to>
      <xdr:col>7</xdr:col>
      <xdr:colOff>1064558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11205</xdr:colOff>
      <xdr:row>6</xdr:row>
      <xdr:rowOff>1</xdr:rowOff>
    </xdr:from>
    <xdr:to>
      <xdr:col>17</xdr:col>
      <xdr:colOff>44823</xdr:colOff>
      <xdr:row>28</xdr:row>
      <xdr:rowOff>11207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1064558</xdr:colOff>
      <xdr:row>28</xdr:row>
      <xdr:rowOff>11205</xdr:rowOff>
    </xdr:from>
    <xdr:to>
      <xdr:col>17</xdr:col>
      <xdr:colOff>56030</xdr:colOff>
      <xdr:row>49</xdr:row>
      <xdr:rowOff>168088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28</xdr:row>
      <xdr:rowOff>3363</xdr:rowOff>
    </xdr:from>
    <xdr:to>
      <xdr:col>7</xdr:col>
      <xdr:colOff>1053353</xdr:colOff>
      <xdr:row>49</xdr:row>
      <xdr:rowOff>179293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7AB8AB-70D1-4572-974C-9009D4050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MTable" displayName="CRMTable" ref="A1:AE1801" totalsRowShown="0">
  <tableColumns count="31">
    <tableColumn id="1" xr3:uid="{00000000-0010-0000-0000-000001000000}" name="Lead_ID"/>
    <tableColumn id="2" xr3:uid="{00000000-0010-0000-0000-000002000000}" name="Created_Date"/>
    <tableColumn id="3" xr3:uid="{00000000-0010-0000-0000-000003000000}" name="Owner"/>
    <tableColumn id="4" xr3:uid="{00000000-0010-0000-0000-000004000000}" name="Region"/>
    <tableColumn id="5" xr3:uid="{00000000-0010-0000-0000-000005000000}" name="Raw_Source"/>
    <tableColumn id="6" xr3:uid="{00000000-0010-0000-0000-000006000000}" name="Product_Code"/>
    <tableColumn id="7" xr3:uid="{00000000-0010-0000-0000-000007000000}" name="Industry"/>
    <tableColumn id="8" xr3:uid="{00000000-0010-0000-0000-000008000000}" name="Company_Size"/>
    <tableColumn id="9" xr3:uid="{00000000-0010-0000-0000-000009000000}" name="Deal_Stage"/>
    <tableColumn id="10" xr3:uid="{00000000-0010-0000-0000-00000A000000}" name="Last_Stage_Date"/>
    <tableColumn id="11" xr3:uid="{00000000-0010-0000-0000-00000B000000}" name="Close_Date"/>
    <tableColumn id="12" xr3:uid="{00000000-0010-0000-0000-00000C000000}" name="Expected_Value_USD"/>
    <tableColumn id="13" xr3:uid="{00000000-0010-0000-0000-00000D000000}" name="Discount_Pct"/>
    <tableColumn id="14" xr3:uid="{00000000-0010-0000-0000-00000E000000}" name="Stage_Probability"/>
    <tableColumn id="15" xr3:uid="{00000000-0010-0000-0000-00000F000000}" name="Lost_Reason"/>
    <tableColumn id="16" xr3:uid="{00000000-0010-0000-0000-000010000000}" name="Funnel_Level"/>
    <tableColumn id="17" xr3:uid="{00000000-0010-0000-0000-000011000000}" name="Source_Clean">
      <calculatedColumnFormula>IFERROR(VLOOKUP(E2,Lookups!$A$5:$B$24,2,FALSE),"Other")</calculatedColumnFormula>
    </tableColumn>
    <tableColumn id="18" xr3:uid="{00000000-0010-0000-0000-000012000000}" name="Product_Name">
      <calculatedColumnFormula>IFERROR(VLOOKUP(F2,Lookups!$D$5:$F$10,2,FALSE),"Unknown Product")</calculatedColumnFormula>
    </tableColumn>
    <tableColumn id="19" xr3:uid="{00000000-0010-0000-0000-000013000000}" name="Product_Category">
      <calculatedColumnFormula>IFERROR(VLOOKUP(F2,Lookups!$D$5:$F$10,3,FALSE),"Unknown")</calculatedColumnFormula>
    </tableColumn>
    <tableColumn id="20" xr3:uid="{00000000-0010-0000-0000-000014000000}" name="Deal_Segment"/>
    <tableColumn id="21" xr3:uid="{00000000-0010-0000-0000-000015000000}" name="Outcome"/>
    <tableColumn id="22" xr3:uid="{00000000-0010-0000-0000-000016000000}" name="Actual_Revenue_USD"/>
    <tableColumn id="23" xr3:uid="{00000000-0010-0000-0000-000017000000}" name="Weighted_Pipeline_USD"/>
    <tableColumn id="24" xr3:uid="{00000000-0010-0000-0000-000018000000}" name="Sales_Cycle_Days"/>
    <tableColumn id="25" xr3:uid="{00000000-0010-0000-0000-000019000000}" name="Age_Days"/>
    <tableColumn id="26" xr3:uid="{00000000-0010-0000-0000-00001A000000}" name="SLA_Flag"/>
    <tableColumn id="27" xr3:uid="{00000000-0010-0000-0000-00001B000000}" name="Created_Month"/>
    <tableColumn id="28" xr3:uid="{00000000-0010-0000-0000-00001C000000}" name="Close_Month"/>
    <tableColumn id="29" xr3:uid="{00000000-0010-0000-0000-00001D000000}" name="Created_Quarter"/>
    <tableColumn id="30" xr3:uid="{00000000-0010-0000-0000-00001E000000}" name="Lead_Score"/>
    <tableColumn id="31" xr3:uid="{00000000-0010-0000-0000-00001F000000}" name="Forecast_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PerformanceTable" displayName="RepPerformanceTable" ref="A1:M9" totalsRowShown="0">
  <tableColumns count="13">
    <tableColumn id="1" xr3:uid="{00000000-0010-0000-0100-000001000000}" name="Rep"/>
    <tableColumn id="2" xr3:uid="{00000000-0010-0000-0100-000002000000}" name="Region">
      <calculatedColumnFormula>IFERROR(VLOOKUP(A2,Lookups!$I$5:$L$12,2,FALSE),"")</calculatedColumnFormula>
    </tableColumn>
    <tableColumn id="3" xr3:uid="{00000000-0010-0000-0100-000003000000}" name="Team">
      <calculatedColumnFormula>IFERROR(VLOOKUP(A2,Lookups!$I$5:$L$12,3,FALSE),"")</calculatedColumnFormula>
    </tableColumn>
    <tableColumn id="4" xr3:uid="{00000000-0010-0000-0100-000004000000}" name="Total Leads"/>
    <tableColumn id="5" xr3:uid="{00000000-0010-0000-0100-000005000000}" name="Won Deals"/>
    <tableColumn id="6" xr3:uid="{00000000-0010-0000-0100-000006000000}" name="Lost Deals"/>
    <tableColumn id="7" xr3:uid="{00000000-0010-0000-0100-000007000000}" name="Win Rate"/>
    <tableColumn id="8" xr3:uid="{00000000-0010-0000-0100-000008000000}" name="Won Revenue"/>
    <tableColumn id="9" xr3:uid="{00000000-0010-0000-0100-000009000000}" name="Open Pipeline"/>
    <tableColumn id="10" xr3:uid="{00000000-0010-0000-0100-00000A000000}" name="Weighted Pipeline"/>
    <tableColumn id="11" xr3:uid="{00000000-0010-0000-0100-00000B000000}" name="Avg Sales Cycle"/>
    <tableColumn id="12" xr3:uid="{00000000-0010-0000-0100-00000C000000}" name="Revenue Target">
      <calculatedColumnFormula>IFERROR(VLOOKUP(A2,Lookups!$I$5:$L$12,4,FALSE),0)</calculatedColumnFormula>
    </tableColumn>
    <tableColumn id="13" xr3:uid="{00000000-0010-0000-0100-00000D000000}" name="Target Attain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nnelPerformanceTable" displayName="ChannelPerformanceTable" ref="A1:J9" totalsRowShown="0">
  <tableColumns count="10">
    <tableColumn id="1" xr3:uid="{00000000-0010-0000-0200-000001000000}" name="Channel"/>
    <tableColumn id="2" xr3:uid="{00000000-0010-0000-0200-000002000000}" name="Leads">
      <calculatedColumnFormula>COUNTIF(CRM_Data!$Q:$Q,$A2)</calculatedColumnFormula>
    </tableColumn>
    <tableColumn id="3" xr3:uid="{00000000-0010-0000-0200-000003000000}" name="Won">
      <calculatedColumnFormula>COUNTIFS(CRM_Data!$Q:$Q,$A2,CRM_Data!$U:$U,"Won")</calculatedColumnFormula>
    </tableColumn>
    <tableColumn id="4" xr3:uid="{00000000-0010-0000-0200-000004000000}" name="Lost"/>
    <tableColumn id="5" xr3:uid="{00000000-0010-0000-0200-000005000000}" name="Win Rate"/>
    <tableColumn id="6" xr3:uid="{00000000-0010-0000-0200-000006000000}" name="Won Revenue"/>
    <tableColumn id="7" xr3:uid="{00000000-0010-0000-0200-000007000000}" name="Revenue / Lead"/>
    <tableColumn id="8" xr3:uid="{00000000-0010-0000-0200-000008000000}" name="Open Pipeline"/>
    <tableColumn id="9" xr3:uid="{00000000-0010-0000-0200-000009000000}" name="Weighted Pipeline"/>
    <tableColumn id="10" xr3:uid="{00000000-0010-0000-0200-00000A000000}" name="Avg Won De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unnelTable" displayName="FunnelTable" ref="A1:D7" totalsRowShown="0">
  <tableColumns count="4">
    <tableColumn id="1" xr3:uid="{00000000-0010-0000-0300-000001000000}" name="Funnel Stage"/>
    <tableColumn id="2" xr3:uid="{00000000-0010-0000-0300-000002000000}" name="Reached Stage"/>
    <tableColumn id="3" xr3:uid="{00000000-0010-0000-0300-000003000000}" name="Conversion from Previous"/>
    <tableColumn id="4" xr3:uid="{00000000-0010-0000-0300-000004000000}" name="Drop-off from Previo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nthlyTrendTable" displayName="MonthlyTrendTable" ref="A1:F21" totalsRowShown="0">
  <tableColumns count="6">
    <tableColumn id="1" xr3:uid="{00000000-0010-0000-0400-000001000000}" name="Month"/>
    <tableColumn id="2" xr3:uid="{00000000-0010-0000-0400-000002000000}" name="Created Leads"/>
    <tableColumn id="3" xr3:uid="{00000000-0010-0000-0400-000003000000}" name="Won Deals"/>
    <tableColumn id="4" xr3:uid="{00000000-0010-0000-0400-000004000000}" name="Won Revenue"/>
    <tableColumn id="5" xr3:uid="{00000000-0010-0000-0400-000005000000}" name="Avg Won Deal"/>
    <tableColumn id="6" xr3:uid="{00000000-0010-0000-0400-000006000000}" name="Win 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ActionListTable" displayName="ActionListTable" ref="A1:E6" totalsRowShown="0">
  <tableColumns count="5">
    <tableColumn id="1" xr3:uid="{00000000-0010-0000-0500-000001000000}" name="Priority"/>
    <tableColumn id="2" xr3:uid="{00000000-0010-0000-0500-000002000000}" name="Management Finding"/>
    <tableColumn id="3" xr3:uid="{00000000-0010-0000-0500-000003000000}" name="Evidence"/>
    <tableColumn id="4" xr3:uid="{00000000-0010-0000-0500-000004000000}" name="Recommended Action"/>
    <tableColumn id="5" xr3:uid="{00000000-0010-0000-0500-000005000000}" name="Own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DataDictionaryTable" displayName="DataDictionaryTable" ref="A1:D18" totalsRowShown="0">
  <tableColumns count="4">
    <tableColumn id="1" xr3:uid="{00000000-0010-0000-0600-000001000000}" name="Field"/>
    <tableColumn id="2" xr3:uid="{00000000-0010-0000-0600-000002000000}" name="Type"/>
    <tableColumn id="3" xr3:uid="{00000000-0010-0000-0600-000003000000}" name="Source / Formula"/>
    <tableColumn id="4" xr3:uid="{00000000-0010-0000-0600-000004000000}" name="Business 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zoomScale="85" zoomScaleNormal="85" workbookViewId="0">
      <selection sqref="A1:XFD1048576"/>
    </sheetView>
  </sheetViews>
  <sheetFormatPr defaultRowHeight="14.25"/>
  <cols>
    <col min="1" max="1" width="14" customWidth="1"/>
    <col min="2" max="7" width="11" customWidth="1"/>
    <col min="8" max="8" width="14" customWidth="1"/>
    <col min="9" max="14" width="11" customWidth="1"/>
  </cols>
  <sheetData>
    <row r="1" spans="1:14" ht="23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5">
      <c r="A3" s="15" t="s">
        <v>2</v>
      </c>
      <c r="B3" s="15"/>
      <c r="C3" s="15" t="s">
        <v>3</v>
      </c>
      <c r="D3" s="15"/>
      <c r="E3" s="15" t="s">
        <v>4</v>
      </c>
      <c r="F3" s="15"/>
      <c r="G3" s="15" t="s">
        <v>5</v>
      </c>
      <c r="H3" s="15"/>
      <c r="I3" s="15" t="s">
        <v>6</v>
      </c>
      <c r="J3" s="15"/>
      <c r="K3" s="15" t="s">
        <v>7</v>
      </c>
      <c r="L3" s="15"/>
      <c r="M3" s="15" t="s">
        <v>8</v>
      </c>
      <c r="N3" s="15"/>
    </row>
    <row r="4" spans="1:14">
      <c r="A4" s="16">
        <f>SUM(CRM_Data!$V$2:$V$1801)</f>
        <v>9775630</v>
      </c>
      <c r="B4" s="17"/>
      <c r="C4" s="16">
        <f>SUMIFS(CRM_Data!$L$2:$L$1801,CRM_Data!$U$2:$U$1801,"Open")</f>
        <v>13011200</v>
      </c>
      <c r="D4" s="17"/>
      <c r="E4" s="16">
        <f>SUM(CRM_Data!$W$2:$W$1801)</f>
        <v>7830015</v>
      </c>
      <c r="F4" s="17"/>
      <c r="G4" s="18">
        <f>IFERROR(COUNTIF(CRM_Data!$U$2:$U$1801,"Won")/(COUNTIF(CRM_Data!$U$2:$U$1801,"Won")+COUNTIF(CRM_Data!$U$2:$U$1801,"Lost")),0)</f>
        <v>0.26046176046176045</v>
      </c>
      <c r="H4" s="17"/>
      <c r="I4" s="16">
        <f>IFERROR(SUM(CRM_Data!$V$2:$V$1801)/COUNTIF(CRM_Data!$U$2:$U$1801,"Won"),0)</f>
        <v>27079.307479224375</v>
      </c>
      <c r="J4" s="17"/>
      <c r="K4" s="19">
        <f>COUNTIF(CRM_Data!$Z$2:$Z$1801,"STALE")</f>
        <v>358</v>
      </c>
      <c r="L4" s="17"/>
      <c r="M4" s="20" t="s">
        <v>9</v>
      </c>
      <c r="N4" s="20"/>
    </row>
    <row r="5" spans="1:14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0"/>
      <c r="N5" s="20"/>
    </row>
  </sheetData>
  <mergeCells count="16">
    <mergeCell ref="A1:N1"/>
    <mergeCell ref="A2:N2"/>
    <mergeCell ref="A3:B3"/>
    <mergeCell ref="A4:B5"/>
    <mergeCell ref="C3:D3"/>
    <mergeCell ref="C4:D5"/>
    <mergeCell ref="E3:F3"/>
    <mergeCell ref="E4:F5"/>
    <mergeCell ref="G3:H3"/>
    <mergeCell ref="G4:H5"/>
    <mergeCell ref="I3:J3"/>
    <mergeCell ref="I4:J5"/>
    <mergeCell ref="K3:L3"/>
    <mergeCell ref="K4:L5"/>
    <mergeCell ref="M3:N3"/>
    <mergeCell ref="M4:N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801"/>
  <sheetViews>
    <sheetView topLeftCell="E1" workbookViewId="0">
      <selection activeCell="E1" sqref="A1:XFD1048576"/>
    </sheetView>
  </sheetViews>
  <sheetFormatPr defaultColWidth="11.5" defaultRowHeight="14.25"/>
  <cols>
    <col min="1" max="1" width="8.125" bestFit="1" customWidth="1"/>
    <col min="2" max="2" width="13.25" bestFit="1" customWidth="1"/>
    <col min="3" max="3" width="9.625" bestFit="1" customWidth="1"/>
    <col min="4" max="4" width="7.25" bestFit="1" customWidth="1"/>
    <col min="5" max="5" width="15.25" bestFit="1" customWidth="1"/>
    <col min="6" max="6" width="13.75" bestFit="1" customWidth="1"/>
    <col min="7" max="7" width="18.875" bestFit="1" customWidth="1"/>
    <col min="8" max="8" width="14" bestFit="1" customWidth="1"/>
    <col min="9" max="9" width="13.75" bestFit="1" customWidth="1"/>
    <col min="10" max="10" width="16" bestFit="1" customWidth="1"/>
    <col min="11" max="11" width="11.125" bestFit="1" customWidth="1"/>
    <col min="12" max="12" width="20.375" bestFit="1" customWidth="1"/>
    <col min="13" max="13" width="12.625" bestFit="1" customWidth="1"/>
    <col min="14" max="14" width="16.5" bestFit="1" customWidth="1"/>
    <col min="15" max="15" width="12.5" bestFit="1" customWidth="1"/>
    <col min="16" max="16" width="13.125" bestFit="1" customWidth="1"/>
    <col min="17" max="17" width="13.875" bestFit="1" customWidth="1"/>
    <col min="18" max="18" width="22.625" bestFit="1" customWidth="1"/>
    <col min="19" max="19" width="16.125" bestFit="1" customWidth="1"/>
    <col min="20" max="20" width="13.875" bestFit="1" customWidth="1"/>
    <col min="21" max="21" width="8.875" bestFit="1" customWidth="1"/>
    <col min="22" max="22" width="20.625" bestFit="1" customWidth="1"/>
    <col min="23" max="23" width="22.875" bestFit="1" customWidth="1"/>
    <col min="24" max="24" width="17.125" bestFit="1" customWidth="1"/>
    <col min="25" max="25" width="9.5" bestFit="1" customWidth="1"/>
    <col min="26" max="26" width="9.125" bestFit="1" customWidth="1"/>
    <col min="27" max="27" width="14.75" bestFit="1" customWidth="1"/>
    <col min="28" max="28" width="12.625" bestFit="1" customWidth="1"/>
    <col min="29" max="29" width="16" bestFit="1" customWidth="1"/>
    <col min="30" max="30" width="11.5" bestFit="1" customWidth="1"/>
    <col min="31" max="31" width="17.875" bestFit="1" customWidth="1"/>
  </cols>
  <sheetData>
    <row r="1" spans="1:31" ht="30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</row>
    <row r="2" spans="1:31">
      <c r="A2" t="s">
        <v>41</v>
      </c>
      <c r="B2" s="1">
        <v>45791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s="1">
        <v>46168</v>
      </c>
      <c r="K2" s="1"/>
      <c r="L2" s="3">
        <v>25800</v>
      </c>
      <c r="M2" s="4">
        <v>0</v>
      </c>
      <c r="N2" s="4">
        <v>0.85</v>
      </c>
      <c r="P2">
        <v>5</v>
      </c>
      <c r="Q2" t="str">
        <f>IFERROR(VLOOKUP(E2,Lookups!$A$5:$B$24,2,FALSE),"Other")</f>
        <v>Organic Search</v>
      </c>
      <c r="R2" t="str">
        <f>IFERROR(VLOOKUP(F2,Lookups!$D$5:$F$10,2,FALSE),"Unknown Product")</f>
        <v>Service Cloud</v>
      </c>
      <c r="S2" t="str">
        <f>IFERROR(VLOOKUP(F2,Lookups!$D$5:$F$10,3,FALSE),"Unknown")</f>
        <v>Customer Service</v>
      </c>
      <c r="T2" t="str">
        <f t="shared" ref="T2:T65" si="0">IF(L2&gt;=50000,"Enterprise",IF(L2&gt;=20000,"Mid-Market","SMB"))</f>
        <v>Mid-Market</v>
      </c>
      <c r="U2" t="str">
        <f t="shared" ref="U2:U65" si="1">IF(I2="Closed Won","Won",IF(I2="Closed Lost","Lost","Open"))</f>
        <v>Open</v>
      </c>
      <c r="V2" s="3">
        <f t="shared" ref="V2:V65" si="2">IF(U2="Won",L2*(1-M2),0)</f>
        <v>0</v>
      </c>
      <c r="W2" s="3">
        <f t="shared" ref="W2:W65" si="3">IF(U2="Open",L2*N2,0)</f>
        <v>21930</v>
      </c>
      <c r="X2" s="5" t="str">
        <f t="shared" ref="X2:X65" si="4">IF(U2="Open","",IFERROR(K2-B2,""))</f>
        <v/>
      </c>
      <c r="Y2" s="5">
        <f>IF(U2="Open",Lookups!$B$2-B2,X2)</f>
        <v>475</v>
      </c>
      <c r="Z2" t="str">
        <f t="shared" ref="Z2:Z65" si="5">IF(AND(U2="Open",Y2&gt;30),"STALE","OK")</f>
        <v>STALE</v>
      </c>
      <c r="AA2" t="str">
        <f t="shared" ref="AA2:AA65" si="6">TEXT(B2,"yyyy-mm")</f>
        <v>2025-05</v>
      </c>
      <c r="AB2" t="str">
        <f t="shared" ref="AB2:AB65" si="7">IF(K2="","",TEXT(K2,"yyyy-mm"))</f>
        <v/>
      </c>
      <c r="AC2" t="str">
        <f t="shared" ref="AC2:AC65" si="8">"Q"&amp;ROUNDUP(MONTH(B2)/3,0)&amp;"-"&amp;YEAR(B2)</f>
        <v>Q2-2025</v>
      </c>
      <c r="AD2" s="5">
        <f t="shared" ref="AD2:AD65" si="9">MIN(100,IF(H2="Enterprise",30,IF(H2="Mid-Market",22,14))+IF(T2="Enterprise",25,IF(T2="Mid-Market",18,10))+IF(Q2="Referral",25,IF(Q2="Organic Search",20,IF(Q2="Email",18,14)))+IF(G2="Technology",10,5))</f>
        <v>57</v>
      </c>
      <c r="AE2" t="str">
        <f t="shared" ref="AE2:AE65" si="10">IF(U2&lt;&gt;"Open",U2,IF(N2&gt;=0.8,"Commit",IF(N2&gt;=0.5,"Best Case","Pipeline")))</f>
        <v>Commit</v>
      </c>
    </row>
    <row r="3" spans="1:31">
      <c r="A3" t="s">
        <v>49</v>
      </c>
      <c r="B3" s="1">
        <v>46150</v>
      </c>
      <c r="C3" t="s">
        <v>50</v>
      </c>
      <c r="D3" t="s">
        <v>43</v>
      </c>
      <c r="E3" t="s">
        <v>51</v>
      </c>
      <c r="F3" t="s">
        <v>52</v>
      </c>
      <c r="G3" t="s">
        <v>46</v>
      </c>
      <c r="H3" t="s">
        <v>53</v>
      </c>
      <c r="I3" t="s">
        <v>54</v>
      </c>
      <c r="J3" s="1">
        <v>46237</v>
      </c>
      <c r="K3" s="1"/>
      <c r="L3" s="3">
        <v>9200</v>
      </c>
      <c r="M3" s="4">
        <v>0.05</v>
      </c>
      <c r="N3" s="4">
        <v>0.65</v>
      </c>
      <c r="P3">
        <v>4</v>
      </c>
      <c r="Q3" t="str">
        <f>IFERROR(VLOOKUP(E3,Lookups!$A$5:$B$24,2,FALSE),"Other")</f>
        <v>Paid Search</v>
      </c>
      <c r="R3" t="str">
        <f>IFERROR(VLOOKUP(F3,Lookups!$D$5:$F$10,2,FALSE),"Unknown Product")</f>
        <v>NexaCRM Core</v>
      </c>
      <c r="S3" t="str">
        <f>IFERROR(VLOOKUP(F3,Lookups!$D$5:$F$10,3,FALSE),"Unknown")</f>
        <v>CRM</v>
      </c>
      <c r="T3" t="str">
        <f t="shared" si="0"/>
        <v>SMB</v>
      </c>
      <c r="U3" t="str">
        <f t="shared" si="1"/>
        <v>Open</v>
      </c>
      <c r="V3" s="3">
        <f t="shared" si="2"/>
        <v>0</v>
      </c>
      <c r="W3" s="3">
        <f t="shared" si="3"/>
        <v>5980</v>
      </c>
      <c r="X3" s="5" t="str">
        <f t="shared" si="4"/>
        <v/>
      </c>
      <c r="Y3" s="5">
        <f>IF(U3="Open",Lookups!$B$2-B3,X3)</f>
        <v>116</v>
      </c>
      <c r="Z3" t="str">
        <f t="shared" si="5"/>
        <v>STALE</v>
      </c>
      <c r="AA3" t="str">
        <f t="shared" si="6"/>
        <v>2026-05</v>
      </c>
      <c r="AB3" t="str">
        <f t="shared" si="7"/>
        <v/>
      </c>
      <c r="AC3" t="str">
        <f t="shared" si="8"/>
        <v>Q2-2026</v>
      </c>
      <c r="AD3" s="5">
        <f t="shared" si="9"/>
        <v>51</v>
      </c>
      <c r="AE3" t="str">
        <f t="shared" si="10"/>
        <v>Best Case</v>
      </c>
    </row>
    <row r="4" spans="1:31">
      <c r="A4" t="s">
        <v>55</v>
      </c>
      <c r="B4" s="1">
        <v>46164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47</v>
      </c>
      <c r="I4" t="s">
        <v>61</v>
      </c>
      <c r="J4" s="1">
        <v>46204</v>
      </c>
      <c r="K4" s="1">
        <v>46204</v>
      </c>
      <c r="L4" s="3">
        <v>23300</v>
      </c>
      <c r="M4" s="4">
        <v>0</v>
      </c>
      <c r="N4" s="4">
        <v>0</v>
      </c>
      <c r="O4" t="s">
        <v>62</v>
      </c>
      <c r="P4">
        <v>3</v>
      </c>
      <c r="Q4" t="str">
        <f>IFERROR(VLOOKUP(E4,Lookups!$A$5:$B$24,2,FALSE),"Other")</f>
        <v>Email</v>
      </c>
      <c r="R4" t="str">
        <f>IFERROR(VLOOKUP(F4,Lookups!$D$5:$F$10,2,FALSE),"Unknown Product")</f>
        <v>NexaCRM Pro</v>
      </c>
      <c r="S4" t="str">
        <f>IFERROR(VLOOKUP(F4,Lookups!$D$5:$F$10,3,FALSE),"Unknown")</f>
        <v>CRM</v>
      </c>
      <c r="T4" t="str">
        <f t="shared" si="0"/>
        <v>Mid-Market</v>
      </c>
      <c r="U4" t="str">
        <f t="shared" si="1"/>
        <v>Lost</v>
      </c>
      <c r="V4" s="3">
        <f t="shared" si="2"/>
        <v>0</v>
      </c>
      <c r="W4" s="3">
        <f t="shared" si="3"/>
        <v>0</v>
      </c>
      <c r="X4" s="5">
        <f t="shared" si="4"/>
        <v>40</v>
      </c>
      <c r="Y4" s="5">
        <f>IF(U4="Open",Lookups!$B$2-B4,X4)</f>
        <v>40</v>
      </c>
      <c r="Z4" t="str">
        <f t="shared" si="5"/>
        <v>OK</v>
      </c>
      <c r="AA4" t="str">
        <f t="shared" si="6"/>
        <v>2026-05</v>
      </c>
      <c r="AB4" t="str">
        <f t="shared" si="7"/>
        <v>2026-07</v>
      </c>
      <c r="AC4" t="str">
        <f t="shared" si="8"/>
        <v>Q2-2026</v>
      </c>
      <c r="AD4" s="5">
        <f t="shared" si="9"/>
        <v>55</v>
      </c>
      <c r="AE4" t="str">
        <f t="shared" si="10"/>
        <v>Lost</v>
      </c>
    </row>
    <row r="5" spans="1:31">
      <c r="A5" t="s">
        <v>63</v>
      </c>
      <c r="B5" s="1">
        <v>45697</v>
      </c>
      <c r="C5" t="s">
        <v>64</v>
      </c>
      <c r="D5" t="s">
        <v>57</v>
      </c>
      <c r="E5" t="s">
        <v>65</v>
      </c>
      <c r="F5" t="s">
        <v>59</v>
      </c>
      <c r="G5" t="s">
        <v>46</v>
      </c>
      <c r="H5" t="s">
        <v>47</v>
      </c>
      <c r="I5" t="s">
        <v>61</v>
      </c>
      <c r="J5" s="1">
        <v>45716</v>
      </c>
      <c r="K5" s="1">
        <v>45716</v>
      </c>
      <c r="L5" s="3">
        <v>17700</v>
      </c>
      <c r="M5" s="4">
        <v>0</v>
      </c>
      <c r="N5" s="4">
        <v>0</v>
      </c>
      <c r="O5" t="s">
        <v>62</v>
      </c>
      <c r="P5">
        <v>2</v>
      </c>
      <c r="Q5" t="str">
        <f>IFERROR(VLOOKUP(E5,Lookups!$A$5:$B$24,2,FALSE),"Other")</f>
        <v>Paid Search</v>
      </c>
      <c r="R5" t="str">
        <f>IFERROR(VLOOKUP(F5,Lookups!$D$5:$F$10,2,FALSE),"Unknown Product")</f>
        <v>NexaCRM Pro</v>
      </c>
      <c r="S5" t="str">
        <f>IFERROR(VLOOKUP(F5,Lookups!$D$5:$F$10,3,FALSE),"Unknown")</f>
        <v>CRM</v>
      </c>
      <c r="T5" t="str">
        <f t="shared" si="0"/>
        <v>SMB</v>
      </c>
      <c r="U5" t="str">
        <f t="shared" si="1"/>
        <v>Lost</v>
      </c>
      <c r="V5" s="3">
        <f t="shared" si="2"/>
        <v>0</v>
      </c>
      <c r="W5" s="3">
        <f t="shared" si="3"/>
        <v>0</v>
      </c>
      <c r="X5" s="5">
        <f t="shared" si="4"/>
        <v>19</v>
      </c>
      <c r="Y5" s="5">
        <f>IF(U5="Open",Lookups!$B$2-B5,X5)</f>
        <v>19</v>
      </c>
      <c r="Z5" t="str">
        <f t="shared" si="5"/>
        <v>OK</v>
      </c>
      <c r="AA5" t="str">
        <f t="shared" si="6"/>
        <v>2025-02</v>
      </c>
      <c r="AB5" t="str">
        <f t="shared" si="7"/>
        <v>2025-02</v>
      </c>
      <c r="AC5" t="str">
        <f t="shared" si="8"/>
        <v>Q1-2025</v>
      </c>
      <c r="AD5" s="5">
        <f t="shared" si="9"/>
        <v>43</v>
      </c>
      <c r="AE5" t="str">
        <f t="shared" si="10"/>
        <v>Lost</v>
      </c>
    </row>
    <row r="6" spans="1:31">
      <c r="A6" t="s">
        <v>66</v>
      </c>
      <c r="B6" s="1">
        <v>45739</v>
      </c>
      <c r="C6" t="s">
        <v>56</v>
      </c>
      <c r="D6" t="s">
        <v>57</v>
      </c>
      <c r="E6" t="s">
        <v>44</v>
      </c>
      <c r="F6" t="s">
        <v>67</v>
      </c>
      <c r="G6" t="s">
        <v>46</v>
      </c>
      <c r="H6" t="s">
        <v>53</v>
      </c>
      <c r="I6" t="s">
        <v>61</v>
      </c>
      <c r="J6" s="1">
        <v>45786</v>
      </c>
      <c r="K6" s="1">
        <v>45786</v>
      </c>
      <c r="L6" s="3">
        <v>40300</v>
      </c>
      <c r="M6" s="4">
        <v>0</v>
      </c>
      <c r="N6" s="4">
        <v>0</v>
      </c>
      <c r="O6" t="s">
        <v>62</v>
      </c>
      <c r="P6">
        <v>4</v>
      </c>
      <c r="Q6" t="str">
        <f>IFERROR(VLOOKUP(E6,Lookups!$A$5:$B$24,2,FALSE),"Other")</f>
        <v>Organic Search</v>
      </c>
      <c r="R6" t="str">
        <f>IFERROR(VLOOKUP(F6,Lookups!$D$5:$F$10,2,FALSE),"Unknown Product")</f>
        <v>Revenue Operations Suite</v>
      </c>
      <c r="S6" t="str">
        <f>IFERROR(VLOOKUP(F6,Lookups!$D$5:$F$10,3,FALSE),"Unknown")</f>
        <v>Revenue Ops</v>
      </c>
      <c r="T6" t="str">
        <f t="shared" si="0"/>
        <v>Mid-Market</v>
      </c>
      <c r="U6" t="str">
        <f t="shared" si="1"/>
        <v>Lost</v>
      </c>
      <c r="V6" s="3">
        <f t="shared" si="2"/>
        <v>0</v>
      </c>
      <c r="W6" s="3">
        <f t="shared" si="3"/>
        <v>0</v>
      </c>
      <c r="X6" s="5">
        <f t="shared" si="4"/>
        <v>47</v>
      </c>
      <c r="Y6" s="5">
        <f>IF(U6="Open",Lookups!$B$2-B6,X6)</f>
        <v>47</v>
      </c>
      <c r="Z6" t="str">
        <f t="shared" si="5"/>
        <v>OK</v>
      </c>
      <c r="AA6" t="str">
        <f t="shared" si="6"/>
        <v>2025-03</v>
      </c>
      <c r="AB6" t="str">
        <f t="shared" si="7"/>
        <v>2025-05</v>
      </c>
      <c r="AC6" t="str">
        <f t="shared" si="8"/>
        <v>Q1-2025</v>
      </c>
      <c r="AD6" s="5">
        <f t="shared" si="9"/>
        <v>65</v>
      </c>
      <c r="AE6" t="str">
        <f t="shared" si="10"/>
        <v>Lost</v>
      </c>
    </row>
    <row r="7" spans="1:31">
      <c r="A7" t="s">
        <v>68</v>
      </c>
      <c r="B7" s="1">
        <v>46224</v>
      </c>
      <c r="C7" t="s">
        <v>69</v>
      </c>
      <c r="D7" t="s">
        <v>57</v>
      </c>
      <c r="E7" t="s">
        <v>70</v>
      </c>
      <c r="F7" t="s">
        <v>71</v>
      </c>
      <c r="G7" t="s">
        <v>72</v>
      </c>
      <c r="H7" t="s">
        <v>47</v>
      </c>
      <c r="I7" t="s">
        <v>73</v>
      </c>
      <c r="J7" s="1">
        <v>46254</v>
      </c>
      <c r="K7" s="1"/>
      <c r="L7" s="3">
        <v>10400</v>
      </c>
      <c r="M7" s="4">
        <v>0.05</v>
      </c>
      <c r="N7" s="4">
        <v>0.2</v>
      </c>
      <c r="P7">
        <v>2</v>
      </c>
      <c r="Q7" t="str">
        <f>IFERROR(VLOOKUP(E7,Lookups!$A$5:$B$24,2,FALSE),"Other")</f>
        <v>LinkedIn</v>
      </c>
      <c r="R7" t="str">
        <f>IFERROR(VLOOKUP(F7,Lookups!$D$5:$F$10,2,FALSE),"Unknown Product")</f>
        <v>Marketing Automation</v>
      </c>
      <c r="S7" t="str">
        <f>IFERROR(VLOOKUP(F7,Lookups!$D$5:$F$10,3,FALSE),"Unknown")</f>
        <v>Marketing</v>
      </c>
      <c r="T7" t="str">
        <f t="shared" si="0"/>
        <v>SMB</v>
      </c>
      <c r="U7" t="str">
        <f t="shared" si="1"/>
        <v>Open</v>
      </c>
      <c r="V7" s="3">
        <f t="shared" si="2"/>
        <v>0</v>
      </c>
      <c r="W7" s="3">
        <f t="shared" si="3"/>
        <v>2080</v>
      </c>
      <c r="X7" s="5" t="str">
        <f t="shared" si="4"/>
        <v/>
      </c>
      <c r="Y7" s="5">
        <f>IF(U7="Open",Lookups!$B$2-B7,X7)</f>
        <v>42</v>
      </c>
      <c r="Z7" t="str">
        <f t="shared" si="5"/>
        <v>STALE</v>
      </c>
      <c r="AA7" t="str">
        <f t="shared" si="6"/>
        <v>2026-07</v>
      </c>
      <c r="AB7" t="str">
        <f t="shared" si="7"/>
        <v/>
      </c>
      <c r="AC7" t="str">
        <f t="shared" si="8"/>
        <v>Q3-2026</v>
      </c>
      <c r="AD7" s="5">
        <f t="shared" si="9"/>
        <v>43</v>
      </c>
      <c r="AE7" t="str">
        <f t="shared" si="10"/>
        <v>Pipeline</v>
      </c>
    </row>
    <row r="8" spans="1:31">
      <c r="A8" t="s">
        <v>74</v>
      </c>
      <c r="B8" s="1">
        <v>45952</v>
      </c>
      <c r="C8" t="s">
        <v>56</v>
      </c>
      <c r="D8" t="s">
        <v>57</v>
      </c>
      <c r="E8" t="s">
        <v>75</v>
      </c>
      <c r="F8" t="s">
        <v>52</v>
      </c>
      <c r="G8" t="s">
        <v>76</v>
      </c>
      <c r="H8" t="s">
        <v>53</v>
      </c>
      <c r="I8" t="s">
        <v>77</v>
      </c>
      <c r="J8" s="1">
        <v>45977</v>
      </c>
      <c r="K8" s="1">
        <v>45977</v>
      </c>
      <c r="L8" s="3">
        <v>16700</v>
      </c>
      <c r="M8" s="4">
        <v>0</v>
      </c>
      <c r="N8" s="4">
        <v>1</v>
      </c>
      <c r="P8">
        <v>6</v>
      </c>
      <c r="Q8" t="str">
        <f>IFERROR(VLOOKUP(E8,Lookups!$A$5:$B$24,2,FALSE),"Other")</f>
        <v>Webinar</v>
      </c>
      <c r="R8" t="str">
        <f>IFERROR(VLOOKUP(F8,Lookups!$D$5:$F$10,2,FALSE),"Unknown Product")</f>
        <v>NexaCRM Core</v>
      </c>
      <c r="S8" t="str">
        <f>IFERROR(VLOOKUP(F8,Lookups!$D$5:$F$10,3,FALSE),"Unknown")</f>
        <v>CRM</v>
      </c>
      <c r="T8" t="str">
        <f t="shared" si="0"/>
        <v>SMB</v>
      </c>
      <c r="U8" t="str">
        <f t="shared" si="1"/>
        <v>Won</v>
      </c>
      <c r="V8" s="3">
        <f t="shared" si="2"/>
        <v>16700</v>
      </c>
      <c r="W8" s="3">
        <f t="shared" si="3"/>
        <v>0</v>
      </c>
      <c r="X8" s="5">
        <f t="shared" si="4"/>
        <v>25</v>
      </c>
      <c r="Y8" s="5">
        <f>IF(U8="Open",Lookups!$B$2-B8,X8)</f>
        <v>25</v>
      </c>
      <c r="Z8" t="str">
        <f t="shared" si="5"/>
        <v>OK</v>
      </c>
      <c r="AA8" t="str">
        <f t="shared" si="6"/>
        <v>2025-10</v>
      </c>
      <c r="AB8" t="str">
        <f t="shared" si="7"/>
        <v>2025-11</v>
      </c>
      <c r="AC8" t="str">
        <f t="shared" si="8"/>
        <v>Q4-2025</v>
      </c>
      <c r="AD8" s="5">
        <f t="shared" si="9"/>
        <v>51</v>
      </c>
      <c r="AE8" t="str">
        <f t="shared" si="10"/>
        <v>Won</v>
      </c>
    </row>
    <row r="9" spans="1:31">
      <c r="A9" t="s">
        <v>78</v>
      </c>
      <c r="B9" s="1">
        <v>45762</v>
      </c>
      <c r="C9" t="s">
        <v>50</v>
      </c>
      <c r="D9" t="s">
        <v>43</v>
      </c>
      <c r="E9" t="s">
        <v>65</v>
      </c>
      <c r="F9" t="s">
        <v>71</v>
      </c>
      <c r="G9" t="s">
        <v>76</v>
      </c>
      <c r="H9" t="s">
        <v>53</v>
      </c>
      <c r="I9" t="s">
        <v>61</v>
      </c>
      <c r="J9" s="1">
        <v>45786</v>
      </c>
      <c r="K9" s="1">
        <v>45786</v>
      </c>
      <c r="L9" s="3">
        <v>33600</v>
      </c>
      <c r="M9" s="4">
        <v>0</v>
      </c>
      <c r="N9" s="4">
        <v>0</v>
      </c>
      <c r="O9" t="s">
        <v>79</v>
      </c>
      <c r="P9">
        <v>4</v>
      </c>
      <c r="Q9" t="str">
        <f>IFERROR(VLOOKUP(E9,Lookups!$A$5:$B$24,2,FALSE),"Other")</f>
        <v>Paid Search</v>
      </c>
      <c r="R9" t="str">
        <f>IFERROR(VLOOKUP(F9,Lookups!$D$5:$F$10,2,FALSE),"Unknown Product")</f>
        <v>Marketing Automation</v>
      </c>
      <c r="S9" t="str">
        <f>IFERROR(VLOOKUP(F9,Lookups!$D$5:$F$10,3,FALSE),"Unknown")</f>
        <v>Marketing</v>
      </c>
      <c r="T9" t="str">
        <f t="shared" si="0"/>
        <v>Mid-Market</v>
      </c>
      <c r="U9" t="str">
        <f t="shared" si="1"/>
        <v>Lost</v>
      </c>
      <c r="V9" s="3">
        <f t="shared" si="2"/>
        <v>0</v>
      </c>
      <c r="W9" s="3">
        <f t="shared" si="3"/>
        <v>0</v>
      </c>
      <c r="X9" s="5">
        <f t="shared" si="4"/>
        <v>24</v>
      </c>
      <c r="Y9" s="5">
        <f>IF(U9="Open",Lookups!$B$2-B9,X9)</f>
        <v>24</v>
      </c>
      <c r="Z9" t="str">
        <f t="shared" si="5"/>
        <v>OK</v>
      </c>
      <c r="AA9" t="str">
        <f t="shared" si="6"/>
        <v>2025-04</v>
      </c>
      <c r="AB9" t="str">
        <f t="shared" si="7"/>
        <v>2025-05</v>
      </c>
      <c r="AC9" t="str">
        <f t="shared" si="8"/>
        <v>Q2-2025</v>
      </c>
      <c r="AD9" s="5">
        <f t="shared" si="9"/>
        <v>59</v>
      </c>
      <c r="AE9" t="str">
        <f t="shared" si="10"/>
        <v>Lost</v>
      </c>
    </row>
    <row r="10" spans="1:31">
      <c r="A10" t="s">
        <v>80</v>
      </c>
      <c r="B10" s="1">
        <v>45803</v>
      </c>
      <c r="C10" t="s">
        <v>50</v>
      </c>
      <c r="D10" t="s">
        <v>43</v>
      </c>
      <c r="E10" t="s">
        <v>75</v>
      </c>
      <c r="F10" t="s">
        <v>45</v>
      </c>
      <c r="G10" t="s">
        <v>46</v>
      </c>
      <c r="H10" t="s">
        <v>53</v>
      </c>
      <c r="I10" t="s">
        <v>61</v>
      </c>
      <c r="J10" s="1">
        <v>45843</v>
      </c>
      <c r="K10" s="1">
        <v>45843</v>
      </c>
      <c r="L10" s="3">
        <v>23100</v>
      </c>
      <c r="M10" s="4">
        <v>0</v>
      </c>
      <c r="N10" s="4">
        <v>0</v>
      </c>
      <c r="O10" t="s">
        <v>81</v>
      </c>
      <c r="P10">
        <v>3</v>
      </c>
      <c r="Q10" t="str">
        <f>IFERROR(VLOOKUP(E10,Lookups!$A$5:$B$24,2,FALSE),"Other")</f>
        <v>Webinar</v>
      </c>
      <c r="R10" t="str">
        <f>IFERROR(VLOOKUP(F10,Lookups!$D$5:$F$10,2,FALSE),"Unknown Product")</f>
        <v>Service Cloud</v>
      </c>
      <c r="S10" t="str">
        <f>IFERROR(VLOOKUP(F10,Lookups!$D$5:$F$10,3,FALSE),"Unknown")</f>
        <v>Customer Service</v>
      </c>
      <c r="T10" t="str">
        <f t="shared" si="0"/>
        <v>Mid-Market</v>
      </c>
      <c r="U10" t="str">
        <f t="shared" si="1"/>
        <v>Lost</v>
      </c>
      <c r="V10" s="3">
        <f t="shared" si="2"/>
        <v>0</v>
      </c>
      <c r="W10" s="3">
        <f t="shared" si="3"/>
        <v>0</v>
      </c>
      <c r="X10" s="5">
        <f t="shared" si="4"/>
        <v>40</v>
      </c>
      <c r="Y10" s="5">
        <f>IF(U10="Open",Lookups!$B$2-B10,X10)</f>
        <v>40</v>
      </c>
      <c r="Z10" t="str">
        <f t="shared" si="5"/>
        <v>OK</v>
      </c>
      <c r="AA10" t="str">
        <f t="shared" si="6"/>
        <v>2025-05</v>
      </c>
      <c r="AB10" t="str">
        <f t="shared" si="7"/>
        <v>2025-07</v>
      </c>
      <c r="AC10" t="str">
        <f t="shared" si="8"/>
        <v>Q2-2025</v>
      </c>
      <c r="AD10" s="5">
        <f t="shared" si="9"/>
        <v>59</v>
      </c>
      <c r="AE10" t="str">
        <f t="shared" si="10"/>
        <v>Lost</v>
      </c>
    </row>
    <row r="11" spans="1:31">
      <c r="A11" t="s">
        <v>82</v>
      </c>
      <c r="B11" s="1">
        <v>45950</v>
      </c>
      <c r="C11" t="s">
        <v>42</v>
      </c>
      <c r="D11" t="s">
        <v>43</v>
      </c>
      <c r="E11" t="s">
        <v>83</v>
      </c>
      <c r="F11" t="s">
        <v>45</v>
      </c>
      <c r="G11" t="s">
        <v>72</v>
      </c>
      <c r="H11" t="s">
        <v>84</v>
      </c>
      <c r="I11" t="s">
        <v>48</v>
      </c>
      <c r="J11" s="1">
        <v>46070</v>
      </c>
      <c r="K11" s="1"/>
      <c r="L11" s="3">
        <v>65200</v>
      </c>
      <c r="M11" s="4">
        <v>0.03</v>
      </c>
      <c r="N11" s="4">
        <v>0.85</v>
      </c>
      <c r="P11">
        <v>5</v>
      </c>
      <c r="Q11" t="str">
        <f>IFERROR(VLOOKUP(E11,Lookups!$A$5:$B$24,2,FALSE),"Other")</f>
        <v>Organic Search</v>
      </c>
      <c r="R11" t="str">
        <f>IFERROR(VLOOKUP(F11,Lookups!$D$5:$F$10,2,FALSE),"Unknown Product")</f>
        <v>Service Cloud</v>
      </c>
      <c r="S11" t="str">
        <f>IFERROR(VLOOKUP(F11,Lookups!$D$5:$F$10,3,FALSE),"Unknown")</f>
        <v>Customer Service</v>
      </c>
      <c r="T11" t="str">
        <f t="shared" si="0"/>
        <v>Enterprise</v>
      </c>
      <c r="U11" t="str">
        <f t="shared" si="1"/>
        <v>Open</v>
      </c>
      <c r="V11" s="3">
        <f t="shared" si="2"/>
        <v>0</v>
      </c>
      <c r="W11" s="3">
        <f t="shared" si="3"/>
        <v>55420</v>
      </c>
      <c r="X11" s="5" t="str">
        <f t="shared" si="4"/>
        <v/>
      </c>
      <c r="Y11" s="5">
        <f>IF(U11="Open",Lookups!$B$2-B11,X11)</f>
        <v>316</v>
      </c>
      <c r="Z11" t="str">
        <f t="shared" si="5"/>
        <v>STALE</v>
      </c>
      <c r="AA11" t="str">
        <f t="shared" si="6"/>
        <v>2025-10</v>
      </c>
      <c r="AB11" t="str">
        <f t="shared" si="7"/>
        <v/>
      </c>
      <c r="AC11" t="str">
        <f t="shared" si="8"/>
        <v>Q4-2025</v>
      </c>
      <c r="AD11" s="5">
        <f t="shared" si="9"/>
        <v>80</v>
      </c>
      <c r="AE11" t="str">
        <f t="shared" si="10"/>
        <v>Commit</v>
      </c>
    </row>
    <row r="12" spans="1:31">
      <c r="A12" t="s">
        <v>85</v>
      </c>
      <c r="B12" s="1">
        <v>46101</v>
      </c>
      <c r="C12" t="s">
        <v>86</v>
      </c>
      <c r="D12" t="s">
        <v>87</v>
      </c>
      <c r="E12" t="s">
        <v>88</v>
      </c>
      <c r="F12" t="s">
        <v>45</v>
      </c>
      <c r="G12" t="s">
        <v>46</v>
      </c>
      <c r="H12" t="s">
        <v>53</v>
      </c>
      <c r="I12" t="s">
        <v>77</v>
      </c>
      <c r="J12" s="1">
        <v>46151</v>
      </c>
      <c r="K12" s="1">
        <v>46151</v>
      </c>
      <c r="L12" s="3">
        <v>42000</v>
      </c>
      <c r="M12" s="4">
        <v>0.12</v>
      </c>
      <c r="N12" s="4">
        <v>1</v>
      </c>
      <c r="P12">
        <v>6</v>
      </c>
      <c r="Q12" t="str">
        <f>IFERROR(VLOOKUP(E12,Lookups!$A$5:$B$24,2,FALSE),"Other")</f>
        <v>Other</v>
      </c>
      <c r="R12" t="str">
        <f>IFERROR(VLOOKUP(F12,Lookups!$D$5:$F$10,2,FALSE),"Unknown Product")</f>
        <v>Service Cloud</v>
      </c>
      <c r="S12" t="str">
        <f>IFERROR(VLOOKUP(F12,Lookups!$D$5:$F$10,3,FALSE),"Unknown")</f>
        <v>Customer Service</v>
      </c>
      <c r="T12" t="str">
        <f t="shared" si="0"/>
        <v>Mid-Market</v>
      </c>
      <c r="U12" t="str">
        <f t="shared" si="1"/>
        <v>Won</v>
      </c>
      <c r="V12" s="3">
        <f t="shared" si="2"/>
        <v>36960</v>
      </c>
      <c r="W12" s="3">
        <f t="shared" si="3"/>
        <v>0</v>
      </c>
      <c r="X12" s="5">
        <f t="shared" si="4"/>
        <v>50</v>
      </c>
      <c r="Y12" s="5">
        <f>IF(U12="Open",Lookups!$B$2-B12,X12)</f>
        <v>50</v>
      </c>
      <c r="Z12" t="str">
        <f t="shared" si="5"/>
        <v>OK</v>
      </c>
      <c r="AA12" t="str">
        <f t="shared" si="6"/>
        <v>2026-03</v>
      </c>
      <c r="AB12" t="str">
        <f t="shared" si="7"/>
        <v>2026-05</v>
      </c>
      <c r="AC12" t="str">
        <f t="shared" si="8"/>
        <v>Q1-2026</v>
      </c>
      <c r="AD12" s="5">
        <f t="shared" si="9"/>
        <v>59</v>
      </c>
      <c r="AE12" t="str">
        <f t="shared" si="10"/>
        <v>Won</v>
      </c>
    </row>
    <row r="13" spans="1:31">
      <c r="A13" t="s">
        <v>89</v>
      </c>
      <c r="B13" s="1">
        <v>45677</v>
      </c>
      <c r="C13" t="s">
        <v>90</v>
      </c>
      <c r="D13" t="s">
        <v>57</v>
      </c>
      <c r="E13" t="s">
        <v>83</v>
      </c>
      <c r="F13" t="s">
        <v>71</v>
      </c>
      <c r="G13" t="s">
        <v>46</v>
      </c>
      <c r="H13" t="s">
        <v>47</v>
      </c>
      <c r="I13" t="s">
        <v>61</v>
      </c>
      <c r="J13" s="1">
        <v>45716</v>
      </c>
      <c r="K13" s="1">
        <v>45716</v>
      </c>
      <c r="L13" s="3">
        <v>15700</v>
      </c>
      <c r="M13" s="4">
        <v>0</v>
      </c>
      <c r="N13" s="4">
        <v>0</v>
      </c>
      <c r="O13" t="s">
        <v>62</v>
      </c>
      <c r="P13">
        <v>5</v>
      </c>
      <c r="Q13" t="str">
        <f>IFERROR(VLOOKUP(E13,Lookups!$A$5:$B$24,2,FALSE),"Other")</f>
        <v>Organic Search</v>
      </c>
      <c r="R13" t="str">
        <f>IFERROR(VLOOKUP(F13,Lookups!$D$5:$F$10,2,FALSE),"Unknown Product")</f>
        <v>Marketing Automation</v>
      </c>
      <c r="S13" t="str">
        <f>IFERROR(VLOOKUP(F13,Lookups!$D$5:$F$10,3,FALSE),"Unknown")</f>
        <v>Marketing</v>
      </c>
      <c r="T13" t="str">
        <f t="shared" si="0"/>
        <v>SMB</v>
      </c>
      <c r="U13" t="str">
        <f t="shared" si="1"/>
        <v>Lost</v>
      </c>
      <c r="V13" s="3">
        <f t="shared" si="2"/>
        <v>0</v>
      </c>
      <c r="W13" s="3">
        <f t="shared" si="3"/>
        <v>0</v>
      </c>
      <c r="X13" s="5">
        <f t="shared" si="4"/>
        <v>39</v>
      </c>
      <c r="Y13" s="5">
        <f>IF(U13="Open",Lookups!$B$2-B13,X13)</f>
        <v>39</v>
      </c>
      <c r="Z13" t="str">
        <f t="shared" si="5"/>
        <v>OK</v>
      </c>
      <c r="AA13" t="str">
        <f t="shared" si="6"/>
        <v>2025-01</v>
      </c>
      <c r="AB13" t="str">
        <f t="shared" si="7"/>
        <v>2025-02</v>
      </c>
      <c r="AC13" t="str">
        <f t="shared" si="8"/>
        <v>Q1-2025</v>
      </c>
      <c r="AD13" s="5">
        <f t="shared" si="9"/>
        <v>49</v>
      </c>
      <c r="AE13" t="str">
        <f t="shared" si="10"/>
        <v>Lost</v>
      </c>
    </row>
    <row r="14" spans="1:31">
      <c r="A14" t="s">
        <v>91</v>
      </c>
      <c r="B14" s="1">
        <v>45715</v>
      </c>
      <c r="C14" t="s">
        <v>69</v>
      </c>
      <c r="D14" t="s">
        <v>57</v>
      </c>
      <c r="E14" t="s">
        <v>92</v>
      </c>
      <c r="F14" t="s">
        <v>45</v>
      </c>
      <c r="G14" t="s">
        <v>46</v>
      </c>
      <c r="H14" t="s">
        <v>53</v>
      </c>
      <c r="I14" t="s">
        <v>61</v>
      </c>
      <c r="J14" s="1">
        <v>45758</v>
      </c>
      <c r="K14" s="1">
        <v>45758</v>
      </c>
      <c r="L14" s="3">
        <v>34400</v>
      </c>
      <c r="M14" s="4">
        <v>0</v>
      </c>
      <c r="N14" s="4">
        <v>0</v>
      </c>
      <c r="O14" t="s">
        <v>81</v>
      </c>
      <c r="P14">
        <v>3</v>
      </c>
      <c r="Q14" t="str">
        <f>IFERROR(VLOOKUP(E14,Lookups!$A$5:$B$24,2,FALSE),"Other")</f>
        <v>Webinar</v>
      </c>
      <c r="R14" t="str">
        <f>IFERROR(VLOOKUP(F14,Lookups!$D$5:$F$10,2,FALSE),"Unknown Product")</f>
        <v>Service Cloud</v>
      </c>
      <c r="S14" t="str">
        <f>IFERROR(VLOOKUP(F14,Lookups!$D$5:$F$10,3,FALSE),"Unknown")</f>
        <v>Customer Service</v>
      </c>
      <c r="T14" t="str">
        <f t="shared" si="0"/>
        <v>Mid-Market</v>
      </c>
      <c r="U14" t="str">
        <f t="shared" si="1"/>
        <v>Lost</v>
      </c>
      <c r="V14" s="3">
        <f t="shared" si="2"/>
        <v>0</v>
      </c>
      <c r="W14" s="3">
        <f t="shared" si="3"/>
        <v>0</v>
      </c>
      <c r="X14" s="5">
        <f t="shared" si="4"/>
        <v>43</v>
      </c>
      <c r="Y14" s="5">
        <f>IF(U14="Open",Lookups!$B$2-B14,X14)</f>
        <v>43</v>
      </c>
      <c r="Z14" t="str">
        <f t="shared" si="5"/>
        <v>OK</v>
      </c>
      <c r="AA14" t="str">
        <f t="shared" si="6"/>
        <v>2025-02</v>
      </c>
      <c r="AB14" t="str">
        <f t="shared" si="7"/>
        <v>2025-04</v>
      </c>
      <c r="AC14" t="str">
        <f t="shared" si="8"/>
        <v>Q1-2025</v>
      </c>
      <c r="AD14" s="5">
        <f t="shared" si="9"/>
        <v>59</v>
      </c>
      <c r="AE14" t="str">
        <f t="shared" si="10"/>
        <v>Lost</v>
      </c>
    </row>
    <row r="15" spans="1:31">
      <c r="A15" t="s">
        <v>93</v>
      </c>
      <c r="B15" s="1">
        <v>45696</v>
      </c>
      <c r="C15" t="s">
        <v>64</v>
      </c>
      <c r="D15" t="s">
        <v>57</v>
      </c>
      <c r="E15" t="s">
        <v>75</v>
      </c>
      <c r="F15" t="s">
        <v>52</v>
      </c>
      <c r="G15" t="s">
        <v>94</v>
      </c>
      <c r="H15" t="s">
        <v>47</v>
      </c>
      <c r="I15" t="s">
        <v>48</v>
      </c>
      <c r="J15" s="1">
        <v>46172</v>
      </c>
      <c r="K15" s="1"/>
      <c r="L15" s="3">
        <v>4800</v>
      </c>
      <c r="M15" s="4">
        <v>0.05</v>
      </c>
      <c r="N15" s="4">
        <v>0.85</v>
      </c>
      <c r="P15">
        <v>5</v>
      </c>
      <c r="Q15" t="str">
        <f>IFERROR(VLOOKUP(E15,Lookups!$A$5:$B$24,2,FALSE),"Other")</f>
        <v>Webinar</v>
      </c>
      <c r="R15" t="str">
        <f>IFERROR(VLOOKUP(F15,Lookups!$D$5:$F$10,2,FALSE),"Unknown Product")</f>
        <v>NexaCRM Core</v>
      </c>
      <c r="S15" t="str">
        <f>IFERROR(VLOOKUP(F15,Lookups!$D$5:$F$10,3,FALSE),"Unknown")</f>
        <v>CRM</v>
      </c>
      <c r="T15" t="str">
        <f t="shared" si="0"/>
        <v>SMB</v>
      </c>
      <c r="U15" t="str">
        <f t="shared" si="1"/>
        <v>Open</v>
      </c>
      <c r="V15" s="3">
        <f t="shared" si="2"/>
        <v>0</v>
      </c>
      <c r="W15" s="3">
        <f t="shared" si="3"/>
        <v>4080</v>
      </c>
      <c r="X15" s="5" t="str">
        <f t="shared" si="4"/>
        <v/>
      </c>
      <c r="Y15" s="5">
        <f>IF(U15="Open",Lookups!$B$2-B15,X15)</f>
        <v>570</v>
      </c>
      <c r="Z15" t="str">
        <f t="shared" si="5"/>
        <v>STALE</v>
      </c>
      <c r="AA15" t="str">
        <f t="shared" si="6"/>
        <v>2025-02</v>
      </c>
      <c r="AB15" t="str">
        <f t="shared" si="7"/>
        <v/>
      </c>
      <c r="AC15" t="str">
        <f t="shared" si="8"/>
        <v>Q1-2025</v>
      </c>
      <c r="AD15" s="5">
        <f t="shared" si="9"/>
        <v>43</v>
      </c>
      <c r="AE15" t="str">
        <f t="shared" si="10"/>
        <v>Commit</v>
      </c>
    </row>
    <row r="16" spans="1:31">
      <c r="A16" t="s">
        <v>95</v>
      </c>
      <c r="B16" s="1">
        <v>45955</v>
      </c>
      <c r="C16" t="s">
        <v>50</v>
      </c>
      <c r="D16" t="s">
        <v>43</v>
      </c>
      <c r="E16" t="s">
        <v>96</v>
      </c>
      <c r="F16" t="s">
        <v>52</v>
      </c>
      <c r="G16" t="s">
        <v>46</v>
      </c>
      <c r="H16" t="s">
        <v>53</v>
      </c>
      <c r="I16" t="s">
        <v>61</v>
      </c>
      <c r="J16" s="1">
        <v>45987</v>
      </c>
      <c r="K16" s="1">
        <v>45987</v>
      </c>
      <c r="L16" s="3">
        <v>13400</v>
      </c>
      <c r="M16" s="4">
        <v>0</v>
      </c>
      <c r="N16" s="4">
        <v>0</v>
      </c>
      <c r="O16" t="s">
        <v>79</v>
      </c>
      <c r="P16">
        <v>2</v>
      </c>
      <c r="Q16" t="str">
        <f>IFERROR(VLOOKUP(E16,Lookups!$A$5:$B$24,2,FALSE),"Other")</f>
        <v>LinkedIn</v>
      </c>
      <c r="R16" t="str">
        <f>IFERROR(VLOOKUP(F16,Lookups!$D$5:$F$10,2,FALSE),"Unknown Product")</f>
        <v>NexaCRM Core</v>
      </c>
      <c r="S16" t="str">
        <f>IFERROR(VLOOKUP(F16,Lookups!$D$5:$F$10,3,FALSE),"Unknown")</f>
        <v>CRM</v>
      </c>
      <c r="T16" t="str">
        <f t="shared" si="0"/>
        <v>SMB</v>
      </c>
      <c r="U16" t="str">
        <f t="shared" si="1"/>
        <v>Lost</v>
      </c>
      <c r="V16" s="3">
        <f t="shared" si="2"/>
        <v>0</v>
      </c>
      <c r="W16" s="3">
        <f t="shared" si="3"/>
        <v>0</v>
      </c>
      <c r="X16" s="5">
        <f t="shared" si="4"/>
        <v>32</v>
      </c>
      <c r="Y16" s="5">
        <f>IF(U16="Open",Lookups!$B$2-B16,X16)</f>
        <v>32</v>
      </c>
      <c r="Z16" t="str">
        <f t="shared" si="5"/>
        <v>OK</v>
      </c>
      <c r="AA16" t="str">
        <f t="shared" si="6"/>
        <v>2025-10</v>
      </c>
      <c r="AB16" t="str">
        <f t="shared" si="7"/>
        <v>2025-11</v>
      </c>
      <c r="AC16" t="str">
        <f t="shared" si="8"/>
        <v>Q4-2025</v>
      </c>
      <c r="AD16" s="5">
        <f t="shared" si="9"/>
        <v>51</v>
      </c>
      <c r="AE16" t="str">
        <f t="shared" si="10"/>
        <v>Lost</v>
      </c>
    </row>
    <row r="17" spans="1:31">
      <c r="A17" t="s">
        <v>97</v>
      </c>
      <c r="B17" s="1">
        <v>46057</v>
      </c>
      <c r="C17" t="s">
        <v>86</v>
      </c>
      <c r="D17" t="s">
        <v>87</v>
      </c>
      <c r="E17" t="s">
        <v>98</v>
      </c>
      <c r="F17" t="s">
        <v>59</v>
      </c>
      <c r="G17" t="s">
        <v>99</v>
      </c>
      <c r="H17" t="s">
        <v>47</v>
      </c>
      <c r="I17" t="s">
        <v>61</v>
      </c>
      <c r="J17" s="1">
        <v>46101</v>
      </c>
      <c r="K17" s="1">
        <v>46101</v>
      </c>
      <c r="L17" s="3">
        <v>23800</v>
      </c>
      <c r="M17" s="4">
        <v>0</v>
      </c>
      <c r="N17" s="4">
        <v>0</v>
      </c>
      <c r="O17" t="s">
        <v>62</v>
      </c>
      <c r="P17">
        <v>4</v>
      </c>
      <c r="Q17" t="str">
        <f>IFERROR(VLOOKUP(E17,Lookups!$A$5:$B$24,2,FALSE),"Other")</f>
        <v>Outbound</v>
      </c>
      <c r="R17" t="str">
        <f>IFERROR(VLOOKUP(F17,Lookups!$D$5:$F$10,2,FALSE),"Unknown Product")</f>
        <v>NexaCRM Pro</v>
      </c>
      <c r="S17" t="str">
        <f>IFERROR(VLOOKUP(F17,Lookups!$D$5:$F$10,3,FALSE),"Unknown")</f>
        <v>CRM</v>
      </c>
      <c r="T17" t="str">
        <f t="shared" si="0"/>
        <v>Mid-Market</v>
      </c>
      <c r="U17" t="str">
        <f t="shared" si="1"/>
        <v>Lost</v>
      </c>
      <c r="V17" s="3">
        <f t="shared" si="2"/>
        <v>0</v>
      </c>
      <c r="W17" s="3">
        <f t="shared" si="3"/>
        <v>0</v>
      </c>
      <c r="X17" s="5">
        <f t="shared" si="4"/>
        <v>44</v>
      </c>
      <c r="Y17" s="5">
        <f>IF(U17="Open",Lookups!$B$2-B17,X17)</f>
        <v>44</v>
      </c>
      <c r="Z17" t="str">
        <f t="shared" si="5"/>
        <v>OK</v>
      </c>
      <c r="AA17" t="str">
        <f t="shared" si="6"/>
        <v>2026-02</v>
      </c>
      <c r="AB17" t="str">
        <f t="shared" si="7"/>
        <v>2026-03</v>
      </c>
      <c r="AC17" t="str">
        <f t="shared" si="8"/>
        <v>Q1-2026</v>
      </c>
      <c r="AD17" s="5">
        <f t="shared" si="9"/>
        <v>51</v>
      </c>
      <c r="AE17" t="str">
        <f t="shared" si="10"/>
        <v>Lost</v>
      </c>
    </row>
    <row r="18" spans="1:31">
      <c r="A18" t="s">
        <v>100</v>
      </c>
      <c r="B18" s="1">
        <v>45897</v>
      </c>
      <c r="C18" t="s">
        <v>56</v>
      </c>
      <c r="D18" t="s">
        <v>57</v>
      </c>
      <c r="E18" t="s">
        <v>75</v>
      </c>
      <c r="F18" t="s">
        <v>52</v>
      </c>
      <c r="G18" t="s">
        <v>60</v>
      </c>
      <c r="H18" t="s">
        <v>47</v>
      </c>
      <c r="I18" t="s">
        <v>48</v>
      </c>
      <c r="J18" s="1">
        <v>46135</v>
      </c>
      <c r="K18" s="1"/>
      <c r="L18" s="3">
        <v>7500</v>
      </c>
      <c r="M18" s="4">
        <v>0</v>
      </c>
      <c r="N18" s="4">
        <v>0.85</v>
      </c>
      <c r="P18">
        <v>5</v>
      </c>
      <c r="Q18" t="str">
        <f>IFERROR(VLOOKUP(E18,Lookups!$A$5:$B$24,2,FALSE),"Other")</f>
        <v>Webinar</v>
      </c>
      <c r="R18" t="str">
        <f>IFERROR(VLOOKUP(F18,Lookups!$D$5:$F$10,2,FALSE),"Unknown Product")</f>
        <v>NexaCRM Core</v>
      </c>
      <c r="S18" t="str">
        <f>IFERROR(VLOOKUP(F18,Lookups!$D$5:$F$10,3,FALSE),"Unknown")</f>
        <v>CRM</v>
      </c>
      <c r="T18" t="str">
        <f t="shared" si="0"/>
        <v>SMB</v>
      </c>
      <c r="U18" t="str">
        <f t="shared" si="1"/>
        <v>Open</v>
      </c>
      <c r="V18" s="3">
        <f t="shared" si="2"/>
        <v>0</v>
      </c>
      <c r="W18" s="3">
        <f t="shared" si="3"/>
        <v>6375</v>
      </c>
      <c r="X18" s="5" t="str">
        <f t="shared" si="4"/>
        <v/>
      </c>
      <c r="Y18" s="5">
        <f>IF(U18="Open",Lookups!$B$2-B18,X18)</f>
        <v>369</v>
      </c>
      <c r="Z18" t="str">
        <f t="shared" si="5"/>
        <v>STALE</v>
      </c>
      <c r="AA18" t="str">
        <f t="shared" si="6"/>
        <v>2025-08</v>
      </c>
      <c r="AB18" t="str">
        <f t="shared" si="7"/>
        <v/>
      </c>
      <c r="AC18" t="str">
        <f t="shared" si="8"/>
        <v>Q3-2025</v>
      </c>
      <c r="AD18" s="5">
        <f t="shared" si="9"/>
        <v>43</v>
      </c>
      <c r="AE18" t="str">
        <f t="shared" si="10"/>
        <v>Commit</v>
      </c>
    </row>
    <row r="19" spans="1:31">
      <c r="A19" t="s">
        <v>101</v>
      </c>
      <c r="B19" s="1">
        <v>46192</v>
      </c>
      <c r="C19" t="s">
        <v>50</v>
      </c>
      <c r="D19" t="s">
        <v>43</v>
      </c>
      <c r="E19" t="s">
        <v>98</v>
      </c>
      <c r="F19" t="s">
        <v>67</v>
      </c>
      <c r="G19" t="s">
        <v>94</v>
      </c>
      <c r="H19" t="s">
        <v>53</v>
      </c>
      <c r="I19" t="s">
        <v>61</v>
      </c>
      <c r="J19" s="1">
        <v>46231</v>
      </c>
      <c r="K19" s="1">
        <v>46231</v>
      </c>
      <c r="L19" s="3">
        <v>80200</v>
      </c>
      <c r="M19" s="4">
        <v>0</v>
      </c>
      <c r="N19" s="4">
        <v>0</v>
      </c>
      <c r="O19" t="s">
        <v>102</v>
      </c>
      <c r="P19">
        <v>3</v>
      </c>
      <c r="Q19" t="str">
        <f>IFERROR(VLOOKUP(E19,Lookups!$A$5:$B$24,2,FALSE),"Other")</f>
        <v>Outbound</v>
      </c>
      <c r="R19" t="str">
        <f>IFERROR(VLOOKUP(F19,Lookups!$D$5:$F$10,2,FALSE),"Unknown Product")</f>
        <v>Revenue Operations Suite</v>
      </c>
      <c r="S19" t="str">
        <f>IFERROR(VLOOKUP(F19,Lookups!$D$5:$F$10,3,FALSE),"Unknown")</f>
        <v>Revenue Ops</v>
      </c>
      <c r="T19" t="str">
        <f t="shared" si="0"/>
        <v>Enterprise</v>
      </c>
      <c r="U19" t="str">
        <f t="shared" si="1"/>
        <v>Lost</v>
      </c>
      <c r="V19" s="3">
        <f t="shared" si="2"/>
        <v>0</v>
      </c>
      <c r="W19" s="3">
        <f t="shared" si="3"/>
        <v>0</v>
      </c>
      <c r="X19" s="5">
        <f t="shared" si="4"/>
        <v>39</v>
      </c>
      <c r="Y19" s="5">
        <f>IF(U19="Open",Lookups!$B$2-B19,X19)</f>
        <v>39</v>
      </c>
      <c r="Z19" t="str">
        <f t="shared" si="5"/>
        <v>OK</v>
      </c>
      <c r="AA19" t="str">
        <f t="shared" si="6"/>
        <v>2026-06</v>
      </c>
      <c r="AB19" t="str">
        <f t="shared" si="7"/>
        <v>2026-07</v>
      </c>
      <c r="AC19" t="str">
        <f t="shared" si="8"/>
        <v>Q2-2026</v>
      </c>
      <c r="AD19" s="5">
        <f t="shared" si="9"/>
        <v>66</v>
      </c>
      <c r="AE19" t="str">
        <f t="shared" si="10"/>
        <v>Lost</v>
      </c>
    </row>
    <row r="20" spans="1:31">
      <c r="A20" t="s">
        <v>103</v>
      </c>
      <c r="B20" s="1">
        <v>46191</v>
      </c>
      <c r="C20" t="s">
        <v>86</v>
      </c>
      <c r="D20" t="s">
        <v>87</v>
      </c>
      <c r="E20" t="s">
        <v>104</v>
      </c>
      <c r="F20" t="s">
        <v>71</v>
      </c>
      <c r="G20" t="s">
        <v>60</v>
      </c>
      <c r="H20" t="s">
        <v>53</v>
      </c>
      <c r="I20" t="s">
        <v>105</v>
      </c>
      <c r="J20" s="1">
        <v>46229</v>
      </c>
      <c r="K20" s="1"/>
      <c r="L20" s="3">
        <v>17200</v>
      </c>
      <c r="M20" s="4">
        <v>0.05</v>
      </c>
      <c r="N20" s="4">
        <v>0.4</v>
      </c>
      <c r="P20">
        <v>3</v>
      </c>
      <c r="Q20" t="str">
        <f>IFERROR(VLOOKUP(E20,Lookups!$A$5:$B$24,2,FALSE),"Other")</f>
        <v>Other</v>
      </c>
      <c r="R20" t="str">
        <f>IFERROR(VLOOKUP(F20,Lookups!$D$5:$F$10,2,FALSE),"Unknown Product")</f>
        <v>Marketing Automation</v>
      </c>
      <c r="S20" t="str">
        <f>IFERROR(VLOOKUP(F20,Lookups!$D$5:$F$10,3,FALSE),"Unknown")</f>
        <v>Marketing</v>
      </c>
      <c r="T20" t="str">
        <f t="shared" si="0"/>
        <v>SMB</v>
      </c>
      <c r="U20" t="str">
        <f t="shared" si="1"/>
        <v>Open</v>
      </c>
      <c r="V20" s="3">
        <f t="shared" si="2"/>
        <v>0</v>
      </c>
      <c r="W20" s="3">
        <f t="shared" si="3"/>
        <v>6880</v>
      </c>
      <c r="X20" s="5" t="str">
        <f t="shared" si="4"/>
        <v/>
      </c>
      <c r="Y20" s="5">
        <f>IF(U20="Open",Lookups!$B$2-B20,X20)</f>
        <v>75</v>
      </c>
      <c r="Z20" t="str">
        <f t="shared" si="5"/>
        <v>STALE</v>
      </c>
      <c r="AA20" t="str">
        <f t="shared" si="6"/>
        <v>2026-06</v>
      </c>
      <c r="AB20" t="str">
        <f t="shared" si="7"/>
        <v/>
      </c>
      <c r="AC20" t="str">
        <f t="shared" si="8"/>
        <v>Q2-2026</v>
      </c>
      <c r="AD20" s="5">
        <f t="shared" si="9"/>
        <v>51</v>
      </c>
      <c r="AE20" t="str">
        <f t="shared" si="10"/>
        <v>Pipeline</v>
      </c>
    </row>
    <row r="21" spans="1:31">
      <c r="A21" t="s">
        <v>106</v>
      </c>
      <c r="B21" s="1">
        <v>45689</v>
      </c>
      <c r="C21" t="s">
        <v>90</v>
      </c>
      <c r="D21" t="s">
        <v>57</v>
      </c>
      <c r="E21" t="s">
        <v>107</v>
      </c>
      <c r="F21" t="s">
        <v>59</v>
      </c>
      <c r="G21" t="s">
        <v>76</v>
      </c>
      <c r="H21" t="s">
        <v>53</v>
      </c>
      <c r="I21" t="s">
        <v>77</v>
      </c>
      <c r="J21" s="1">
        <v>45712</v>
      </c>
      <c r="K21" s="1">
        <v>45712</v>
      </c>
      <c r="L21" s="3">
        <v>43800</v>
      </c>
      <c r="M21" s="4">
        <v>0.08</v>
      </c>
      <c r="N21" s="4">
        <v>1</v>
      </c>
      <c r="P21">
        <v>6</v>
      </c>
      <c r="Q21" t="str">
        <f>IFERROR(VLOOKUP(E21,Lookups!$A$5:$B$24,2,FALSE),"Other")</f>
        <v>Referral</v>
      </c>
      <c r="R21" t="str">
        <f>IFERROR(VLOOKUP(F21,Lookups!$D$5:$F$10,2,FALSE),"Unknown Product")</f>
        <v>NexaCRM Pro</v>
      </c>
      <c r="S21" t="str">
        <f>IFERROR(VLOOKUP(F21,Lookups!$D$5:$F$10,3,FALSE),"Unknown")</f>
        <v>CRM</v>
      </c>
      <c r="T21" t="str">
        <f t="shared" si="0"/>
        <v>Mid-Market</v>
      </c>
      <c r="U21" t="str">
        <f t="shared" si="1"/>
        <v>Won</v>
      </c>
      <c r="V21" s="3">
        <f t="shared" si="2"/>
        <v>40296</v>
      </c>
      <c r="W21" s="3">
        <f t="shared" si="3"/>
        <v>0</v>
      </c>
      <c r="X21" s="5">
        <f t="shared" si="4"/>
        <v>23</v>
      </c>
      <c r="Y21" s="5">
        <f>IF(U21="Open",Lookups!$B$2-B21,X21)</f>
        <v>23</v>
      </c>
      <c r="Z21" t="str">
        <f t="shared" si="5"/>
        <v>OK</v>
      </c>
      <c r="AA21" t="str">
        <f t="shared" si="6"/>
        <v>2025-02</v>
      </c>
      <c r="AB21" t="str">
        <f t="shared" si="7"/>
        <v>2025-02</v>
      </c>
      <c r="AC21" t="str">
        <f t="shared" si="8"/>
        <v>Q1-2025</v>
      </c>
      <c r="AD21" s="5">
        <f t="shared" si="9"/>
        <v>70</v>
      </c>
      <c r="AE21" t="str">
        <f t="shared" si="10"/>
        <v>Won</v>
      </c>
    </row>
    <row r="22" spans="1:31">
      <c r="A22" t="s">
        <v>108</v>
      </c>
      <c r="B22" s="1">
        <v>45753</v>
      </c>
      <c r="C22" t="s">
        <v>90</v>
      </c>
      <c r="D22" t="s">
        <v>57</v>
      </c>
      <c r="E22" t="s">
        <v>109</v>
      </c>
      <c r="F22" t="s">
        <v>52</v>
      </c>
      <c r="G22" t="s">
        <v>94</v>
      </c>
      <c r="H22" t="s">
        <v>47</v>
      </c>
      <c r="I22" t="s">
        <v>61</v>
      </c>
      <c r="J22" s="1">
        <v>45775</v>
      </c>
      <c r="K22" s="1">
        <v>45775</v>
      </c>
      <c r="L22" s="3">
        <v>8800</v>
      </c>
      <c r="M22" s="4">
        <v>0</v>
      </c>
      <c r="N22" s="4">
        <v>0</v>
      </c>
      <c r="O22" t="s">
        <v>110</v>
      </c>
      <c r="P22">
        <v>4</v>
      </c>
      <c r="Q22" t="str">
        <f>IFERROR(VLOOKUP(E22,Lookups!$A$5:$B$24,2,FALSE),"Other")</f>
        <v>Outbound</v>
      </c>
      <c r="R22" t="str">
        <f>IFERROR(VLOOKUP(F22,Lookups!$D$5:$F$10,2,FALSE),"Unknown Product")</f>
        <v>NexaCRM Core</v>
      </c>
      <c r="S22" t="str">
        <f>IFERROR(VLOOKUP(F22,Lookups!$D$5:$F$10,3,FALSE),"Unknown")</f>
        <v>CRM</v>
      </c>
      <c r="T22" t="str">
        <f t="shared" si="0"/>
        <v>SMB</v>
      </c>
      <c r="U22" t="str">
        <f t="shared" si="1"/>
        <v>Lost</v>
      </c>
      <c r="V22" s="3">
        <f t="shared" si="2"/>
        <v>0</v>
      </c>
      <c r="W22" s="3">
        <f t="shared" si="3"/>
        <v>0</v>
      </c>
      <c r="X22" s="5">
        <f t="shared" si="4"/>
        <v>22</v>
      </c>
      <c r="Y22" s="5">
        <f>IF(U22="Open",Lookups!$B$2-B22,X22)</f>
        <v>22</v>
      </c>
      <c r="Z22" t="str">
        <f t="shared" si="5"/>
        <v>OK</v>
      </c>
      <c r="AA22" t="str">
        <f t="shared" si="6"/>
        <v>2025-04</v>
      </c>
      <c r="AB22" t="str">
        <f t="shared" si="7"/>
        <v>2025-04</v>
      </c>
      <c r="AC22" t="str">
        <f t="shared" si="8"/>
        <v>Q2-2025</v>
      </c>
      <c r="AD22" s="5">
        <f t="shared" si="9"/>
        <v>43</v>
      </c>
      <c r="AE22" t="str">
        <f t="shared" si="10"/>
        <v>Lost</v>
      </c>
    </row>
    <row r="23" spans="1:31">
      <c r="A23" t="s">
        <v>111</v>
      </c>
      <c r="B23" s="1">
        <v>46178</v>
      </c>
      <c r="C23" t="s">
        <v>64</v>
      </c>
      <c r="D23" t="s">
        <v>57</v>
      </c>
      <c r="E23" t="s">
        <v>51</v>
      </c>
      <c r="F23" t="s">
        <v>52</v>
      </c>
      <c r="G23" t="s">
        <v>112</v>
      </c>
      <c r="H23" t="s">
        <v>53</v>
      </c>
      <c r="I23" t="s">
        <v>77</v>
      </c>
      <c r="J23" s="1">
        <v>46217</v>
      </c>
      <c r="K23" s="1">
        <v>46217</v>
      </c>
      <c r="L23" s="3">
        <v>9100</v>
      </c>
      <c r="M23" s="4">
        <v>0.05</v>
      </c>
      <c r="N23" s="4">
        <v>1</v>
      </c>
      <c r="P23">
        <v>6</v>
      </c>
      <c r="Q23" t="str">
        <f>IFERROR(VLOOKUP(E23,Lookups!$A$5:$B$24,2,FALSE),"Other")</f>
        <v>Paid Search</v>
      </c>
      <c r="R23" t="str">
        <f>IFERROR(VLOOKUP(F23,Lookups!$D$5:$F$10,2,FALSE),"Unknown Product")</f>
        <v>NexaCRM Core</v>
      </c>
      <c r="S23" t="str">
        <f>IFERROR(VLOOKUP(F23,Lookups!$D$5:$F$10,3,FALSE),"Unknown")</f>
        <v>CRM</v>
      </c>
      <c r="T23" t="str">
        <f t="shared" si="0"/>
        <v>SMB</v>
      </c>
      <c r="U23" t="str">
        <f t="shared" si="1"/>
        <v>Won</v>
      </c>
      <c r="V23" s="3">
        <f t="shared" si="2"/>
        <v>8645</v>
      </c>
      <c r="W23" s="3">
        <f t="shared" si="3"/>
        <v>0</v>
      </c>
      <c r="X23" s="5">
        <f t="shared" si="4"/>
        <v>39</v>
      </c>
      <c r="Y23" s="5">
        <f>IF(U23="Open",Lookups!$B$2-B23,X23)</f>
        <v>39</v>
      </c>
      <c r="Z23" t="str">
        <f t="shared" si="5"/>
        <v>OK</v>
      </c>
      <c r="AA23" t="str">
        <f t="shared" si="6"/>
        <v>2026-06</v>
      </c>
      <c r="AB23" t="str">
        <f t="shared" si="7"/>
        <v>2026-07</v>
      </c>
      <c r="AC23" t="str">
        <f t="shared" si="8"/>
        <v>Q2-2026</v>
      </c>
      <c r="AD23" s="5">
        <f t="shared" si="9"/>
        <v>56</v>
      </c>
      <c r="AE23" t="str">
        <f t="shared" si="10"/>
        <v>Won</v>
      </c>
    </row>
    <row r="24" spans="1:31">
      <c r="A24" t="s">
        <v>113</v>
      </c>
      <c r="B24" s="1">
        <v>45816</v>
      </c>
      <c r="C24" t="s">
        <v>50</v>
      </c>
      <c r="D24" t="s">
        <v>43</v>
      </c>
      <c r="E24" t="s">
        <v>107</v>
      </c>
      <c r="F24" t="s">
        <v>52</v>
      </c>
      <c r="G24" t="s">
        <v>46</v>
      </c>
      <c r="H24" t="s">
        <v>84</v>
      </c>
      <c r="I24" t="s">
        <v>61</v>
      </c>
      <c r="J24" s="1">
        <v>45835</v>
      </c>
      <c r="K24" s="1">
        <v>45835</v>
      </c>
      <c r="L24" s="3">
        <v>17400</v>
      </c>
      <c r="M24" s="4">
        <v>0</v>
      </c>
      <c r="N24" s="4">
        <v>0</v>
      </c>
      <c r="O24" t="s">
        <v>62</v>
      </c>
      <c r="P24">
        <v>5</v>
      </c>
      <c r="Q24" t="str">
        <f>IFERROR(VLOOKUP(E24,Lookups!$A$5:$B$24,2,FALSE),"Other")</f>
        <v>Referral</v>
      </c>
      <c r="R24" t="str">
        <f>IFERROR(VLOOKUP(F24,Lookups!$D$5:$F$10,2,FALSE),"Unknown Product")</f>
        <v>NexaCRM Core</v>
      </c>
      <c r="S24" t="str">
        <f>IFERROR(VLOOKUP(F24,Lookups!$D$5:$F$10,3,FALSE),"Unknown")</f>
        <v>CRM</v>
      </c>
      <c r="T24" t="str">
        <f t="shared" si="0"/>
        <v>SMB</v>
      </c>
      <c r="U24" t="str">
        <f t="shared" si="1"/>
        <v>Lost</v>
      </c>
      <c r="V24" s="3">
        <f t="shared" si="2"/>
        <v>0</v>
      </c>
      <c r="W24" s="3">
        <f t="shared" si="3"/>
        <v>0</v>
      </c>
      <c r="X24" s="5">
        <f t="shared" si="4"/>
        <v>19</v>
      </c>
      <c r="Y24" s="5">
        <f>IF(U24="Open",Lookups!$B$2-B24,X24)</f>
        <v>19</v>
      </c>
      <c r="Z24" t="str">
        <f t="shared" si="5"/>
        <v>OK</v>
      </c>
      <c r="AA24" t="str">
        <f t="shared" si="6"/>
        <v>2025-06</v>
      </c>
      <c r="AB24" t="str">
        <f t="shared" si="7"/>
        <v>2025-06</v>
      </c>
      <c r="AC24" t="str">
        <f t="shared" si="8"/>
        <v>Q2-2025</v>
      </c>
      <c r="AD24" s="5">
        <f t="shared" si="9"/>
        <v>70</v>
      </c>
      <c r="AE24" t="str">
        <f t="shared" si="10"/>
        <v>Lost</v>
      </c>
    </row>
    <row r="25" spans="1:31">
      <c r="A25" t="s">
        <v>114</v>
      </c>
      <c r="B25" s="1">
        <v>45856</v>
      </c>
      <c r="C25" t="s">
        <v>64</v>
      </c>
      <c r="D25" t="s">
        <v>57</v>
      </c>
      <c r="E25" t="s">
        <v>115</v>
      </c>
      <c r="F25" t="s">
        <v>71</v>
      </c>
      <c r="G25" t="s">
        <v>76</v>
      </c>
      <c r="H25" t="s">
        <v>53</v>
      </c>
      <c r="I25" t="s">
        <v>61</v>
      </c>
      <c r="J25" s="1">
        <v>45864</v>
      </c>
      <c r="K25" s="1">
        <v>45864</v>
      </c>
      <c r="L25" s="3">
        <v>19200</v>
      </c>
      <c r="M25" s="4">
        <v>0</v>
      </c>
      <c r="N25" s="4">
        <v>0</v>
      </c>
      <c r="O25" t="s">
        <v>116</v>
      </c>
      <c r="P25">
        <v>4</v>
      </c>
      <c r="Q25" t="str">
        <f>IFERROR(VLOOKUP(E25,Lookups!$A$5:$B$24,2,FALSE),"Other")</f>
        <v>Outbound</v>
      </c>
      <c r="R25" t="str">
        <f>IFERROR(VLOOKUP(F25,Lookups!$D$5:$F$10,2,FALSE),"Unknown Product")</f>
        <v>Marketing Automation</v>
      </c>
      <c r="S25" t="str">
        <f>IFERROR(VLOOKUP(F25,Lookups!$D$5:$F$10,3,FALSE),"Unknown")</f>
        <v>Marketing</v>
      </c>
      <c r="T25" t="str">
        <f t="shared" si="0"/>
        <v>SMB</v>
      </c>
      <c r="U25" t="str">
        <f t="shared" si="1"/>
        <v>Lost</v>
      </c>
      <c r="V25" s="3">
        <f t="shared" si="2"/>
        <v>0</v>
      </c>
      <c r="W25" s="3">
        <f t="shared" si="3"/>
        <v>0</v>
      </c>
      <c r="X25" s="5">
        <f t="shared" si="4"/>
        <v>8</v>
      </c>
      <c r="Y25" s="5">
        <f>IF(U25="Open",Lookups!$B$2-B25,X25)</f>
        <v>8</v>
      </c>
      <c r="Z25" t="str">
        <f t="shared" si="5"/>
        <v>OK</v>
      </c>
      <c r="AA25" t="str">
        <f t="shared" si="6"/>
        <v>2025-07</v>
      </c>
      <c r="AB25" t="str">
        <f t="shared" si="7"/>
        <v>2025-07</v>
      </c>
      <c r="AC25" t="str">
        <f t="shared" si="8"/>
        <v>Q3-2025</v>
      </c>
      <c r="AD25" s="5">
        <f t="shared" si="9"/>
        <v>51</v>
      </c>
      <c r="AE25" t="str">
        <f t="shared" si="10"/>
        <v>Lost</v>
      </c>
    </row>
    <row r="26" spans="1:31">
      <c r="A26" t="s">
        <v>117</v>
      </c>
      <c r="B26" s="1">
        <v>45707</v>
      </c>
      <c r="C26" t="s">
        <v>69</v>
      </c>
      <c r="D26" t="s">
        <v>57</v>
      </c>
      <c r="E26" t="s">
        <v>70</v>
      </c>
      <c r="F26" t="s">
        <v>45</v>
      </c>
      <c r="G26" t="s">
        <v>60</v>
      </c>
      <c r="H26" t="s">
        <v>47</v>
      </c>
      <c r="I26" t="s">
        <v>48</v>
      </c>
      <c r="J26" s="1">
        <v>46185</v>
      </c>
      <c r="K26" s="1"/>
      <c r="L26" s="3">
        <v>22400</v>
      </c>
      <c r="M26" s="4">
        <v>0</v>
      </c>
      <c r="N26" s="4">
        <v>0.85</v>
      </c>
      <c r="P26">
        <v>5</v>
      </c>
      <c r="Q26" t="str">
        <f>IFERROR(VLOOKUP(E26,Lookups!$A$5:$B$24,2,FALSE),"Other")</f>
        <v>LinkedIn</v>
      </c>
      <c r="R26" t="str">
        <f>IFERROR(VLOOKUP(F26,Lookups!$D$5:$F$10,2,FALSE),"Unknown Product")</f>
        <v>Service Cloud</v>
      </c>
      <c r="S26" t="str">
        <f>IFERROR(VLOOKUP(F26,Lookups!$D$5:$F$10,3,FALSE),"Unknown")</f>
        <v>Customer Service</v>
      </c>
      <c r="T26" t="str">
        <f t="shared" si="0"/>
        <v>Mid-Market</v>
      </c>
      <c r="U26" t="str">
        <f t="shared" si="1"/>
        <v>Open</v>
      </c>
      <c r="V26" s="3">
        <f t="shared" si="2"/>
        <v>0</v>
      </c>
      <c r="W26" s="3">
        <f t="shared" si="3"/>
        <v>19040</v>
      </c>
      <c r="X26" s="5" t="str">
        <f t="shared" si="4"/>
        <v/>
      </c>
      <c r="Y26" s="5">
        <f>IF(U26="Open",Lookups!$B$2-B26,X26)</f>
        <v>559</v>
      </c>
      <c r="Z26" t="str">
        <f t="shared" si="5"/>
        <v>STALE</v>
      </c>
      <c r="AA26" t="str">
        <f t="shared" si="6"/>
        <v>2025-02</v>
      </c>
      <c r="AB26" t="str">
        <f t="shared" si="7"/>
        <v/>
      </c>
      <c r="AC26" t="str">
        <f t="shared" si="8"/>
        <v>Q1-2025</v>
      </c>
      <c r="AD26" s="5">
        <f t="shared" si="9"/>
        <v>51</v>
      </c>
      <c r="AE26" t="str">
        <f t="shared" si="10"/>
        <v>Commit</v>
      </c>
    </row>
    <row r="27" spans="1:31">
      <c r="A27" t="s">
        <v>118</v>
      </c>
      <c r="B27" s="1">
        <v>46139</v>
      </c>
      <c r="C27" t="s">
        <v>69</v>
      </c>
      <c r="D27" t="s">
        <v>57</v>
      </c>
      <c r="E27" t="s">
        <v>119</v>
      </c>
      <c r="F27" t="s">
        <v>59</v>
      </c>
      <c r="G27" t="s">
        <v>99</v>
      </c>
      <c r="H27" t="s">
        <v>84</v>
      </c>
      <c r="I27" t="s">
        <v>48</v>
      </c>
      <c r="J27" s="1">
        <v>46188</v>
      </c>
      <c r="K27" s="1"/>
      <c r="L27" s="3">
        <v>81700</v>
      </c>
      <c r="M27" s="4">
        <v>0</v>
      </c>
      <c r="N27" s="4">
        <v>0.85</v>
      </c>
      <c r="P27">
        <v>5</v>
      </c>
      <c r="Q27" t="str">
        <f>IFERROR(VLOOKUP(E27,Lookups!$A$5:$B$24,2,FALSE),"Other")</f>
        <v>Referral</v>
      </c>
      <c r="R27" t="str">
        <f>IFERROR(VLOOKUP(F27,Lookups!$D$5:$F$10,2,FALSE),"Unknown Product")</f>
        <v>NexaCRM Pro</v>
      </c>
      <c r="S27" t="str">
        <f>IFERROR(VLOOKUP(F27,Lookups!$D$5:$F$10,3,FALSE),"Unknown")</f>
        <v>CRM</v>
      </c>
      <c r="T27" t="str">
        <f t="shared" si="0"/>
        <v>Enterprise</v>
      </c>
      <c r="U27" t="str">
        <f t="shared" si="1"/>
        <v>Open</v>
      </c>
      <c r="V27" s="3">
        <f t="shared" si="2"/>
        <v>0</v>
      </c>
      <c r="W27" s="3">
        <f t="shared" si="3"/>
        <v>69445</v>
      </c>
      <c r="X27" s="5" t="str">
        <f t="shared" si="4"/>
        <v/>
      </c>
      <c r="Y27" s="5">
        <f>IF(U27="Open",Lookups!$B$2-B27,X27)</f>
        <v>127</v>
      </c>
      <c r="Z27" t="str">
        <f t="shared" si="5"/>
        <v>STALE</v>
      </c>
      <c r="AA27" t="str">
        <f t="shared" si="6"/>
        <v>2026-04</v>
      </c>
      <c r="AB27" t="str">
        <f t="shared" si="7"/>
        <v/>
      </c>
      <c r="AC27" t="str">
        <f t="shared" si="8"/>
        <v>Q2-2026</v>
      </c>
      <c r="AD27" s="5">
        <f t="shared" si="9"/>
        <v>85</v>
      </c>
      <c r="AE27" t="str">
        <f t="shared" si="10"/>
        <v>Commit</v>
      </c>
    </row>
    <row r="28" spans="1:31">
      <c r="A28" t="s">
        <v>120</v>
      </c>
      <c r="B28" s="1">
        <v>46110</v>
      </c>
      <c r="C28" t="s">
        <v>86</v>
      </c>
      <c r="D28" t="s">
        <v>87</v>
      </c>
      <c r="E28" t="s">
        <v>92</v>
      </c>
      <c r="F28" t="s">
        <v>45</v>
      </c>
      <c r="G28" t="s">
        <v>76</v>
      </c>
      <c r="H28" t="s">
        <v>53</v>
      </c>
      <c r="I28" t="s">
        <v>61</v>
      </c>
      <c r="J28" s="1">
        <v>46118</v>
      </c>
      <c r="K28" s="1">
        <v>46118</v>
      </c>
      <c r="L28" s="3">
        <v>49100</v>
      </c>
      <c r="M28" s="4">
        <v>0</v>
      </c>
      <c r="N28" s="4">
        <v>0</v>
      </c>
      <c r="O28" t="s">
        <v>81</v>
      </c>
      <c r="P28">
        <v>2</v>
      </c>
      <c r="Q28" t="str">
        <f>IFERROR(VLOOKUP(E28,Lookups!$A$5:$B$24,2,FALSE),"Other")</f>
        <v>Webinar</v>
      </c>
      <c r="R28" t="str">
        <f>IFERROR(VLOOKUP(F28,Lookups!$D$5:$F$10,2,FALSE),"Unknown Product")</f>
        <v>Service Cloud</v>
      </c>
      <c r="S28" t="str">
        <f>IFERROR(VLOOKUP(F28,Lookups!$D$5:$F$10,3,FALSE),"Unknown")</f>
        <v>Customer Service</v>
      </c>
      <c r="T28" t="str">
        <f t="shared" si="0"/>
        <v>Mid-Market</v>
      </c>
      <c r="U28" t="str">
        <f t="shared" si="1"/>
        <v>Lost</v>
      </c>
      <c r="V28" s="3">
        <f t="shared" si="2"/>
        <v>0</v>
      </c>
      <c r="W28" s="3">
        <f t="shared" si="3"/>
        <v>0</v>
      </c>
      <c r="X28" s="5">
        <f t="shared" si="4"/>
        <v>8</v>
      </c>
      <c r="Y28" s="5">
        <f>IF(U28="Open",Lookups!$B$2-B28,X28)</f>
        <v>8</v>
      </c>
      <c r="Z28" t="str">
        <f t="shared" si="5"/>
        <v>OK</v>
      </c>
      <c r="AA28" t="str">
        <f t="shared" si="6"/>
        <v>2026-03</v>
      </c>
      <c r="AB28" t="str">
        <f t="shared" si="7"/>
        <v>2026-04</v>
      </c>
      <c r="AC28" t="str">
        <f t="shared" si="8"/>
        <v>Q1-2026</v>
      </c>
      <c r="AD28" s="5">
        <f t="shared" si="9"/>
        <v>59</v>
      </c>
      <c r="AE28" t="str">
        <f t="shared" si="10"/>
        <v>Lost</v>
      </c>
    </row>
    <row r="29" spans="1:31">
      <c r="A29" t="s">
        <v>121</v>
      </c>
      <c r="B29" s="1">
        <v>45911</v>
      </c>
      <c r="C29" t="s">
        <v>42</v>
      </c>
      <c r="D29" t="s">
        <v>43</v>
      </c>
      <c r="E29" t="s">
        <v>96</v>
      </c>
      <c r="F29" t="s">
        <v>71</v>
      </c>
      <c r="G29" t="s">
        <v>60</v>
      </c>
      <c r="H29" t="s">
        <v>53</v>
      </c>
      <c r="I29" t="s">
        <v>61</v>
      </c>
      <c r="J29" s="1">
        <v>45961</v>
      </c>
      <c r="K29" s="1">
        <v>45961</v>
      </c>
      <c r="L29" s="3">
        <v>22500</v>
      </c>
      <c r="M29" s="4">
        <v>0</v>
      </c>
      <c r="N29" s="4">
        <v>0</v>
      </c>
      <c r="O29" t="s">
        <v>62</v>
      </c>
      <c r="P29">
        <v>5</v>
      </c>
      <c r="Q29" t="str">
        <f>IFERROR(VLOOKUP(E29,Lookups!$A$5:$B$24,2,FALSE),"Other")</f>
        <v>LinkedIn</v>
      </c>
      <c r="R29" t="str">
        <f>IFERROR(VLOOKUP(F29,Lookups!$D$5:$F$10,2,FALSE),"Unknown Product")</f>
        <v>Marketing Automation</v>
      </c>
      <c r="S29" t="str">
        <f>IFERROR(VLOOKUP(F29,Lookups!$D$5:$F$10,3,FALSE),"Unknown")</f>
        <v>Marketing</v>
      </c>
      <c r="T29" t="str">
        <f t="shared" si="0"/>
        <v>Mid-Market</v>
      </c>
      <c r="U29" t="str">
        <f t="shared" si="1"/>
        <v>Lost</v>
      </c>
      <c r="V29" s="3">
        <f t="shared" si="2"/>
        <v>0</v>
      </c>
      <c r="W29" s="3">
        <f t="shared" si="3"/>
        <v>0</v>
      </c>
      <c r="X29" s="5">
        <f t="shared" si="4"/>
        <v>50</v>
      </c>
      <c r="Y29" s="5">
        <f>IF(U29="Open",Lookups!$B$2-B29,X29)</f>
        <v>50</v>
      </c>
      <c r="Z29" t="str">
        <f t="shared" si="5"/>
        <v>OK</v>
      </c>
      <c r="AA29" t="str">
        <f t="shared" si="6"/>
        <v>2025-09</v>
      </c>
      <c r="AB29" t="str">
        <f t="shared" si="7"/>
        <v>2025-10</v>
      </c>
      <c r="AC29" t="str">
        <f t="shared" si="8"/>
        <v>Q3-2025</v>
      </c>
      <c r="AD29" s="5">
        <f t="shared" si="9"/>
        <v>59</v>
      </c>
      <c r="AE29" t="str">
        <f t="shared" si="10"/>
        <v>Lost</v>
      </c>
    </row>
    <row r="30" spans="1:31">
      <c r="A30" t="s">
        <v>122</v>
      </c>
      <c r="B30" s="1">
        <v>45963</v>
      </c>
      <c r="C30" t="s">
        <v>69</v>
      </c>
      <c r="D30" t="s">
        <v>57</v>
      </c>
      <c r="E30" t="s">
        <v>123</v>
      </c>
      <c r="F30" t="s">
        <v>52</v>
      </c>
      <c r="G30" t="s">
        <v>99</v>
      </c>
      <c r="H30" t="s">
        <v>53</v>
      </c>
      <c r="I30" t="s">
        <v>61</v>
      </c>
      <c r="J30" s="1">
        <v>46011</v>
      </c>
      <c r="K30" s="1">
        <v>46011</v>
      </c>
      <c r="L30" s="3">
        <v>8400</v>
      </c>
      <c r="M30" s="4">
        <v>0</v>
      </c>
      <c r="N30" s="4">
        <v>0</v>
      </c>
      <c r="O30" t="s">
        <v>81</v>
      </c>
      <c r="P30">
        <v>3</v>
      </c>
      <c r="Q30" t="str">
        <f>IFERROR(VLOOKUP(E30,Lookups!$A$5:$B$24,2,FALSE),"Other")</f>
        <v>Email</v>
      </c>
      <c r="R30" t="str">
        <f>IFERROR(VLOOKUP(F30,Lookups!$D$5:$F$10,2,FALSE),"Unknown Product")</f>
        <v>NexaCRM Core</v>
      </c>
      <c r="S30" t="str">
        <f>IFERROR(VLOOKUP(F30,Lookups!$D$5:$F$10,3,FALSE),"Unknown")</f>
        <v>CRM</v>
      </c>
      <c r="T30" t="str">
        <f t="shared" si="0"/>
        <v>SMB</v>
      </c>
      <c r="U30" t="str">
        <f t="shared" si="1"/>
        <v>Lost</v>
      </c>
      <c r="V30" s="3">
        <f t="shared" si="2"/>
        <v>0</v>
      </c>
      <c r="W30" s="3">
        <f t="shared" si="3"/>
        <v>0</v>
      </c>
      <c r="X30" s="5">
        <f t="shared" si="4"/>
        <v>48</v>
      </c>
      <c r="Y30" s="5">
        <f>IF(U30="Open",Lookups!$B$2-B30,X30)</f>
        <v>48</v>
      </c>
      <c r="Z30" t="str">
        <f t="shared" si="5"/>
        <v>OK</v>
      </c>
      <c r="AA30" t="str">
        <f t="shared" si="6"/>
        <v>2025-11</v>
      </c>
      <c r="AB30" t="str">
        <f t="shared" si="7"/>
        <v>2025-12</v>
      </c>
      <c r="AC30" t="str">
        <f t="shared" si="8"/>
        <v>Q4-2025</v>
      </c>
      <c r="AD30" s="5">
        <f t="shared" si="9"/>
        <v>55</v>
      </c>
      <c r="AE30" t="str">
        <f t="shared" si="10"/>
        <v>Lost</v>
      </c>
    </row>
    <row r="31" spans="1:31">
      <c r="A31" t="s">
        <v>124</v>
      </c>
      <c r="B31" s="1">
        <v>46247</v>
      </c>
      <c r="C31" t="s">
        <v>50</v>
      </c>
      <c r="D31" t="s">
        <v>43</v>
      </c>
      <c r="E31" t="s">
        <v>70</v>
      </c>
      <c r="F31" t="s">
        <v>59</v>
      </c>
      <c r="G31" t="s">
        <v>76</v>
      </c>
      <c r="H31" t="s">
        <v>84</v>
      </c>
      <c r="I31" t="s">
        <v>73</v>
      </c>
      <c r="J31" s="1">
        <v>46258</v>
      </c>
      <c r="K31" s="1"/>
      <c r="L31" s="3">
        <v>80900</v>
      </c>
      <c r="M31" s="4">
        <v>0</v>
      </c>
      <c r="N31" s="4">
        <v>0.2</v>
      </c>
      <c r="P31">
        <v>2</v>
      </c>
      <c r="Q31" t="str">
        <f>IFERROR(VLOOKUP(E31,Lookups!$A$5:$B$24,2,FALSE),"Other")</f>
        <v>LinkedIn</v>
      </c>
      <c r="R31" t="str">
        <f>IFERROR(VLOOKUP(F31,Lookups!$D$5:$F$10,2,FALSE),"Unknown Product")</f>
        <v>NexaCRM Pro</v>
      </c>
      <c r="S31" t="str">
        <f>IFERROR(VLOOKUP(F31,Lookups!$D$5:$F$10,3,FALSE),"Unknown")</f>
        <v>CRM</v>
      </c>
      <c r="T31" t="str">
        <f t="shared" si="0"/>
        <v>Enterprise</v>
      </c>
      <c r="U31" t="str">
        <f t="shared" si="1"/>
        <v>Open</v>
      </c>
      <c r="V31" s="3">
        <f t="shared" si="2"/>
        <v>0</v>
      </c>
      <c r="W31" s="3">
        <f t="shared" si="3"/>
        <v>16180</v>
      </c>
      <c r="X31" s="5" t="str">
        <f t="shared" si="4"/>
        <v/>
      </c>
      <c r="Y31" s="5">
        <f>IF(U31="Open",Lookups!$B$2-B31,X31)</f>
        <v>19</v>
      </c>
      <c r="Z31" t="str">
        <f t="shared" si="5"/>
        <v>OK</v>
      </c>
      <c r="AA31" t="str">
        <f t="shared" si="6"/>
        <v>2026-08</v>
      </c>
      <c r="AB31" t="str">
        <f t="shared" si="7"/>
        <v/>
      </c>
      <c r="AC31" t="str">
        <f t="shared" si="8"/>
        <v>Q3-2026</v>
      </c>
      <c r="AD31" s="5">
        <f t="shared" si="9"/>
        <v>74</v>
      </c>
      <c r="AE31" t="str">
        <f t="shared" si="10"/>
        <v>Pipeline</v>
      </c>
    </row>
    <row r="32" spans="1:31">
      <c r="A32" t="s">
        <v>125</v>
      </c>
      <c r="B32" s="1">
        <v>45988</v>
      </c>
      <c r="C32" t="s">
        <v>90</v>
      </c>
      <c r="D32" t="s">
        <v>57</v>
      </c>
      <c r="E32" t="s">
        <v>123</v>
      </c>
      <c r="F32" t="s">
        <v>71</v>
      </c>
      <c r="G32" t="s">
        <v>99</v>
      </c>
      <c r="H32" t="s">
        <v>53</v>
      </c>
      <c r="I32" t="s">
        <v>61</v>
      </c>
      <c r="J32" s="1">
        <v>46029</v>
      </c>
      <c r="K32" s="1">
        <v>46029</v>
      </c>
      <c r="L32" s="3">
        <v>21200</v>
      </c>
      <c r="M32" s="4">
        <v>0</v>
      </c>
      <c r="N32" s="4">
        <v>0</v>
      </c>
      <c r="O32" t="s">
        <v>102</v>
      </c>
      <c r="P32">
        <v>2</v>
      </c>
      <c r="Q32" t="str">
        <f>IFERROR(VLOOKUP(E32,Lookups!$A$5:$B$24,2,FALSE),"Other")</f>
        <v>Email</v>
      </c>
      <c r="R32" t="str">
        <f>IFERROR(VLOOKUP(F32,Lookups!$D$5:$F$10,2,FALSE),"Unknown Product")</f>
        <v>Marketing Automation</v>
      </c>
      <c r="S32" t="str">
        <f>IFERROR(VLOOKUP(F32,Lookups!$D$5:$F$10,3,FALSE),"Unknown")</f>
        <v>Marketing</v>
      </c>
      <c r="T32" t="str">
        <f t="shared" si="0"/>
        <v>Mid-Market</v>
      </c>
      <c r="U32" t="str">
        <f t="shared" si="1"/>
        <v>Lost</v>
      </c>
      <c r="V32" s="3">
        <f t="shared" si="2"/>
        <v>0</v>
      </c>
      <c r="W32" s="3">
        <f t="shared" si="3"/>
        <v>0</v>
      </c>
      <c r="X32" s="5">
        <f t="shared" si="4"/>
        <v>41</v>
      </c>
      <c r="Y32" s="5">
        <f>IF(U32="Open",Lookups!$B$2-B32,X32)</f>
        <v>41</v>
      </c>
      <c r="Z32" t="str">
        <f t="shared" si="5"/>
        <v>OK</v>
      </c>
      <c r="AA32" t="str">
        <f t="shared" si="6"/>
        <v>2025-11</v>
      </c>
      <c r="AB32" t="str">
        <f t="shared" si="7"/>
        <v>2026-01</v>
      </c>
      <c r="AC32" t="str">
        <f t="shared" si="8"/>
        <v>Q4-2025</v>
      </c>
      <c r="AD32" s="5">
        <f t="shared" si="9"/>
        <v>63</v>
      </c>
      <c r="AE32" t="str">
        <f t="shared" si="10"/>
        <v>Lost</v>
      </c>
    </row>
    <row r="33" spans="1:31">
      <c r="A33" t="s">
        <v>126</v>
      </c>
      <c r="B33" s="1">
        <v>46006</v>
      </c>
      <c r="C33" t="s">
        <v>42</v>
      </c>
      <c r="D33" t="s">
        <v>43</v>
      </c>
      <c r="E33" t="s">
        <v>127</v>
      </c>
      <c r="F33" t="s">
        <v>52</v>
      </c>
      <c r="G33" t="s">
        <v>99</v>
      </c>
      <c r="H33" t="s">
        <v>84</v>
      </c>
      <c r="I33" t="s">
        <v>48</v>
      </c>
      <c r="J33" s="1">
        <v>46185</v>
      </c>
      <c r="K33" s="1"/>
      <c r="L33" s="3">
        <v>26900</v>
      </c>
      <c r="M33" s="4">
        <v>0.03</v>
      </c>
      <c r="N33" s="4">
        <v>0.85</v>
      </c>
      <c r="P33">
        <v>5</v>
      </c>
      <c r="Q33" t="str">
        <f>IFERROR(VLOOKUP(E33,Lookups!$A$5:$B$24,2,FALSE),"Other")</f>
        <v>Paid Search</v>
      </c>
      <c r="R33" t="str">
        <f>IFERROR(VLOOKUP(F33,Lookups!$D$5:$F$10,2,FALSE),"Unknown Product")</f>
        <v>NexaCRM Core</v>
      </c>
      <c r="S33" t="str">
        <f>IFERROR(VLOOKUP(F33,Lookups!$D$5:$F$10,3,FALSE),"Unknown")</f>
        <v>CRM</v>
      </c>
      <c r="T33" t="str">
        <f t="shared" si="0"/>
        <v>Mid-Market</v>
      </c>
      <c r="U33" t="str">
        <f t="shared" si="1"/>
        <v>Open</v>
      </c>
      <c r="V33" s="3">
        <f t="shared" si="2"/>
        <v>0</v>
      </c>
      <c r="W33" s="3">
        <f t="shared" si="3"/>
        <v>22865</v>
      </c>
      <c r="X33" s="5" t="str">
        <f t="shared" si="4"/>
        <v/>
      </c>
      <c r="Y33" s="5">
        <f>IF(U33="Open",Lookups!$B$2-B33,X33)</f>
        <v>260</v>
      </c>
      <c r="Z33" t="str">
        <f t="shared" si="5"/>
        <v>STALE</v>
      </c>
      <c r="AA33" t="str">
        <f t="shared" si="6"/>
        <v>2025-12</v>
      </c>
      <c r="AB33" t="str">
        <f t="shared" si="7"/>
        <v/>
      </c>
      <c r="AC33" t="str">
        <f t="shared" si="8"/>
        <v>Q4-2025</v>
      </c>
      <c r="AD33" s="5">
        <f t="shared" si="9"/>
        <v>67</v>
      </c>
      <c r="AE33" t="str">
        <f t="shared" si="10"/>
        <v>Commit</v>
      </c>
    </row>
    <row r="34" spans="1:31">
      <c r="A34" t="s">
        <v>128</v>
      </c>
      <c r="B34" s="1">
        <v>45810</v>
      </c>
      <c r="C34" t="s">
        <v>90</v>
      </c>
      <c r="D34" t="s">
        <v>57</v>
      </c>
      <c r="E34" t="s">
        <v>65</v>
      </c>
      <c r="F34" t="s">
        <v>59</v>
      </c>
      <c r="G34" t="s">
        <v>76</v>
      </c>
      <c r="H34" t="s">
        <v>47</v>
      </c>
      <c r="I34" t="s">
        <v>61</v>
      </c>
      <c r="J34" s="1">
        <v>45864</v>
      </c>
      <c r="K34" s="1">
        <v>45864</v>
      </c>
      <c r="L34" s="3">
        <v>12600</v>
      </c>
      <c r="M34" s="4">
        <v>0</v>
      </c>
      <c r="N34" s="4">
        <v>0</v>
      </c>
      <c r="O34" t="s">
        <v>102</v>
      </c>
      <c r="P34">
        <v>3</v>
      </c>
      <c r="Q34" t="str">
        <f>IFERROR(VLOOKUP(E34,Lookups!$A$5:$B$24,2,FALSE),"Other")</f>
        <v>Paid Search</v>
      </c>
      <c r="R34" t="str">
        <f>IFERROR(VLOOKUP(F34,Lookups!$D$5:$F$10,2,FALSE),"Unknown Product")</f>
        <v>NexaCRM Pro</v>
      </c>
      <c r="S34" t="str">
        <f>IFERROR(VLOOKUP(F34,Lookups!$D$5:$F$10,3,FALSE),"Unknown")</f>
        <v>CRM</v>
      </c>
      <c r="T34" t="str">
        <f t="shared" si="0"/>
        <v>SMB</v>
      </c>
      <c r="U34" t="str">
        <f t="shared" si="1"/>
        <v>Lost</v>
      </c>
      <c r="V34" s="3">
        <f t="shared" si="2"/>
        <v>0</v>
      </c>
      <c r="W34" s="3">
        <f t="shared" si="3"/>
        <v>0</v>
      </c>
      <c r="X34" s="5">
        <f t="shared" si="4"/>
        <v>54</v>
      </c>
      <c r="Y34" s="5">
        <f>IF(U34="Open",Lookups!$B$2-B34,X34)</f>
        <v>54</v>
      </c>
      <c r="Z34" t="str">
        <f t="shared" si="5"/>
        <v>OK</v>
      </c>
      <c r="AA34" t="str">
        <f t="shared" si="6"/>
        <v>2025-06</v>
      </c>
      <c r="AB34" t="str">
        <f t="shared" si="7"/>
        <v>2025-07</v>
      </c>
      <c r="AC34" t="str">
        <f t="shared" si="8"/>
        <v>Q2-2025</v>
      </c>
      <c r="AD34" s="5">
        <f t="shared" si="9"/>
        <v>43</v>
      </c>
      <c r="AE34" t="str">
        <f t="shared" si="10"/>
        <v>Lost</v>
      </c>
    </row>
    <row r="35" spans="1:31">
      <c r="A35" t="s">
        <v>129</v>
      </c>
      <c r="B35" s="1">
        <v>45773</v>
      </c>
      <c r="C35" t="s">
        <v>69</v>
      </c>
      <c r="D35" t="s">
        <v>57</v>
      </c>
      <c r="E35" t="s">
        <v>107</v>
      </c>
      <c r="F35" t="s">
        <v>67</v>
      </c>
      <c r="G35" t="s">
        <v>99</v>
      </c>
      <c r="H35" t="s">
        <v>53</v>
      </c>
      <c r="I35" t="s">
        <v>61</v>
      </c>
      <c r="J35" s="1">
        <v>45801</v>
      </c>
      <c r="K35" s="1">
        <v>45801</v>
      </c>
      <c r="L35" s="3">
        <v>48900</v>
      </c>
      <c r="M35" s="4">
        <v>0</v>
      </c>
      <c r="N35" s="4">
        <v>0</v>
      </c>
      <c r="O35" t="s">
        <v>79</v>
      </c>
      <c r="P35">
        <v>4</v>
      </c>
      <c r="Q35" t="str">
        <f>IFERROR(VLOOKUP(E35,Lookups!$A$5:$B$24,2,FALSE),"Other")</f>
        <v>Referral</v>
      </c>
      <c r="R35" t="str">
        <f>IFERROR(VLOOKUP(F35,Lookups!$D$5:$F$10,2,FALSE),"Unknown Product")</f>
        <v>Revenue Operations Suite</v>
      </c>
      <c r="S35" t="str">
        <f>IFERROR(VLOOKUP(F35,Lookups!$D$5:$F$10,3,FALSE),"Unknown")</f>
        <v>Revenue Ops</v>
      </c>
      <c r="T35" t="str">
        <f t="shared" si="0"/>
        <v>Mid-Market</v>
      </c>
      <c r="U35" t="str">
        <f t="shared" si="1"/>
        <v>Lost</v>
      </c>
      <c r="V35" s="3">
        <f t="shared" si="2"/>
        <v>0</v>
      </c>
      <c r="W35" s="3">
        <f t="shared" si="3"/>
        <v>0</v>
      </c>
      <c r="X35" s="5">
        <f t="shared" si="4"/>
        <v>28</v>
      </c>
      <c r="Y35" s="5">
        <f>IF(U35="Open",Lookups!$B$2-B35,X35)</f>
        <v>28</v>
      </c>
      <c r="Z35" t="str">
        <f t="shared" si="5"/>
        <v>OK</v>
      </c>
      <c r="AA35" t="str">
        <f t="shared" si="6"/>
        <v>2025-04</v>
      </c>
      <c r="AB35" t="str">
        <f t="shared" si="7"/>
        <v>2025-05</v>
      </c>
      <c r="AC35" t="str">
        <f t="shared" si="8"/>
        <v>Q2-2025</v>
      </c>
      <c r="AD35" s="5">
        <f t="shared" si="9"/>
        <v>70</v>
      </c>
      <c r="AE35" t="str">
        <f t="shared" si="10"/>
        <v>Lost</v>
      </c>
    </row>
    <row r="36" spans="1:31">
      <c r="A36" t="s">
        <v>130</v>
      </c>
      <c r="B36" s="1">
        <v>45912</v>
      </c>
      <c r="C36" t="s">
        <v>90</v>
      </c>
      <c r="D36" t="s">
        <v>57</v>
      </c>
      <c r="E36" t="s">
        <v>119</v>
      </c>
      <c r="F36" t="s">
        <v>71</v>
      </c>
      <c r="G36" t="s">
        <v>60</v>
      </c>
      <c r="H36" t="s">
        <v>47</v>
      </c>
      <c r="I36" t="s">
        <v>77</v>
      </c>
      <c r="J36" s="1">
        <v>45956</v>
      </c>
      <c r="K36" s="1">
        <v>45956</v>
      </c>
      <c r="L36" s="3">
        <v>12800</v>
      </c>
      <c r="M36" s="4">
        <v>0.08</v>
      </c>
      <c r="N36" s="4">
        <v>1</v>
      </c>
      <c r="P36">
        <v>6</v>
      </c>
      <c r="Q36" t="str">
        <f>IFERROR(VLOOKUP(E36,Lookups!$A$5:$B$24,2,FALSE),"Other")</f>
        <v>Referral</v>
      </c>
      <c r="R36" t="str">
        <f>IFERROR(VLOOKUP(F36,Lookups!$D$5:$F$10,2,FALSE),"Unknown Product")</f>
        <v>Marketing Automation</v>
      </c>
      <c r="S36" t="str">
        <f>IFERROR(VLOOKUP(F36,Lookups!$D$5:$F$10,3,FALSE),"Unknown")</f>
        <v>Marketing</v>
      </c>
      <c r="T36" t="str">
        <f t="shared" si="0"/>
        <v>SMB</v>
      </c>
      <c r="U36" t="str">
        <f t="shared" si="1"/>
        <v>Won</v>
      </c>
      <c r="V36" s="3">
        <f t="shared" si="2"/>
        <v>11776</v>
      </c>
      <c r="W36" s="3">
        <f t="shared" si="3"/>
        <v>0</v>
      </c>
      <c r="X36" s="5">
        <f t="shared" si="4"/>
        <v>44</v>
      </c>
      <c r="Y36" s="5">
        <f>IF(U36="Open",Lookups!$B$2-B36,X36)</f>
        <v>44</v>
      </c>
      <c r="Z36" t="str">
        <f t="shared" si="5"/>
        <v>OK</v>
      </c>
      <c r="AA36" t="str">
        <f t="shared" si="6"/>
        <v>2025-09</v>
      </c>
      <c r="AB36" t="str">
        <f t="shared" si="7"/>
        <v>2025-10</v>
      </c>
      <c r="AC36" t="str">
        <f t="shared" si="8"/>
        <v>Q3-2025</v>
      </c>
      <c r="AD36" s="5">
        <f t="shared" si="9"/>
        <v>54</v>
      </c>
      <c r="AE36" t="str">
        <f t="shared" si="10"/>
        <v>Won</v>
      </c>
    </row>
    <row r="37" spans="1:31">
      <c r="A37" t="s">
        <v>131</v>
      </c>
      <c r="B37" s="1">
        <v>45932</v>
      </c>
      <c r="C37" t="s">
        <v>69</v>
      </c>
      <c r="D37" t="s">
        <v>57</v>
      </c>
      <c r="E37" t="s">
        <v>132</v>
      </c>
      <c r="F37" t="s">
        <v>133</v>
      </c>
      <c r="G37" t="s">
        <v>60</v>
      </c>
      <c r="H37" t="s">
        <v>53</v>
      </c>
      <c r="I37" t="s">
        <v>77</v>
      </c>
      <c r="J37" s="1">
        <v>45944</v>
      </c>
      <c r="K37" s="1">
        <v>45944</v>
      </c>
      <c r="L37" s="3">
        <v>43600</v>
      </c>
      <c r="M37" s="4">
        <v>0.03</v>
      </c>
      <c r="N37" s="4">
        <v>1</v>
      </c>
      <c r="P37">
        <v>6</v>
      </c>
      <c r="Q37" t="str">
        <f>IFERROR(VLOOKUP(E37,Lookups!$A$5:$B$24,2,FALSE),"Other")</f>
        <v>Other</v>
      </c>
      <c r="R37" t="str">
        <f>IFERROR(VLOOKUP(F37,Lookups!$D$5:$F$10,2,FALSE),"Unknown Product")</f>
        <v>Analytics Plus</v>
      </c>
      <c r="S37" t="str">
        <f>IFERROR(VLOOKUP(F37,Lookups!$D$5:$F$10,3,FALSE),"Unknown")</f>
        <v>Analytics</v>
      </c>
      <c r="T37" t="str">
        <f t="shared" si="0"/>
        <v>Mid-Market</v>
      </c>
      <c r="U37" t="str">
        <f t="shared" si="1"/>
        <v>Won</v>
      </c>
      <c r="V37" s="3">
        <f t="shared" si="2"/>
        <v>42292</v>
      </c>
      <c r="W37" s="3">
        <f t="shared" si="3"/>
        <v>0</v>
      </c>
      <c r="X37" s="5">
        <f t="shared" si="4"/>
        <v>12</v>
      </c>
      <c r="Y37" s="5">
        <f>IF(U37="Open",Lookups!$B$2-B37,X37)</f>
        <v>12</v>
      </c>
      <c r="Z37" t="str">
        <f t="shared" si="5"/>
        <v>OK</v>
      </c>
      <c r="AA37" t="str">
        <f t="shared" si="6"/>
        <v>2025-10</v>
      </c>
      <c r="AB37" t="str">
        <f t="shared" si="7"/>
        <v>2025-10</v>
      </c>
      <c r="AC37" t="str">
        <f t="shared" si="8"/>
        <v>Q4-2025</v>
      </c>
      <c r="AD37" s="5">
        <f t="shared" si="9"/>
        <v>59</v>
      </c>
      <c r="AE37" t="str">
        <f t="shared" si="10"/>
        <v>Won</v>
      </c>
    </row>
    <row r="38" spans="1:31">
      <c r="A38" t="s">
        <v>134</v>
      </c>
      <c r="B38" s="1">
        <v>46070</v>
      </c>
      <c r="C38" t="s">
        <v>50</v>
      </c>
      <c r="D38" t="s">
        <v>43</v>
      </c>
      <c r="E38" t="s">
        <v>51</v>
      </c>
      <c r="F38" t="s">
        <v>71</v>
      </c>
      <c r="G38" t="s">
        <v>76</v>
      </c>
      <c r="H38" t="s">
        <v>53</v>
      </c>
      <c r="I38" t="s">
        <v>48</v>
      </c>
      <c r="J38" s="1">
        <v>46201</v>
      </c>
      <c r="K38" s="1"/>
      <c r="L38" s="3">
        <v>36600</v>
      </c>
      <c r="M38" s="4">
        <v>0.05</v>
      </c>
      <c r="N38" s="4">
        <v>0.85</v>
      </c>
      <c r="P38">
        <v>5</v>
      </c>
      <c r="Q38" t="str">
        <f>IFERROR(VLOOKUP(E38,Lookups!$A$5:$B$24,2,FALSE),"Other")</f>
        <v>Paid Search</v>
      </c>
      <c r="R38" t="str">
        <f>IFERROR(VLOOKUP(F38,Lookups!$D$5:$F$10,2,FALSE),"Unknown Product")</f>
        <v>Marketing Automation</v>
      </c>
      <c r="S38" t="str">
        <f>IFERROR(VLOOKUP(F38,Lookups!$D$5:$F$10,3,FALSE),"Unknown")</f>
        <v>Marketing</v>
      </c>
      <c r="T38" t="str">
        <f t="shared" si="0"/>
        <v>Mid-Market</v>
      </c>
      <c r="U38" t="str">
        <f t="shared" si="1"/>
        <v>Open</v>
      </c>
      <c r="V38" s="3">
        <f t="shared" si="2"/>
        <v>0</v>
      </c>
      <c r="W38" s="3">
        <f t="shared" si="3"/>
        <v>31110</v>
      </c>
      <c r="X38" s="5" t="str">
        <f t="shared" si="4"/>
        <v/>
      </c>
      <c r="Y38" s="5">
        <f>IF(U38="Open",Lookups!$B$2-B38,X38)</f>
        <v>196</v>
      </c>
      <c r="Z38" t="str">
        <f t="shared" si="5"/>
        <v>STALE</v>
      </c>
      <c r="AA38" t="str">
        <f t="shared" si="6"/>
        <v>2026-02</v>
      </c>
      <c r="AB38" t="str">
        <f t="shared" si="7"/>
        <v/>
      </c>
      <c r="AC38" t="str">
        <f t="shared" si="8"/>
        <v>Q1-2026</v>
      </c>
      <c r="AD38" s="5">
        <f t="shared" si="9"/>
        <v>59</v>
      </c>
      <c r="AE38" t="str">
        <f t="shared" si="10"/>
        <v>Commit</v>
      </c>
    </row>
    <row r="39" spans="1:31">
      <c r="A39" t="s">
        <v>135</v>
      </c>
      <c r="B39" s="1">
        <v>46149</v>
      </c>
      <c r="C39" t="s">
        <v>86</v>
      </c>
      <c r="D39" t="s">
        <v>87</v>
      </c>
      <c r="E39" t="s">
        <v>119</v>
      </c>
      <c r="F39" t="s">
        <v>52</v>
      </c>
      <c r="G39" t="s">
        <v>72</v>
      </c>
      <c r="H39" t="s">
        <v>53</v>
      </c>
      <c r="I39" t="s">
        <v>61</v>
      </c>
      <c r="J39" s="1">
        <v>46210</v>
      </c>
      <c r="K39" s="1">
        <v>46210</v>
      </c>
      <c r="L39" s="3">
        <v>10800</v>
      </c>
      <c r="M39" s="4">
        <v>0</v>
      </c>
      <c r="N39" s="4">
        <v>0</v>
      </c>
      <c r="O39" t="s">
        <v>79</v>
      </c>
      <c r="P39">
        <v>5</v>
      </c>
      <c r="Q39" t="str">
        <f>IFERROR(VLOOKUP(E39,Lookups!$A$5:$B$24,2,FALSE),"Other")</f>
        <v>Referral</v>
      </c>
      <c r="R39" t="str">
        <f>IFERROR(VLOOKUP(F39,Lookups!$D$5:$F$10,2,FALSE),"Unknown Product")</f>
        <v>NexaCRM Core</v>
      </c>
      <c r="S39" t="str">
        <f>IFERROR(VLOOKUP(F39,Lookups!$D$5:$F$10,3,FALSE),"Unknown")</f>
        <v>CRM</v>
      </c>
      <c r="T39" t="str">
        <f t="shared" si="0"/>
        <v>SMB</v>
      </c>
      <c r="U39" t="str">
        <f t="shared" si="1"/>
        <v>Lost</v>
      </c>
      <c r="V39" s="3">
        <f t="shared" si="2"/>
        <v>0</v>
      </c>
      <c r="W39" s="3">
        <f t="shared" si="3"/>
        <v>0</v>
      </c>
      <c r="X39" s="5">
        <f t="shared" si="4"/>
        <v>61</v>
      </c>
      <c r="Y39" s="5">
        <f>IF(U39="Open",Lookups!$B$2-B39,X39)</f>
        <v>61</v>
      </c>
      <c r="Z39" t="str">
        <f t="shared" si="5"/>
        <v>OK</v>
      </c>
      <c r="AA39" t="str">
        <f t="shared" si="6"/>
        <v>2026-05</v>
      </c>
      <c r="AB39" t="str">
        <f t="shared" si="7"/>
        <v>2026-07</v>
      </c>
      <c r="AC39" t="str">
        <f t="shared" si="8"/>
        <v>Q2-2026</v>
      </c>
      <c r="AD39" s="5">
        <f t="shared" si="9"/>
        <v>62</v>
      </c>
      <c r="AE39" t="str">
        <f t="shared" si="10"/>
        <v>Lost</v>
      </c>
    </row>
    <row r="40" spans="1:31">
      <c r="A40" t="s">
        <v>136</v>
      </c>
      <c r="B40" s="1">
        <v>45962</v>
      </c>
      <c r="C40" t="s">
        <v>69</v>
      </c>
      <c r="D40" t="s">
        <v>57</v>
      </c>
      <c r="E40" t="s">
        <v>96</v>
      </c>
      <c r="F40" t="s">
        <v>52</v>
      </c>
      <c r="G40" t="s">
        <v>76</v>
      </c>
      <c r="H40" t="s">
        <v>47</v>
      </c>
      <c r="I40" t="s">
        <v>61</v>
      </c>
      <c r="J40" s="1">
        <v>45996</v>
      </c>
      <c r="K40" s="1">
        <v>45996</v>
      </c>
      <c r="L40" s="3">
        <v>4700</v>
      </c>
      <c r="M40" s="4">
        <v>0</v>
      </c>
      <c r="N40" s="4">
        <v>0</v>
      </c>
      <c r="O40" t="s">
        <v>79</v>
      </c>
      <c r="P40">
        <v>4</v>
      </c>
      <c r="Q40" t="str">
        <f>IFERROR(VLOOKUP(E40,Lookups!$A$5:$B$24,2,FALSE),"Other")</f>
        <v>LinkedIn</v>
      </c>
      <c r="R40" t="str">
        <f>IFERROR(VLOOKUP(F40,Lookups!$D$5:$F$10,2,FALSE),"Unknown Product")</f>
        <v>NexaCRM Core</v>
      </c>
      <c r="S40" t="str">
        <f>IFERROR(VLOOKUP(F40,Lookups!$D$5:$F$10,3,FALSE),"Unknown")</f>
        <v>CRM</v>
      </c>
      <c r="T40" t="str">
        <f t="shared" si="0"/>
        <v>SMB</v>
      </c>
      <c r="U40" t="str">
        <f t="shared" si="1"/>
        <v>Lost</v>
      </c>
      <c r="V40" s="3">
        <f t="shared" si="2"/>
        <v>0</v>
      </c>
      <c r="W40" s="3">
        <f t="shared" si="3"/>
        <v>0</v>
      </c>
      <c r="X40" s="5">
        <f t="shared" si="4"/>
        <v>34</v>
      </c>
      <c r="Y40" s="5">
        <f>IF(U40="Open",Lookups!$B$2-B40,X40)</f>
        <v>34</v>
      </c>
      <c r="Z40" t="str">
        <f t="shared" si="5"/>
        <v>OK</v>
      </c>
      <c r="AA40" t="str">
        <f t="shared" si="6"/>
        <v>2025-11</v>
      </c>
      <c r="AB40" t="str">
        <f t="shared" si="7"/>
        <v>2025-12</v>
      </c>
      <c r="AC40" t="str">
        <f t="shared" si="8"/>
        <v>Q4-2025</v>
      </c>
      <c r="AD40" s="5">
        <f t="shared" si="9"/>
        <v>43</v>
      </c>
      <c r="AE40" t="str">
        <f t="shared" si="10"/>
        <v>Lost</v>
      </c>
    </row>
    <row r="41" spans="1:31">
      <c r="A41" t="s">
        <v>137</v>
      </c>
      <c r="B41" s="1">
        <v>46152</v>
      </c>
      <c r="C41" t="s">
        <v>64</v>
      </c>
      <c r="D41" t="s">
        <v>57</v>
      </c>
      <c r="E41" t="s">
        <v>138</v>
      </c>
      <c r="F41" t="s">
        <v>52</v>
      </c>
      <c r="G41" t="s">
        <v>46</v>
      </c>
      <c r="H41" t="s">
        <v>47</v>
      </c>
      <c r="I41" t="s">
        <v>61</v>
      </c>
      <c r="J41" s="1">
        <v>46219</v>
      </c>
      <c r="K41" s="1">
        <v>46219</v>
      </c>
      <c r="L41" s="3">
        <v>4600</v>
      </c>
      <c r="M41" s="4">
        <v>0</v>
      </c>
      <c r="N41" s="4">
        <v>0</v>
      </c>
      <c r="O41" t="s">
        <v>81</v>
      </c>
      <c r="P41">
        <v>3</v>
      </c>
      <c r="Q41" t="str">
        <f>IFERROR(VLOOKUP(E41,Lookups!$A$5:$B$24,2,FALSE),"Other")</f>
        <v>Organic Search</v>
      </c>
      <c r="R41" t="str">
        <f>IFERROR(VLOOKUP(F41,Lookups!$D$5:$F$10,2,FALSE),"Unknown Product")</f>
        <v>NexaCRM Core</v>
      </c>
      <c r="S41" t="str">
        <f>IFERROR(VLOOKUP(F41,Lookups!$D$5:$F$10,3,FALSE),"Unknown")</f>
        <v>CRM</v>
      </c>
      <c r="T41" t="str">
        <f t="shared" si="0"/>
        <v>SMB</v>
      </c>
      <c r="U41" t="str">
        <f t="shared" si="1"/>
        <v>Lost</v>
      </c>
      <c r="V41" s="3">
        <f t="shared" si="2"/>
        <v>0</v>
      </c>
      <c r="W41" s="3">
        <f t="shared" si="3"/>
        <v>0</v>
      </c>
      <c r="X41" s="5">
        <f t="shared" si="4"/>
        <v>67</v>
      </c>
      <c r="Y41" s="5">
        <f>IF(U41="Open",Lookups!$B$2-B41,X41)</f>
        <v>67</v>
      </c>
      <c r="Z41" t="str">
        <f t="shared" si="5"/>
        <v>OK</v>
      </c>
      <c r="AA41" t="str">
        <f t="shared" si="6"/>
        <v>2026-05</v>
      </c>
      <c r="AB41" t="str">
        <f t="shared" si="7"/>
        <v>2026-07</v>
      </c>
      <c r="AC41" t="str">
        <f t="shared" si="8"/>
        <v>Q2-2026</v>
      </c>
      <c r="AD41" s="5">
        <f t="shared" si="9"/>
        <v>49</v>
      </c>
      <c r="AE41" t="str">
        <f t="shared" si="10"/>
        <v>Lost</v>
      </c>
    </row>
    <row r="42" spans="1:31">
      <c r="A42" t="s">
        <v>139</v>
      </c>
      <c r="B42" s="1">
        <v>45954</v>
      </c>
      <c r="C42" t="s">
        <v>90</v>
      </c>
      <c r="D42" t="s">
        <v>57</v>
      </c>
      <c r="E42" t="s">
        <v>98</v>
      </c>
      <c r="F42" t="s">
        <v>52</v>
      </c>
      <c r="G42" t="s">
        <v>60</v>
      </c>
      <c r="H42" t="s">
        <v>53</v>
      </c>
      <c r="I42" t="s">
        <v>77</v>
      </c>
      <c r="J42" s="1">
        <v>46016</v>
      </c>
      <c r="K42" s="1">
        <v>46016</v>
      </c>
      <c r="L42" s="3">
        <v>13200</v>
      </c>
      <c r="M42" s="4">
        <v>0.08</v>
      </c>
      <c r="N42" s="4">
        <v>1</v>
      </c>
      <c r="P42">
        <v>6</v>
      </c>
      <c r="Q42" t="str">
        <f>IFERROR(VLOOKUP(E42,Lookups!$A$5:$B$24,2,FALSE),"Other")</f>
        <v>Outbound</v>
      </c>
      <c r="R42" t="str">
        <f>IFERROR(VLOOKUP(F42,Lookups!$D$5:$F$10,2,FALSE),"Unknown Product")</f>
        <v>NexaCRM Core</v>
      </c>
      <c r="S42" t="str">
        <f>IFERROR(VLOOKUP(F42,Lookups!$D$5:$F$10,3,FALSE),"Unknown")</f>
        <v>CRM</v>
      </c>
      <c r="T42" t="str">
        <f t="shared" si="0"/>
        <v>SMB</v>
      </c>
      <c r="U42" t="str">
        <f t="shared" si="1"/>
        <v>Won</v>
      </c>
      <c r="V42" s="3">
        <f t="shared" si="2"/>
        <v>12144</v>
      </c>
      <c r="W42" s="3">
        <f t="shared" si="3"/>
        <v>0</v>
      </c>
      <c r="X42" s="5">
        <f t="shared" si="4"/>
        <v>62</v>
      </c>
      <c r="Y42" s="5">
        <f>IF(U42="Open",Lookups!$B$2-B42,X42)</f>
        <v>62</v>
      </c>
      <c r="Z42" t="str">
        <f t="shared" si="5"/>
        <v>OK</v>
      </c>
      <c r="AA42" t="str">
        <f t="shared" si="6"/>
        <v>2025-10</v>
      </c>
      <c r="AB42" t="str">
        <f t="shared" si="7"/>
        <v>2025-12</v>
      </c>
      <c r="AC42" t="str">
        <f t="shared" si="8"/>
        <v>Q4-2025</v>
      </c>
      <c r="AD42" s="5">
        <f t="shared" si="9"/>
        <v>51</v>
      </c>
      <c r="AE42" t="str">
        <f t="shared" si="10"/>
        <v>Won</v>
      </c>
    </row>
    <row r="43" spans="1:31">
      <c r="A43" t="s">
        <v>140</v>
      </c>
      <c r="B43" s="1">
        <v>46221</v>
      </c>
      <c r="C43" t="s">
        <v>42</v>
      </c>
      <c r="D43" t="s">
        <v>43</v>
      </c>
      <c r="E43" t="s">
        <v>83</v>
      </c>
      <c r="F43" t="s">
        <v>59</v>
      </c>
      <c r="G43" t="s">
        <v>60</v>
      </c>
      <c r="H43" t="s">
        <v>53</v>
      </c>
      <c r="I43" t="s">
        <v>105</v>
      </c>
      <c r="J43" s="1">
        <v>46252</v>
      </c>
      <c r="K43" s="1"/>
      <c r="L43" s="3">
        <v>38800</v>
      </c>
      <c r="M43" s="4">
        <v>0</v>
      </c>
      <c r="N43" s="4">
        <v>0.4</v>
      </c>
      <c r="P43">
        <v>3</v>
      </c>
      <c r="Q43" t="str">
        <f>IFERROR(VLOOKUP(E43,Lookups!$A$5:$B$24,2,FALSE),"Other")</f>
        <v>Organic Search</v>
      </c>
      <c r="R43" t="str">
        <f>IFERROR(VLOOKUP(F43,Lookups!$D$5:$F$10,2,FALSE),"Unknown Product")</f>
        <v>NexaCRM Pro</v>
      </c>
      <c r="S43" t="str">
        <f>IFERROR(VLOOKUP(F43,Lookups!$D$5:$F$10,3,FALSE),"Unknown")</f>
        <v>CRM</v>
      </c>
      <c r="T43" t="str">
        <f t="shared" si="0"/>
        <v>Mid-Market</v>
      </c>
      <c r="U43" t="str">
        <f t="shared" si="1"/>
        <v>Open</v>
      </c>
      <c r="V43" s="3">
        <f t="shared" si="2"/>
        <v>0</v>
      </c>
      <c r="W43" s="3">
        <f t="shared" si="3"/>
        <v>15520</v>
      </c>
      <c r="X43" s="5" t="str">
        <f t="shared" si="4"/>
        <v/>
      </c>
      <c r="Y43" s="5">
        <f>IF(U43="Open",Lookups!$B$2-B43,X43)</f>
        <v>45</v>
      </c>
      <c r="Z43" t="str">
        <f t="shared" si="5"/>
        <v>STALE</v>
      </c>
      <c r="AA43" t="str">
        <f t="shared" si="6"/>
        <v>2026-07</v>
      </c>
      <c r="AB43" t="str">
        <f t="shared" si="7"/>
        <v/>
      </c>
      <c r="AC43" t="str">
        <f t="shared" si="8"/>
        <v>Q3-2026</v>
      </c>
      <c r="AD43" s="5">
        <f t="shared" si="9"/>
        <v>65</v>
      </c>
      <c r="AE43" t="str">
        <f t="shared" si="10"/>
        <v>Pipeline</v>
      </c>
    </row>
    <row r="44" spans="1:31">
      <c r="A44" t="s">
        <v>141</v>
      </c>
      <c r="B44" s="1">
        <v>46129</v>
      </c>
      <c r="C44" t="s">
        <v>86</v>
      </c>
      <c r="D44" t="s">
        <v>87</v>
      </c>
      <c r="E44" t="s">
        <v>65</v>
      </c>
      <c r="F44" t="s">
        <v>59</v>
      </c>
      <c r="G44" t="s">
        <v>99</v>
      </c>
      <c r="H44" t="s">
        <v>47</v>
      </c>
      <c r="I44" t="s">
        <v>61</v>
      </c>
      <c r="J44" s="1">
        <v>46179</v>
      </c>
      <c r="K44" s="1">
        <v>46179</v>
      </c>
      <c r="L44" s="3">
        <v>24800</v>
      </c>
      <c r="M44" s="4">
        <v>0</v>
      </c>
      <c r="N44" s="4">
        <v>0</v>
      </c>
      <c r="O44" t="s">
        <v>116</v>
      </c>
      <c r="P44">
        <v>2</v>
      </c>
      <c r="Q44" t="str">
        <f>IFERROR(VLOOKUP(E44,Lookups!$A$5:$B$24,2,FALSE),"Other")</f>
        <v>Paid Search</v>
      </c>
      <c r="R44" t="str">
        <f>IFERROR(VLOOKUP(F44,Lookups!$D$5:$F$10,2,FALSE),"Unknown Product")</f>
        <v>NexaCRM Pro</v>
      </c>
      <c r="S44" t="str">
        <f>IFERROR(VLOOKUP(F44,Lookups!$D$5:$F$10,3,FALSE),"Unknown")</f>
        <v>CRM</v>
      </c>
      <c r="T44" t="str">
        <f t="shared" si="0"/>
        <v>Mid-Market</v>
      </c>
      <c r="U44" t="str">
        <f t="shared" si="1"/>
        <v>Lost</v>
      </c>
      <c r="V44" s="3">
        <f t="shared" si="2"/>
        <v>0</v>
      </c>
      <c r="W44" s="3">
        <f t="shared" si="3"/>
        <v>0</v>
      </c>
      <c r="X44" s="5">
        <f t="shared" si="4"/>
        <v>50</v>
      </c>
      <c r="Y44" s="5">
        <f>IF(U44="Open",Lookups!$B$2-B44,X44)</f>
        <v>50</v>
      </c>
      <c r="Z44" t="str">
        <f t="shared" si="5"/>
        <v>OK</v>
      </c>
      <c r="AA44" t="str">
        <f t="shared" si="6"/>
        <v>2026-04</v>
      </c>
      <c r="AB44" t="str">
        <f t="shared" si="7"/>
        <v>2026-06</v>
      </c>
      <c r="AC44" t="str">
        <f t="shared" si="8"/>
        <v>Q2-2026</v>
      </c>
      <c r="AD44" s="5">
        <f t="shared" si="9"/>
        <v>51</v>
      </c>
      <c r="AE44" t="str">
        <f t="shared" si="10"/>
        <v>Lost</v>
      </c>
    </row>
    <row r="45" spans="1:31">
      <c r="A45" t="s">
        <v>142</v>
      </c>
      <c r="B45" s="1">
        <v>46024</v>
      </c>
      <c r="C45" t="s">
        <v>64</v>
      </c>
      <c r="D45" t="s">
        <v>57</v>
      </c>
      <c r="E45" t="s">
        <v>51</v>
      </c>
      <c r="F45" t="s">
        <v>45</v>
      </c>
      <c r="G45" t="s">
        <v>76</v>
      </c>
      <c r="H45" t="s">
        <v>47</v>
      </c>
      <c r="I45" t="s">
        <v>61</v>
      </c>
      <c r="J45" s="1">
        <v>46080</v>
      </c>
      <c r="K45" s="1">
        <v>46080</v>
      </c>
      <c r="L45" s="3">
        <v>14900</v>
      </c>
      <c r="M45" s="4">
        <v>0</v>
      </c>
      <c r="N45" s="4">
        <v>0</v>
      </c>
      <c r="O45" t="s">
        <v>116</v>
      </c>
      <c r="P45">
        <v>5</v>
      </c>
      <c r="Q45" t="str">
        <f>IFERROR(VLOOKUP(E45,Lookups!$A$5:$B$24,2,FALSE),"Other")</f>
        <v>Paid Search</v>
      </c>
      <c r="R45" t="str">
        <f>IFERROR(VLOOKUP(F45,Lookups!$D$5:$F$10,2,FALSE),"Unknown Product")</f>
        <v>Service Cloud</v>
      </c>
      <c r="S45" t="str">
        <f>IFERROR(VLOOKUP(F45,Lookups!$D$5:$F$10,3,FALSE),"Unknown")</f>
        <v>Customer Service</v>
      </c>
      <c r="T45" t="str">
        <f t="shared" si="0"/>
        <v>SMB</v>
      </c>
      <c r="U45" t="str">
        <f t="shared" si="1"/>
        <v>Lost</v>
      </c>
      <c r="V45" s="3">
        <f t="shared" si="2"/>
        <v>0</v>
      </c>
      <c r="W45" s="3">
        <f t="shared" si="3"/>
        <v>0</v>
      </c>
      <c r="X45" s="5">
        <f t="shared" si="4"/>
        <v>56</v>
      </c>
      <c r="Y45" s="5">
        <f>IF(U45="Open",Lookups!$B$2-B45,X45)</f>
        <v>56</v>
      </c>
      <c r="Z45" t="str">
        <f t="shared" si="5"/>
        <v>OK</v>
      </c>
      <c r="AA45" t="str">
        <f t="shared" si="6"/>
        <v>2026-01</v>
      </c>
      <c r="AB45" t="str">
        <f t="shared" si="7"/>
        <v>2026-02</v>
      </c>
      <c r="AC45" t="str">
        <f t="shared" si="8"/>
        <v>Q1-2026</v>
      </c>
      <c r="AD45" s="5">
        <f t="shared" si="9"/>
        <v>43</v>
      </c>
      <c r="AE45" t="str">
        <f t="shared" si="10"/>
        <v>Lost</v>
      </c>
    </row>
    <row r="46" spans="1:31">
      <c r="A46" t="s">
        <v>143</v>
      </c>
      <c r="B46" s="1">
        <v>45957</v>
      </c>
      <c r="C46" t="s">
        <v>50</v>
      </c>
      <c r="D46" t="s">
        <v>43</v>
      </c>
      <c r="E46" t="s">
        <v>96</v>
      </c>
      <c r="F46" t="s">
        <v>52</v>
      </c>
      <c r="G46" t="s">
        <v>99</v>
      </c>
      <c r="H46" t="s">
        <v>47</v>
      </c>
      <c r="I46" t="s">
        <v>77</v>
      </c>
      <c r="J46" s="1">
        <v>45987</v>
      </c>
      <c r="K46" s="1">
        <v>45987</v>
      </c>
      <c r="L46" s="3">
        <v>8000</v>
      </c>
      <c r="M46" s="4">
        <v>0.08</v>
      </c>
      <c r="N46" s="4">
        <v>1</v>
      </c>
      <c r="P46">
        <v>6</v>
      </c>
      <c r="Q46" t="str">
        <f>IFERROR(VLOOKUP(E46,Lookups!$A$5:$B$24,2,FALSE),"Other")</f>
        <v>LinkedIn</v>
      </c>
      <c r="R46" t="str">
        <f>IFERROR(VLOOKUP(F46,Lookups!$D$5:$F$10,2,FALSE),"Unknown Product")</f>
        <v>NexaCRM Core</v>
      </c>
      <c r="S46" t="str">
        <f>IFERROR(VLOOKUP(F46,Lookups!$D$5:$F$10,3,FALSE),"Unknown")</f>
        <v>CRM</v>
      </c>
      <c r="T46" t="str">
        <f t="shared" si="0"/>
        <v>SMB</v>
      </c>
      <c r="U46" t="str">
        <f t="shared" si="1"/>
        <v>Won</v>
      </c>
      <c r="V46" s="3">
        <f t="shared" si="2"/>
        <v>7360</v>
      </c>
      <c r="W46" s="3">
        <f t="shared" si="3"/>
        <v>0</v>
      </c>
      <c r="X46" s="5">
        <f t="shared" si="4"/>
        <v>30</v>
      </c>
      <c r="Y46" s="5">
        <f>IF(U46="Open",Lookups!$B$2-B46,X46)</f>
        <v>30</v>
      </c>
      <c r="Z46" t="str">
        <f t="shared" si="5"/>
        <v>OK</v>
      </c>
      <c r="AA46" t="str">
        <f t="shared" si="6"/>
        <v>2025-10</v>
      </c>
      <c r="AB46" t="str">
        <f t="shared" si="7"/>
        <v>2025-11</v>
      </c>
      <c r="AC46" t="str">
        <f t="shared" si="8"/>
        <v>Q4-2025</v>
      </c>
      <c r="AD46" s="5">
        <f t="shared" si="9"/>
        <v>43</v>
      </c>
      <c r="AE46" t="str">
        <f t="shared" si="10"/>
        <v>Won</v>
      </c>
    </row>
    <row r="47" spans="1:31">
      <c r="A47" t="s">
        <v>144</v>
      </c>
      <c r="B47" s="1">
        <v>45698</v>
      </c>
      <c r="C47" t="s">
        <v>50</v>
      </c>
      <c r="D47" t="s">
        <v>43</v>
      </c>
      <c r="E47" t="s">
        <v>83</v>
      </c>
      <c r="F47" t="s">
        <v>67</v>
      </c>
      <c r="G47" t="s">
        <v>112</v>
      </c>
      <c r="H47" t="s">
        <v>47</v>
      </c>
      <c r="I47" t="s">
        <v>61</v>
      </c>
      <c r="J47" s="1">
        <v>45719</v>
      </c>
      <c r="K47" s="1">
        <v>45719</v>
      </c>
      <c r="L47" s="3">
        <v>39100</v>
      </c>
      <c r="M47" s="4">
        <v>0</v>
      </c>
      <c r="N47" s="4">
        <v>0</v>
      </c>
      <c r="O47" t="s">
        <v>79</v>
      </c>
      <c r="P47">
        <v>3</v>
      </c>
      <c r="Q47" t="str">
        <f>IFERROR(VLOOKUP(E47,Lookups!$A$5:$B$24,2,FALSE),"Other")</f>
        <v>Organic Search</v>
      </c>
      <c r="R47" t="str">
        <f>IFERROR(VLOOKUP(F47,Lookups!$D$5:$F$10,2,FALSE),"Unknown Product")</f>
        <v>Revenue Operations Suite</v>
      </c>
      <c r="S47" t="str">
        <f>IFERROR(VLOOKUP(F47,Lookups!$D$5:$F$10,3,FALSE),"Unknown")</f>
        <v>Revenue Ops</v>
      </c>
      <c r="T47" t="str">
        <f t="shared" si="0"/>
        <v>Mid-Market</v>
      </c>
      <c r="U47" t="str">
        <f t="shared" si="1"/>
        <v>Lost</v>
      </c>
      <c r="V47" s="3">
        <f t="shared" si="2"/>
        <v>0</v>
      </c>
      <c r="W47" s="3">
        <f t="shared" si="3"/>
        <v>0</v>
      </c>
      <c r="X47" s="5">
        <f t="shared" si="4"/>
        <v>21</v>
      </c>
      <c r="Y47" s="5">
        <f>IF(U47="Open",Lookups!$B$2-B47,X47)</f>
        <v>21</v>
      </c>
      <c r="Z47" t="str">
        <f t="shared" si="5"/>
        <v>OK</v>
      </c>
      <c r="AA47" t="str">
        <f t="shared" si="6"/>
        <v>2025-02</v>
      </c>
      <c r="AB47" t="str">
        <f t="shared" si="7"/>
        <v>2025-03</v>
      </c>
      <c r="AC47" t="str">
        <f t="shared" si="8"/>
        <v>Q1-2025</v>
      </c>
      <c r="AD47" s="5">
        <f t="shared" si="9"/>
        <v>62</v>
      </c>
      <c r="AE47" t="str">
        <f t="shared" si="10"/>
        <v>Lost</v>
      </c>
    </row>
    <row r="48" spans="1:31">
      <c r="A48" t="s">
        <v>145</v>
      </c>
      <c r="B48" s="1">
        <v>46036</v>
      </c>
      <c r="C48" t="s">
        <v>69</v>
      </c>
      <c r="D48" t="s">
        <v>57</v>
      </c>
      <c r="E48" t="s">
        <v>146</v>
      </c>
      <c r="F48" t="s">
        <v>52</v>
      </c>
      <c r="G48" t="s">
        <v>72</v>
      </c>
      <c r="H48" t="s">
        <v>53</v>
      </c>
      <c r="I48" t="s">
        <v>77</v>
      </c>
      <c r="J48" s="1">
        <v>46081</v>
      </c>
      <c r="K48" s="1">
        <v>46081</v>
      </c>
      <c r="L48" s="3">
        <v>18000</v>
      </c>
      <c r="M48" s="4">
        <v>0.12</v>
      </c>
      <c r="N48" s="4">
        <v>1</v>
      </c>
      <c r="P48">
        <v>6</v>
      </c>
      <c r="Q48" t="str">
        <f>IFERROR(VLOOKUP(E48,Lookups!$A$5:$B$24,2,FALSE),"Other")</f>
        <v>LinkedIn</v>
      </c>
      <c r="R48" t="str">
        <f>IFERROR(VLOOKUP(F48,Lookups!$D$5:$F$10,2,FALSE),"Unknown Product")</f>
        <v>NexaCRM Core</v>
      </c>
      <c r="S48" t="str">
        <f>IFERROR(VLOOKUP(F48,Lookups!$D$5:$F$10,3,FALSE),"Unknown")</f>
        <v>CRM</v>
      </c>
      <c r="T48" t="str">
        <f t="shared" si="0"/>
        <v>SMB</v>
      </c>
      <c r="U48" t="str">
        <f t="shared" si="1"/>
        <v>Won</v>
      </c>
      <c r="V48" s="3">
        <f t="shared" si="2"/>
        <v>15840</v>
      </c>
      <c r="W48" s="3">
        <f t="shared" si="3"/>
        <v>0</v>
      </c>
      <c r="X48" s="5">
        <f t="shared" si="4"/>
        <v>45</v>
      </c>
      <c r="Y48" s="5">
        <f>IF(U48="Open",Lookups!$B$2-B48,X48)</f>
        <v>45</v>
      </c>
      <c r="Z48" t="str">
        <f t="shared" si="5"/>
        <v>OK</v>
      </c>
      <c r="AA48" t="str">
        <f t="shared" si="6"/>
        <v>2026-01</v>
      </c>
      <c r="AB48" t="str">
        <f t="shared" si="7"/>
        <v>2026-02</v>
      </c>
      <c r="AC48" t="str">
        <f t="shared" si="8"/>
        <v>Q1-2026</v>
      </c>
      <c r="AD48" s="5">
        <f t="shared" si="9"/>
        <v>51</v>
      </c>
      <c r="AE48" t="str">
        <f t="shared" si="10"/>
        <v>Won</v>
      </c>
    </row>
    <row r="49" spans="1:31">
      <c r="A49" t="s">
        <v>147</v>
      </c>
      <c r="B49" s="1">
        <v>45857</v>
      </c>
      <c r="C49" t="s">
        <v>148</v>
      </c>
      <c r="D49" t="s">
        <v>43</v>
      </c>
      <c r="E49" t="s">
        <v>146</v>
      </c>
      <c r="F49" t="s">
        <v>52</v>
      </c>
      <c r="G49" t="s">
        <v>94</v>
      </c>
      <c r="H49" t="s">
        <v>47</v>
      </c>
      <c r="I49" t="s">
        <v>61</v>
      </c>
      <c r="J49" s="1">
        <v>45915</v>
      </c>
      <c r="K49" s="1">
        <v>45915</v>
      </c>
      <c r="L49" s="3">
        <v>8200</v>
      </c>
      <c r="M49" s="4">
        <v>0</v>
      </c>
      <c r="N49" s="4">
        <v>0</v>
      </c>
      <c r="O49" t="s">
        <v>81</v>
      </c>
      <c r="P49">
        <v>2</v>
      </c>
      <c r="Q49" t="str">
        <f>IFERROR(VLOOKUP(E49,Lookups!$A$5:$B$24,2,FALSE),"Other")</f>
        <v>LinkedIn</v>
      </c>
      <c r="R49" t="str">
        <f>IFERROR(VLOOKUP(F49,Lookups!$D$5:$F$10,2,FALSE),"Unknown Product")</f>
        <v>NexaCRM Core</v>
      </c>
      <c r="S49" t="str">
        <f>IFERROR(VLOOKUP(F49,Lookups!$D$5:$F$10,3,FALSE),"Unknown")</f>
        <v>CRM</v>
      </c>
      <c r="T49" t="str">
        <f t="shared" si="0"/>
        <v>SMB</v>
      </c>
      <c r="U49" t="str">
        <f t="shared" si="1"/>
        <v>Lost</v>
      </c>
      <c r="V49" s="3">
        <f t="shared" si="2"/>
        <v>0</v>
      </c>
      <c r="W49" s="3">
        <f t="shared" si="3"/>
        <v>0</v>
      </c>
      <c r="X49" s="5">
        <f t="shared" si="4"/>
        <v>58</v>
      </c>
      <c r="Y49" s="5">
        <f>IF(U49="Open",Lookups!$B$2-B49,X49)</f>
        <v>58</v>
      </c>
      <c r="Z49" t="str">
        <f t="shared" si="5"/>
        <v>OK</v>
      </c>
      <c r="AA49" t="str">
        <f t="shared" si="6"/>
        <v>2025-07</v>
      </c>
      <c r="AB49" t="str">
        <f t="shared" si="7"/>
        <v>2025-09</v>
      </c>
      <c r="AC49" t="str">
        <f t="shared" si="8"/>
        <v>Q3-2025</v>
      </c>
      <c r="AD49" s="5">
        <f t="shared" si="9"/>
        <v>43</v>
      </c>
      <c r="AE49" t="str">
        <f t="shared" si="10"/>
        <v>Lost</v>
      </c>
    </row>
    <row r="50" spans="1:31">
      <c r="A50" t="s">
        <v>149</v>
      </c>
      <c r="B50" s="1">
        <v>45681</v>
      </c>
      <c r="C50" t="s">
        <v>64</v>
      </c>
      <c r="D50" t="s">
        <v>57</v>
      </c>
      <c r="E50" t="s">
        <v>58</v>
      </c>
      <c r="F50" t="s">
        <v>71</v>
      </c>
      <c r="G50" t="s">
        <v>76</v>
      </c>
      <c r="H50" t="s">
        <v>47</v>
      </c>
      <c r="I50" t="s">
        <v>61</v>
      </c>
      <c r="J50" s="1">
        <v>45743</v>
      </c>
      <c r="K50" s="1">
        <v>45743</v>
      </c>
      <c r="L50" s="3">
        <v>11000</v>
      </c>
      <c r="M50" s="4">
        <v>0</v>
      </c>
      <c r="N50" s="4">
        <v>0</v>
      </c>
      <c r="O50" t="s">
        <v>116</v>
      </c>
      <c r="P50">
        <v>3</v>
      </c>
      <c r="Q50" t="str">
        <f>IFERROR(VLOOKUP(E50,Lookups!$A$5:$B$24,2,FALSE),"Other")</f>
        <v>Email</v>
      </c>
      <c r="R50" t="str">
        <f>IFERROR(VLOOKUP(F50,Lookups!$D$5:$F$10,2,FALSE),"Unknown Product")</f>
        <v>Marketing Automation</v>
      </c>
      <c r="S50" t="str">
        <f>IFERROR(VLOOKUP(F50,Lookups!$D$5:$F$10,3,FALSE),"Unknown")</f>
        <v>Marketing</v>
      </c>
      <c r="T50" t="str">
        <f t="shared" si="0"/>
        <v>SMB</v>
      </c>
      <c r="U50" t="str">
        <f t="shared" si="1"/>
        <v>Lost</v>
      </c>
      <c r="V50" s="3">
        <f t="shared" si="2"/>
        <v>0</v>
      </c>
      <c r="W50" s="3">
        <f t="shared" si="3"/>
        <v>0</v>
      </c>
      <c r="X50" s="5">
        <f t="shared" si="4"/>
        <v>62</v>
      </c>
      <c r="Y50" s="5">
        <f>IF(U50="Open",Lookups!$B$2-B50,X50)</f>
        <v>62</v>
      </c>
      <c r="Z50" t="str">
        <f t="shared" si="5"/>
        <v>OK</v>
      </c>
      <c r="AA50" t="str">
        <f t="shared" si="6"/>
        <v>2025-01</v>
      </c>
      <c r="AB50" t="str">
        <f t="shared" si="7"/>
        <v>2025-03</v>
      </c>
      <c r="AC50" t="str">
        <f t="shared" si="8"/>
        <v>Q1-2025</v>
      </c>
      <c r="AD50" s="5">
        <f t="shared" si="9"/>
        <v>47</v>
      </c>
      <c r="AE50" t="str">
        <f t="shared" si="10"/>
        <v>Lost</v>
      </c>
    </row>
    <row r="51" spans="1:31">
      <c r="A51" t="s">
        <v>150</v>
      </c>
      <c r="B51" s="1">
        <v>46160</v>
      </c>
      <c r="C51" t="s">
        <v>42</v>
      </c>
      <c r="D51" t="s">
        <v>43</v>
      </c>
      <c r="E51" t="s">
        <v>96</v>
      </c>
      <c r="F51" t="s">
        <v>133</v>
      </c>
      <c r="G51" t="s">
        <v>60</v>
      </c>
      <c r="H51" t="s">
        <v>53</v>
      </c>
      <c r="I51" t="s">
        <v>105</v>
      </c>
      <c r="J51" s="1">
        <v>46206</v>
      </c>
      <c r="K51" s="1"/>
      <c r="L51" s="3">
        <v>48300</v>
      </c>
      <c r="M51" s="4">
        <v>0</v>
      </c>
      <c r="N51" s="4">
        <v>0.4</v>
      </c>
      <c r="P51">
        <v>3</v>
      </c>
      <c r="Q51" t="str">
        <f>IFERROR(VLOOKUP(E51,Lookups!$A$5:$B$24,2,FALSE),"Other")</f>
        <v>LinkedIn</v>
      </c>
      <c r="R51" t="str">
        <f>IFERROR(VLOOKUP(F51,Lookups!$D$5:$F$10,2,FALSE),"Unknown Product")</f>
        <v>Analytics Plus</v>
      </c>
      <c r="S51" t="str">
        <f>IFERROR(VLOOKUP(F51,Lookups!$D$5:$F$10,3,FALSE),"Unknown")</f>
        <v>Analytics</v>
      </c>
      <c r="T51" t="str">
        <f t="shared" si="0"/>
        <v>Mid-Market</v>
      </c>
      <c r="U51" t="str">
        <f t="shared" si="1"/>
        <v>Open</v>
      </c>
      <c r="V51" s="3">
        <f t="shared" si="2"/>
        <v>0</v>
      </c>
      <c r="W51" s="3">
        <f t="shared" si="3"/>
        <v>19320</v>
      </c>
      <c r="X51" s="5" t="str">
        <f t="shared" si="4"/>
        <v/>
      </c>
      <c r="Y51" s="5">
        <f>IF(U51="Open",Lookups!$B$2-B51,X51)</f>
        <v>106</v>
      </c>
      <c r="Z51" t="str">
        <f t="shared" si="5"/>
        <v>STALE</v>
      </c>
      <c r="AA51" t="str">
        <f t="shared" si="6"/>
        <v>2026-05</v>
      </c>
      <c r="AB51" t="str">
        <f t="shared" si="7"/>
        <v/>
      </c>
      <c r="AC51" t="str">
        <f t="shared" si="8"/>
        <v>Q2-2026</v>
      </c>
      <c r="AD51" s="5">
        <f t="shared" si="9"/>
        <v>59</v>
      </c>
      <c r="AE51" t="str">
        <f t="shared" si="10"/>
        <v>Pipeline</v>
      </c>
    </row>
    <row r="52" spans="1:31">
      <c r="A52" t="s">
        <v>151</v>
      </c>
      <c r="B52" s="1">
        <v>45706</v>
      </c>
      <c r="C52" t="s">
        <v>56</v>
      </c>
      <c r="D52" t="s">
        <v>57</v>
      </c>
      <c r="E52" t="s">
        <v>51</v>
      </c>
      <c r="F52" t="s">
        <v>71</v>
      </c>
      <c r="G52" t="s">
        <v>112</v>
      </c>
      <c r="H52" t="s">
        <v>47</v>
      </c>
      <c r="I52" t="s">
        <v>77</v>
      </c>
      <c r="J52" s="1">
        <v>45761</v>
      </c>
      <c r="K52" s="1">
        <v>45761</v>
      </c>
      <c r="L52" s="3">
        <v>13900</v>
      </c>
      <c r="M52" s="4">
        <v>0.1</v>
      </c>
      <c r="N52" s="4">
        <v>1</v>
      </c>
      <c r="P52">
        <v>6</v>
      </c>
      <c r="Q52" t="str">
        <f>IFERROR(VLOOKUP(E52,Lookups!$A$5:$B$24,2,FALSE),"Other")</f>
        <v>Paid Search</v>
      </c>
      <c r="R52" t="str">
        <f>IFERROR(VLOOKUP(F52,Lookups!$D$5:$F$10,2,FALSE),"Unknown Product")</f>
        <v>Marketing Automation</v>
      </c>
      <c r="S52" t="str">
        <f>IFERROR(VLOOKUP(F52,Lookups!$D$5:$F$10,3,FALSE),"Unknown")</f>
        <v>Marketing</v>
      </c>
      <c r="T52" t="str">
        <f t="shared" si="0"/>
        <v>SMB</v>
      </c>
      <c r="U52" t="str">
        <f t="shared" si="1"/>
        <v>Won</v>
      </c>
      <c r="V52" s="3">
        <f t="shared" si="2"/>
        <v>12510</v>
      </c>
      <c r="W52" s="3">
        <f t="shared" si="3"/>
        <v>0</v>
      </c>
      <c r="X52" s="5">
        <f t="shared" si="4"/>
        <v>55</v>
      </c>
      <c r="Y52" s="5">
        <f>IF(U52="Open",Lookups!$B$2-B52,X52)</f>
        <v>55</v>
      </c>
      <c r="Z52" t="str">
        <f t="shared" si="5"/>
        <v>OK</v>
      </c>
      <c r="AA52" t="str">
        <f t="shared" si="6"/>
        <v>2025-02</v>
      </c>
      <c r="AB52" t="str">
        <f t="shared" si="7"/>
        <v>2025-04</v>
      </c>
      <c r="AC52" t="str">
        <f t="shared" si="8"/>
        <v>Q1-2025</v>
      </c>
      <c r="AD52" s="5">
        <f t="shared" si="9"/>
        <v>48</v>
      </c>
      <c r="AE52" t="str">
        <f t="shared" si="10"/>
        <v>Won</v>
      </c>
    </row>
    <row r="53" spans="1:31">
      <c r="A53" t="s">
        <v>152</v>
      </c>
      <c r="B53" s="1">
        <v>45701</v>
      </c>
      <c r="C53" t="s">
        <v>69</v>
      </c>
      <c r="D53" t="s">
        <v>57</v>
      </c>
      <c r="E53" t="s">
        <v>115</v>
      </c>
      <c r="F53" t="s">
        <v>71</v>
      </c>
      <c r="G53" t="s">
        <v>99</v>
      </c>
      <c r="H53" t="s">
        <v>47</v>
      </c>
      <c r="I53" t="s">
        <v>61</v>
      </c>
      <c r="J53" s="1">
        <v>45756</v>
      </c>
      <c r="K53" s="1">
        <v>45756</v>
      </c>
      <c r="L53" s="3">
        <v>12400</v>
      </c>
      <c r="M53" s="4">
        <v>0</v>
      </c>
      <c r="N53" s="4">
        <v>0</v>
      </c>
      <c r="O53" t="s">
        <v>62</v>
      </c>
      <c r="P53">
        <v>3</v>
      </c>
      <c r="Q53" t="str">
        <f>IFERROR(VLOOKUP(E53,Lookups!$A$5:$B$24,2,FALSE),"Other")</f>
        <v>Outbound</v>
      </c>
      <c r="R53" t="str">
        <f>IFERROR(VLOOKUP(F53,Lookups!$D$5:$F$10,2,FALSE),"Unknown Product")</f>
        <v>Marketing Automation</v>
      </c>
      <c r="S53" t="str">
        <f>IFERROR(VLOOKUP(F53,Lookups!$D$5:$F$10,3,FALSE),"Unknown")</f>
        <v>Marketing</v>
      </c>
      <c r="T53" t="str">
        <f t="shared" si="0"/>
        <v>SMB</v>
      </c>
      <c r="U53" t="str">
        <f t="shared" si="1"/>
        <v>Lost</v>
      </c>
      <c r="V53" s="3">
        <f t="shared" si="2"/>
        <v>0</v>
      </c>
      <c r="W53" s="3">
        <f t="shared" si="3"/>
        <v>0</v>
      </c>
      <c r="X53" s="5">
        <f t="shared" si="4"/>
        <v>55</v>
      </c>
      <c r="Y53" s="5">
        <f>IF(U53="Open",Lookups!$B$2-B53,X53)</f>
        <v>55</v>
      </c>
      <c r="Z53" t="str">
        <f t="shared" si="5"/>
        <v>OK</v>
      </c>
      <c r="AA53" t="str">
        <f t="shared" si="6"/>
        <v>2025-02</v>
      </c>
      <c r="AB53" t="str">
        <f t="shared" si="7"/>
        <v>2025-04</v>
      </c>
      <c r="AC53" t="str">
        <f t="shared" si="8"/>
        <v>Q1-2025</v>
      </c>
      <c r="AD53" s="5">
        <f t="shared" si="9"/>
        <v>43</v>
      </c>
      <c r="AE53" t="str">
        <f t="shared" si="10"/>
        <v>Lost</v>
      </c>
    </row>
    <row r="54" spans="1:31">
      <c r="A54" t="s">
        <v>153</v>
      </c>
      <c r="B54" s="1">
        <v>46055</v>
      </c>
      <c r="C54" t="s">
        <v>69</v>
      </c>
      <c r="D54" t="s">
        <v>57</v>
      </c>
      <c r="E54" t="s">
        <v>138</v>
      </c>
      <c r="F54" t="s">
        <v>59</v>
      </c>
      <c r="G54" t="s">
        <v>112</v>
      </c>
      <c r="H54" t="s">
        <v>47</v>
      </c>
      <c r="I54" t="s">
        <v>77</v>
      </c>
      <c r="J54" s="1">
        <v>46173</v>
      </c>
      <c r="K54" s="1">
        <v>46173</v>
      </c>
      <c r="L54" s="3">
        <v>15500</v>
      </c>
      <c r="M54" s="4">
        <v>0.1</v>
      </c>
      <c r="N54" s="4">
        <v>1</v>
      </c>
      <c r="P54">
        <v>6</v>
      </c>
      <c r="Q54" t="str">
        <f>IFERROR(VLOOKUP(E54,Lookups!$A$5:$B$24,2,FALSE),"Other")</f>
        <v>Organic Search</v>
      </c>
      <c r="R54" t="str">
        <f>IFERROR(VLOOKUP(F54,Lookups!$D$5:$F$10,2,FALSE),"Unknown Product")</f>
        <v>NexaCRM Pro</v>
      </c>
      <c r="S54" t="str">
        <f>IFERROR(VLOOKUP(F54,Lookups!$D$5:$F$10,3,FALSE),"Unknown")</f>
        <v>CRM</v>
      </c>
      <c r="T54" t="str">
        <f t="shared" si="0"/>
        <v>SMB</v>
      </c>
      <c r="U54" t="str">
        <f t="shared" si="1"/>
        <v>Won</v>
      </c>
      <c r="V54" s="3">
        <f t="shared" si="2"/>
        <v>13950</v>
      </c>
      <c r="W54" s="3">
        <f t="shared" si="3"/>
        <v>0</v>
      </c>
      <c r="X54" s="5">
        <f t="shared" si="4"/>
        <v>118</v>
      </c>
      <c r="Y54" s="5">
        <f>IF(U54="Open",Lookups!$B$2-B54,X54)</f>
        <v>118</v>
      </c>
      <c r="Z54" t="str">
        <f t="shared" si="5"/>
        <v>OK</v>
      </c>
      <c r="AA54" t="str">
        <f t="shared" si="6"/>
        <v>2026-02</v>
      </c>
      <c r="AB54" t="str">
        <f t="shared" si="7"/>
        <v>2026-05</v>
      </c>
      <c r="AC54" t="str">
        <f t="shared" si="8"/>
        <v>Q1-2026</v>
      </c>
      <c r="AD54" s="5">
        <f t="shared" si="9"/>
        <v>54</v>
      </c>
      <c r="AE54" t="str">
        <f t="shared" si="10"/>
        <v>Won</v>
      </c>
    </row>
    <row r="55" spans="1:31">
      <c r="A55" t="s">
        <v>154</v>
      </c>
      <c r="B55" s="1">
        <v>46149</v>
      </c>
      <c r="C55" t="s">
        <v>64</v>
      </c>
      <c r="D55" t="s">
        <v>57</v>
      </c>
      <c r="E55" t="s">
        <v>70</v>
      </c>
      <c r="F55" t="s">
        <v>59</v>
      </c>
      <c r="G55" t="s">
        <v>60</v>
      </c>
      <c r="H55" t="s">
        <v>47</v>
      </c>
      <c r="I55" t="s">
        <v>105</v>
      </c>
      <c r="J55" s="1">
        <v>46235</v>
      </c>
      <c r="K55" s="1"/>
      <c r="L55" s="3">
        <v>20200</v>
      </c>
      <c r="M55" s="4">
        <v>0</v>
      </c>
      <c r="N55" s="4">
        <v>0.4</v>
      </c>
      <c r="P55">
        <v>3</v>
      </c>
      <c r="Q55" t="str">
        <f>IFERROR(VLOOKUP(E55,Lookups!$A$5:$B$24,2,FALSE),"Other")</f>
        <v>LinkedIn</v>
      </c>
      <c r="R55" t="str">
        <f>IFERROR(VLOOKUP(F55,Lookups!$D$5:$F$10,2,FALSE),"Unknown Product")</f>
        <v>NexaCRM Pro</v>
      </c>
      <c r="S55" t="str">
        <f>IFERROR(VLOOKUP(F55,Lookups!$D$5:$F$10,3,FALSE),"Unknown")</f>
        <v>CRM</v>
      </c>
      <c r="T55" t="str">
        <f t="shared" si="0"/>
        <v>Mid-Market</v>
      </c>
      <c r="U55" t="str">
        <f t="shared" si="1"/>
        <v>Open</v>
      </c>
      <c r="V55" s="3">
        <f t="shared" si="2"/>
        <v>0</v>
      </c>
      <c r="W55" s="3">
        <f t="shared" si="3"/>
        <v>8080</v>
      </c>
      <c r="X55" s="5" t="str">
        <f t="shared" si="4"/>
        <v/>
      </c>
      <c r="Y55" s="5">
        <f>IF(U55="Open",Lookups!$B$2-B55,X55)</f>
        <v>117</v>
      </c>
      <c r="Z55" t="str">
        <f t="shared" si="5"/>
        <v>STALE</v>
      </c>
      <c r="AA55" t="str">
        <f t="shared" si="6"/>
        <v>2026-05</v>
      </c>
      <c r="AB55" t="str">
        <f t="shared" si="7"/>
        <v/>
      </c>
      <c r="AC55" t="str">
        <f t="shared" si="8"/>
        <v>Q2-2026</v>
      </c>
      <c r="AD55" s="5">
        <f t="shared" si="9"/>
        <v>51</v>
      </c>
      <c r="AE55" t="str">
        <f t="shared" si="10"/>
        <v>Pipeline</v>
      </c>
    </row>
    <row r="56" spans="1:31">
      <c r="A56" t="s">
        <v>155</v>
      </c>
      <c r="B56" s="1">
        <v>45899</v>
      </c>
      <c r="C56" t="s">
        <v>90</v>
      </c>
      <c r="D56" t="s">
        <v>57</v>
      </c>
      <c r="E56" t="s">
        <v>138</v>
      </c>
      <c r="F56" t="s">
        <v>45</v>
      </c>
      <c r="G56" t="s">
        <v>112</v>
      </c>
      <c r="H56" t="s">
        <v>84</v>
      </c>
      <c r="I56" t="s">
        <v>48</v>
      </c>
      <c r="J56" s="1">
        <v>46162</v>
      </c>
      <c r="K56" s="1"/>
      <c r="L56" s="3">
        <v>65000</v>
      </c>
      <c r="M56" s="4">
        <v>0</v>
      </c>
      <c r="N56" s="4">
        <v>0.85</v>
      </c>
      <c r="P56">
        <v>5</v>
      </c>
      <c r="Q56" t="str">
        <f>IFERROR(VLOOKUP(E56,Lookups!$A$5:$B$24,2,FALSE),"Other")</f>
        <v>Organic Search</v>
      </c>
      <c r="R56" t="str">
        <f>IFERROR(VLOOKUP(F56,Lookups!$D$5:$F$10,2,FALSE),"Unknown Product")</f>
        <v>Service Cloud</v>
      </c>
      <c r="S56" t="str">
        <f>IFERROR(VLOOKUP(F56,Lookups!$D$5:$F$10,3,FALSE),"Unknown")</f>
        <v>Customer Service</v>
      </c>
      <c r="T56" t="str">
        <f t="shared" si="0"/>
        <v>Enterprise</v>
      </c>
      <c r="U56" t="str">
        <f t="shared" si="1"/>
        <v>Open</v>
      </c>
      <c r="V56" s="3">
        <f t="shared" si="2"/>
        <v>0</v>
      </c>
      <c r="W56" s="3">
        <f t="shared" si="3"/>
        <v>55250</v>
      </c>
      <c r="X56" s="5" t="str">
        <f t="shared" si="4"/>
        <v/>
      </c>
      <c r="Y56" s="5">
        <f>IF(U56="Open",Lookups!$B$2-B56,X56)</f>
        <v>367</v>
      </c>
      <c r="Z56" t="str">
        <f t="shared" si="5"/>
        <v>STALE</v>
      </c>
      <c r="AA56" t="str">
        <f t="shared" si="6"/>
        <v>2025-08</v>
      </c>
      <c r="AB56" t="str">
        <f t="shared" si="7"/>
        <v/>
      </c>
      <c r="AC56" t="str">
        <f t="shared" si="8"/>
        <v>Q3-2025</v>
      </c>
      <c r="AD56" s="5">
        <f t="shared" si="9"/>
        <v>85</v>
      </c>
      <c r="AE56" t="str">
        <f t="shared" si="10"/>
        <v>Commit</v>
      </c>
    </row>
    <row r="57" spans="1:31">
      <c r="A57" t="s">
        <v>156</v>
      </c>
      <c r="B57" s="1">
        <v>46077</v>
      </c>
      <c r="C57" t="s">
        <v>42</v>
      </c>
      <c r="D57" t="s">
        <v>43</v>
      </c>
      <c r="E57" t="s">
        <v>70</v>
      </c>
      <c r="F57" t="s">
        <v>67</v>
      </c>
      <c r="G57" t="s">
        <v>76</v>
      </c>
      <c r="H57" t="s">
        <v>84</v>
      </c>
      <c r="I57" t="s">
        <v>61</v>
      </c>
      <c r="J57" s="1">
        <v>46138</v>
      </c>
      <c r="K57" s="1">
        <v>46138</v>
      </c>
      <c r="L57" s="3">
        <v>119000</v>
      </c>
      <c r="M57" s="4">
        <v>0</v>
      </c>
      <c r="N57" s="4">
        <v>0</v>
      </c>
      <c r="O57" t="s">
        <v>110</v>
      </c>
      <c r="P57">
        <v>4</v>
      </c>
      <c r="Q57" t="str">
        <f>IFERROR(VLOOKUP(E57,Lookups!$A$5:$B$24,2,FALSE),"Other")</f>
        <v>LinkedIn</v>
      </c>
      <c r="R57" t="str">
        <f>IFERROR(VLOOKUP(F57,Lookups!$D$5:$F$10,2,FALSE),"Unknown Product")</f>
        <v>Revenue Operations Suite</v>
      </c>
      <c r="S57" t="str">
        <f>IFERROR(VLOOKUP(F57,Lookups!$D$5:$F$10,3,FALSE),"Unknown")</f>
        <v>Revenue Ops</v>
      </c>
      <c r="T57" t="str">
        <f t="shared" si="0"/>
        <v>Enterprise</v>
      </c>
      <c r="U57" t="str">
        <f t="shared" si="1"/>
        <v>Lost</v>
      </c>
      <c r="V57" s="3">
        <f t="shared" si="2"/>
        <v>0</v>
      </c>
      <c r="W57" s="3">
        <f t="shared" si="3"/>
        <v>0</v>
      </c>
      <c r="X57" s="5">
        <f t="shared" si="4"/>
        <v>61</v>
      </c>
      <c r="Y57" s="5">
        <f>IF(U57="Open",Lookups!$B$2-B57,X57)</f>
        <v>61</v>
      </c>
      <c r="Z57" t="str">
        <f t="shared" si="5"/>
        <v>OK</v>
      </c>
      <c r="AA57" t="str">
        <f t="shared" si="6"/>
        <v>2026-02</v>
      </c>
      <c r="AB57" t="str">
        <f t="shared" si="7"/>
        <v>2026-04</v>
      </c>
      <c r="AC57" t="str">
        <f t="shared" si="8"/>
        <v>Q1-2026</v>
      </c>
      <c r="AD57" s="5">
        <f t="shared" si="9"/>
        <v>74</v>
      </c>
      <c r="AE57" t="str">
        <f t="shared" si="10"/>
        <v>Lost</v>
      </c>
    </row>
    <row r="58" spans="1:31">
      <c r="A58" t="s">
        <v>157</v>
      </c>
      <c r="B58" s="1">
        <v>45711</v>
      </c>
      <c r="C58" t="s">
        <v>64</v>
      </c>
      <c r="D58" t="s">
        <v>57</v>
      </c>
      <c r="E58" t="s">
        <v>138</v>
      </c>
      <c r="F58" t="s">
        <v>52</v>
      </c>
      <c r="G58" t="s">
        <v>60</v>
      </c>
      <c r="H58" t="s">
        <v>53</v>
      </c>
      <c r="I58" t="s">
        <v>61</v>
      </c>
      <c r="J58" s="1">
        <v>45743</v>
      </c>
      <c r="K58" s="1">
        <v>45743</v>
      </c>
      <c r="L58" s="3">
        <v>14300</v>
      </c>
      <c r="M58" s="4">
        <v>0</v>
      </c>
      <c r="N58" s="4">
        <v>0</v>
      </c>
      <c r="O58" t="s">
        <v>102</v>
      </c>
      <c r="P58">
        <v>3</v>
      </c>
      <c r="Q58" t="str">
        <f>IFERROR(VLOOKUP(E58,Lookups!$A$5:$B$24,2,FALSE),"Other")</f>
        <v>Organic Search</v>
      </c>
      <c r="R58" t="str">
        <f>IFERROR(VLOOKUP(F58,Lookups!$D$5:$F$10,2,FALSE),"Unknown Product")</f>
        <v>NexaCRM Core</v>
      </c>
      <c r="S58" t="str">
        <f>IFERROR(VLOOKUP(F58,Lookups!$D$5:$F$10,3,FALSE),"Unknown")</f>
        <v>CRM</v>
      </c>
      <c r="T58" t="str">
        <f t="shared" si="0"/>
        <v>SMB</v>
      </c>
      <c r="U58" t="str">
        <f t="shared" si="1"/>
        <v>Lost</v>
      </c>
      <c r="V58" s="3">
        <f t="shared" si="2"/>
        <v>0</v>
      </c>
      <c r="W58" s="3">
        <f t="shared" si="3"/>
        <v>0</v>
      </c>
      <c r="X58" s="5">
        <f t="shared" si="4"/>
        <v>32</v>
      </c>
      <c r="Y58" s="5">
        <f>IF(U58="Open",Lookups!$B$2-B58,X58)</f>
        <v>32</v>
      </c>
      <c r="Z58" t="str">
        <f t="shared" si="5"/>
        <v>OK</v>
      </c>
      <c r="AA58" t="str">
        <f t="shared" si="6"/>
        <v>2025-02</v>
      </c>
      <c r="AB58" t="str">
        <f t="shared" si="7"/>
        <v>2025-03</v>
      </c>
      <c r="AC58" t="str">
        <f t="shared" si="8"/>
        <v>Q1-2025</v>
      </c>
      <c r="AD58" s="5">
        <f t="shared" si="9"/>
        <v>57</v>
      </c>
      <c r="AE58" t="str">
        <f t="shared" si="10"/>
        <v>Lost</v>
      </c>
    </row>
    <row r="59" spans="1:31">
      <c r="A59" t="s">
        <v>158</v>
      </c>
      <c r="B59" s="1">
        <v>46226</v>
      </c>
      <c r="C59" t="s">
        <v>86</v>
      </c>
      <c r="D59" t="s">
        <v>87</v>
      </c>
      <c r="E59" t="s">
        <v>70</v>
      </c>
      <c r="F59" t="s">
        <v>71</v>
      </c>
      <c r="G59" t="s">
        <v>72</v>
      </c>
      <c r="H59" t="s">
        <v>47</v>
      </c>
      <c r="I59" t="s">
        <v>73</v>
      </c>
      <c r="J59" s="1">
        <v>46251</v>
      </c>
      <c r="K59" s="1"/>
      <c r="L59" s="3">
        <v>13800</v>
      </c>
      <c r="M59" s="4">
        <v>0.03</v>
      </c>
      <c r="N59" s="4">
        <v>0.2</v>
      </c>
      <c r="P59">
        <v>2</v>
      </c>
      <c r="Q59" t="str">
        <f>IFERROR(VLOOKUP(E59,Lookups!$A$5:$B$24,2,FALSE),"Other")</f>
        <v>LinkedIn</v>
      </c>
      <c r="R59" t="str">
        <f>IFERROR(VLOOKUP(F59,Lookups!$D$5:$F$10,2,FALSE),"Unknown Product")</f>
        <v>Marketing Automation</v>
      </c>
      <c r="S59" t="str">
        <f>IFERROR(VLOOKUP(F59,Lookups!$D$5:$F$10,3,FALSE),"Unknown")</f>
        <v>Marketing</v>
      </c>
      <c r="T59" t="str">
        <f t="shared" si="0"/>
        <v>SMB</v>
      </c>
      <c r="U59" t="str">
        <f t="shared" si="1"/>
        <v>Open</v>
      </c>
      <c r="V59" s="3">
        <f t="shared" si="2"/>
        <v>0</v>
      </c>
      <c r="W59" s="3">
        <f t="shared" si="3"/>
        <v>2760</v>
      </c>
      <c r="X59" s="5" t="str">
        <f t="shared" si="4"/>
        <v/>
      </c>
      <c r="Y59" s="5">
        <f>IF(U59="Open",Lookups!$B$2-B59,X59)</f>
        <v>40</v>
      </c>
      <c r="Z59" t="str">
        <f t="shared" si="5"/>
        <v>STALE</v>
      </c>
      <c r="AA59" t="str">
        <f t="shared" si="6"/>
        <v>2026-07</v>
      </c>
      <c r="AB59" t="str">
        <f t="shared" si="7"/>
        <v/>
      </c>
      <c r="AC59" t="str">
        <f t="shared" si="8"/>
        <v>Q3-2026</v>
      </c>
      <c r="AD59" s="5">
        <f t="shared" si="9"/>
        <v>43</v>
      </c>
      <c r="AE59" t="str">
        <f t="shared" si="10"/>
        <v>Pipeline</v>
      </c>
    </row>
    <row r="60" spans="1:31">
      <c r="A60" t="s">
        <v>159</v>
      </c>
      <c r="B60" s="1">
        <v>45721</v>
      </c>
      <c r="C60" t="s">
        <v>86</v>
      </c>
      <c r="D60" t="s">
        <v>87</v>
      </c>
      <c r="E60" t="s">
        <v>160</v>
      </c>
      <c r="F60" t="s">
        <v>133</v>
      </c>
      <c r="G60" t="s">
        <v>112</v>
      </c>
      <c r="H60" t="s">
        <v>53</v>
      </c>
      <c r="I60" t="s">
        <v>77</v>
      </c>
      <c r="J60" s="1">
        <v>45756</v>
      </c>
      <c r="K60" s="1">
        <v>45756</v>
      </c>
      <c r="L60" s="3">
        <v>44300</v>
      </c>
      <c r="M60" s="4">
        <v>0.12</v>
      </c>
      <c r="N60" s="4">
        <v>1</v>
      </c>
      <c r="P60">
        <v>6</v>
      </c>
      <c r="Q60" t="str">
        <f>IFERROR(VLOOKUP(E60,Lookups!$A$5:$B$24,2,FALSE),"Other")</f>
        <v>Email</v>
      </c>
      <c r="R60" t="str">
        <f>IFERROR(VLOOKUP(F60,Lookups!$D$5:$F$10,2,FALSE),"Unknown Product")</f>
        <v>Analytics Plus</v>
      </c>
      <c r="S60" t="str">
        <f>IFERROR(VLOOKUP(F60,Lookups!$D$5:$F$10,3,FALSE),"Unknown")</f>
        <v>Analytics</v>
      </c>
      <c r="T60" t="str">
        <f t="shared" si="0"/>
        <v>Mid-Market</v>
      </c>
      <c r="U60" t="str">
        <f t="shared" si="1"/>
        <v>Won</v>
      </c>
      <c r="V60" s="3">
        <f t="shared" si="2"/>
        <v>38984</v>
      </c>
      <c r="W60" s="3">
        <f t="shared" si="3"/>
        <v>0</v>
      </c>
      <c r="X60" s="5">
        <f t="shared" si="4"/>
        <v>35</v>
      </c>
      <c r="Y60" s="5">
        <f>IF(U60="Open",Lookups!$B$2-B60,X60)</f>
        <v>35</v>
      </c>
      <c r="Z60" t="str">
        <f t="shared" si="5"/>
        <v>OK</v>
      </c>
      <c r="AA60" t="str">
        <f t="shared" si="6"/>
        <v>2025-03</v>
      </c>
      <c r="AB60" t="str">
        <f t="shared" si="7"/>
        <v>2025-04</v>
      </c>
      <c r="AC60" t="str">
        <f t="shared" si="8"/>
        <v>Q1-2025</v>
      </c>
      <c r="AD60" s="5">
        <f t="shared" si="9"/>
        <v>68</v>
      </c>
      <c r="AE60" t="str">
        <f t="shared" si="10"/>
        <v>Won</v>
      </c>
    </row>
    <row r="61" spans="1:31">
      <c r="A61" t="s">
        <v>161</v>
      </c>
      <c r="B61" s="1">
        <v>46130</v>
      </c>
      <c r="C61" t="s">
        <v>90</v>
      </c>
      <c r="D61" t="s">
        <v>57</v>
      </c>
      <c r="E61" t="s">
        <v>92</v>
      </c>
      <c r="F61" t="s">
        <v>59</v>
      </c>
      <c r="G61" t="s">
        <v>46</v>
      </c>
      <c r="H61" t="s">
        <v>47</v>
      </c>
      <c r="I61" t="s">
        <v>61</v>
      </c>
      <c r="J61" s="1">
        <v>46182</v>
      </c>
      <c r="K61" s="1">
        <v>46182</v>
      </c>
      <c r="L61" s="3">
        <v>14100</v>
      </c>
      <c r="M61" s="4">
        <v>0</v>
      </c>
      <c r="N61" s="4">
        <v>0</v>
      </c>
      <c r="O61" t="s">
        <v>79</v>
      </c>
      <c r="P61">
        <v>5</v>
      </c>
      <c r="Q61" t="str">
        <f>IFERROR(VLOOKUP(E61,Lookups!$A$5:$B$24,2,FALSE),"Other")</f>
        <v>Webinar</v>
      </c>
      <c r="R61" t="str">
        <f>IFERROR(VLOOKUP(F61,Lookups!$D$5:$F$10,2,FALSE),"Unknown Product")</f>
        <v>NexaCRM Pro</v>
      </c>
      <c r="S61" t="str">
        <f>IFERROR(VLOOKUP(F61,Lookups!$D$5:$F$10,3,FALSE),"Unknown")</f>
        <v>CRM</v>
      </c>
      <c r="T61" t="str">
        <f t="shared" si="0"/>
        <v>SMB</v>
      </c>
      <c r="U61" t="str">
        <f t="shared" si="1"/>
        <v>Lost</v>
      </c>
      <c r="V61" s="3">
        <f t="shared" si="2"/>
        <v>0</v>
      </c>
      <c r="W61" s="3">
        <f t="shared" si="3"/>
        <v>0</v>
      </c>
      <c r="X61" s="5">
        <f t="shared" si="4"/>
        <v>52</v>
      </c>
      <c r="Y61" s="5">
        <f>IF(U61="Open",Lookups!$B$2-B61,X61)</f>
        <v>52</v>
      </c>
      <c r="Z61" t="str">
        <f t="shared" si="5"/>
        <v>OK</v>
      </c>
      <c r="AA61" t="str">
        <f t="shared" si="6"/>
        <v>2026-04</v>
      </c>
      <c r="AB61" t="str">
        <f t="shared" si="7"/>
        <v>2026-06</v>
      </c>
      <c r="AC61" t="str">
        <f t="shared" si="8"/>
        <v>Q2-2026</v>
      </c>
      <c r="AD61" s="5">
        <f t="shared" si="9"/>
        <v>43</v>
      </c>
      <c r="AE61" t="str">
        <f t="shared" si="10"/>
        <v>Lost</v>
      </c>
    </row>
    <row r="62" spans="1:31">
      <c r="A62" t="s">
        <v>162</v>
      </c>
      <c r="B62" s="1">
        <v>45919</v>
      </c>
      <c r="C62" t="s">
        <v>64</v>
      </c>
      <c r="D62" t="s">
        <v>57</v>
      </c>
      <c r="E62" t="s">
        <v>107</v>
      </c>
      <c r="F62" t="s">
        <v>52</v>
      </c>
      <c r="G62" t="s">
        <v>94</v>
      </c>
      <c r="H62" t="s">
        <v>47</v>
      </c>
      <c r="I62" t="s">
        <v>61</v>
      </c>
      <c r="J62" s="1">
        <v>45978</v>
      </c>
      <c r="K62" s="1">
        <v>45978</v>
      </c>
      <c r="L62" s="3">
        <v>9300</v>
      </c>
      <c r="M62" s="4">
        <v>0</v>
      </c>
      <c r="N62" s="4">
        <v>0</v>
      </c>
      <c r="O62" t="s">
        <v>102</v>
      </c>
      <c r="P62">
        <v>4</v>
      </c>
      <c r="Q62" t="str">
        <f>IFERROR(VLOOKUP(E62,Lookups!$A$5:$B$24,2,FALSE),"Other")</f>
        <v>Referral</v>
      </c>
      <c r="R62" t="str">
        <f>IFERROR(VLOOKUP(F62,Lookups!$D$5:$F$10,2,FALSE),"Unknown Product")</f>
        <v>NexaCRM Core</v>
      </c>
      <c r="S62" t="str">
        <f>IFERROR(VLOOKUP(F62,Lookups!$D$5:$F$10,3,FALSE),"Unknown")</f>
        <v>CRM</v>
      </c>
      <c r="T62" t="str">
        <f t="shared" si="0"/>
        <v>SMB</v>
      </c>
      <c r="U62" t="str">
        <f t="shared" si="1"/>
        <v>Lost</v>
      </c>
      <c r="V62" s="3">
        <f t="shared" si="2"/>
        <v>0</v>
      </c>
      <c r="W62" s="3">
        <f t="shared" si="3"/>
        <v>0</v>
      </c>
      <c r="X62" s="5">
        <f t="shared" si="4"/>
        <v>59</v>
      </c>
      <c r="Y62" s="5">
        <f>IF(U62="Open",Lookups!$B$2-B62,X62)</f>
        <v>59</v>
      </c>
      <c r="Z62" t="str">
        <f t="shared" si="5"/>
        <v>OK</v>
      </c>
      <c r="AA62" t="str">
        <f t="shared" si="6"/>
        <v>2025-09</v>
      </c>
      <c r="AB62" t="str">
        <f t="shared" si="7"/>
        <v>2025-11</v>
      </c>
      <c r="AC62" t="str">
        <f t="shared" si="8"/>
        <v>Q3-2025</v>
      </c>
      <c r="AD62" s="5">
        <f t="shared" si="9"/>
        <v>54</v>
      </c>
      <c r="AE62" t="str">
        <f t="shared" si="10"/>
        <v>Lost</v>
      </c>
    </row>
    <row r="63" spans="1:31">
      <c r="A63" t="s">
        <v>163</v>
      </c>
      <c r="B63" s="1">
        <v>45912</v>
      </c>
      <c r="C63" t="s">
        <v>42</v>
      </c>
      <c r="D63" t="s">
        <v>43</v>
      </c>
      <c r="E63" t="s">
        <v>51</v>
      </c>
      <c r="F63" t="s">
        <v>67</v>
      </c>
      <c r="G63" t="s">
        <v>99</v>
      </c>
      <c r="H63" t="s">
        <v>47</v>
      </c>
      <c r="I63" t="s">
        <v>61</v>
      </c>
      <c r="J63" s="1">
        <v>45933</v>
      </c>
      <c r="K63" s="1">
        <v>45933</v>
      </c>
      <c r="L63" s="3">
        <v>41400</v>
      </c>
      <c r="M63" s="4">
        <v>0</v>
      </c>
      <c r="N63" s="4">
        <v>0</v>
      </c>
      <c r="O63" t="s">
        <v>81</v>
      </c>
      <c r="P63">
        <v>5</v>
      </c>
      <c r="Q63" t="str">
        <f>IFERROR(VLOOKUP(E63,Lookups!$A$5:$B$24,2,FALSE),"Other")</f>
        <v>Paid Search</v>
      </c>
      <c r="R63" t="str">
        <f>IFERROR(VLOOKUP(F63,Lookups!$D$5:$F$10,2,FALSE),"Unknown Product")</f>
        <v>Revenue Operations Suite</v>
      </c>
      <c r="S63" t="str">
        <f>IFERROR(VLOOKUP(F63,Lookups!$D$5:$F$10,3,FALSE),"Unknown")</f>
        <v>Revenue Ops</v>
      </c>
      <c r="T63" t="str">
        <f t="shared" si="0"/>
        <v>Mid-Market</v>
      </c>
      <c r="U63" t="str">
        <f t="shared" si="1"/>
        <v>Lost</v>
      </c>
      <c r="V63" s="3">
        <f t="shared" si="2"/>
        <v>0</v>
      </c>
      <c r="W63" s="3">
        <f t="shared" si="3"/>
        <v>0</v>
      </c>
      <c r="X63" s="5">
        <f t="shared" si="4"/>
        <v>21</v>
      </c>
      <c r="Y63" s="5">
        <f>IF(U63="Open",Lookups!$B$2-B63,X63)</f>
        <v>21</v>
      </c>
      <c r="Z63" t="str">
        <f t="shared" si="5"/>
        <v>OK</v>
      </c>
      <c r="AA63" t="str">
        <f t="shared" si="6"/>
        <v>2025-09</v>
      </c>
      <c r="AB63" t="str">
        <f t="shared" si="7"/>
        <v>2025-10</v>
      </c>
      <c r="AC63" t="str">
        <f t="shared" si="8"/>
        <v>Q3-2025</v>
      </c>
      <c r="AD63" s="5">
        <f t="shared" si="9"/>
        <v>51</v>
      </c>
      <c r="AE63" t="str">
        <f t="shared" si="10"/>
        <v>Lost</v>
      </c>
    </row>
    <row r="64" spans="1:31">
      <c r="A64" t="s">
        <v>164</v>
      </c>
      <c r="B64" s="1">
        <v>46055</v>
      </c>
      <c r="C64" t="s">
        <v>50</v>
      </c>
      <c r="D64" t="s">
        <v>43</v>
      </c>
      <c r="E64" t="s">
        <v>83</v>
      </c>
      <c r="F64" t="s">
        <v>52</v>
      </c>
      <c r="G64" t="s">
        <v>60</v>
      </c>
      <c r="H64" t="s">
        <v>47</v>
      </c>
      <c r="I64" t="s">
        <v>61</v>
      </c>
      <c r="J64" s="1">
        <v>46101</v>
      </c>
      <c r="K64" s="1">
        <v>46101</v>
      </c>
      <c r="L64" s="3">
        <v>5700</v>
      </c>
      <c r="M64" s="4">
        <v>0</v>
      </c>
      <c r="N64" s="4">
        <v>0</v>
      </c>
      <c r="O64" t="s">
        <v>79</v>
      </c>
      <c r="P64">
        <v>4</v>
      </c>
      <c r="Q64" t="str">
        <f>IFERROR(VLOOKUP(E64,Lookups!$A$5:$B$24,2,FALSE),"Other")</f>
        <v>Organic Search</v>
      </c>
      <c r="R64" t="str">
        <f>IFERROR(VLOOKUP(F64,Lookups!$D$5:$F$10,2,FALSE),"Unknown Product")</f>
        <v>NexaCRM Core</v>
      </c>
      <c r="S64" t="str">
        <f>IFERROR(VLOOKUP(F64,Lookups!$D$5:$F$10,3,FALSE),"Unknown")</f>
        <v>CRM</v>
      </c>
      <c r="T64" t="str">
        <f t="shared" si="0"/>
        <v>SMB</v>
      </c>
      <c r="U64" t="str">
        <f t="shared" si="1"/>
        <v>Lost</v>
      </c>
      <c r="V64" s="3">
        <f t="shared" si="2"/>
        <v>0</v>
      </c>
      <c r="W64" s="3">
        <f t="shared" si="3"/>
        <v>0</v>
      </c>
      <c r="X64" s="5">
        <f t="shared" si="4"/>
        <v>46</v>
      </c>
      <c r="Y64" s="5">
        <f>IF(U64="Open",Lookups!$B$2-B64,X64)</f>
        <v>46</v>
      </c>
      <c r="Z64" t="str">
        <f t="shared" si="5"/>
        <v>OK</v>
      </c>
      <c r="AA64" t="str">
        <f t="shared" si="6"/>
        <v>2026-02</v>
      </c>
      <c r="AB64" t="str">
        <f t="shared" si="7"/>
        <v>2026-03</v>
      </c>
      <c r="AC64" t="str">
        <f t="shared" si="8"/>
        <v>Q1-2026</v>
      </c>
      <c r="AD64" s="5">
        <f t="shared" si="9"/>
        <v>49</v>
      </c>
      <c r="AE64" t="str">
        <f t="shared" si="10"/>
        <v>Lost</v>
      </c>
    </row>
    <row r="65" spans="1:31">
      <c r="A65" t="s">
        <v>165</v>
      </c>
      <c r="B65" s="1">
        <v>46095</v>
      </c>
      <c r="C65" t="s">
        <v>90</v>
      </c>
      <c r="D65" t="s">
        <v>57</v>
      </c>
      <c r="E65" t="s">
        <v>166</v>
      </c>
      <c r="F65" t="s">
        <v>45</v>
      </c>
      <c r="G65" t="s">
        <v>99</v>
      </c>
      <c r="H65" t="s">
        <v>47</v>
      </c>
      <c r="I65" t="s">
        <v>77</v>
      </c>
      <c r="J65" s="1">
        <v>46151</v>
      </c>
      <c r="K65" s="1">
        <v>46151</v>
      </c>
      <c r="L65" s="3">
        <v>27700</v>
      </c>
      <c r="M65" s="4">
        <v>0.12</v>
      </c>
      <c r="N65" s="4">
        <v>1</v>
      </c>
      <c r="P65">
        <v>6</v>
      </c>
      <c r="Q65" t="str">
        <f>IFERROR(VLOOKUP(E65,Lookups!$A$5:$B$24,2,FALSE),"Other")</f>
        <v>Referral</v>
      </c>
      <c r="R65" t="str">
        <f>IFERROR(VLOOKUP(F65,Lookups!$D$5:$F$10,2,FALSE),"Unknown Product")</f>
        <v>Service Cloud</v>
      </c>
      <c r="S65" t="str">
        <f>IFERROR(VLOOKUP(F65,Lookups!$D$5:$F$10,3,FALSE),"Unknown")</f>
        <v>Customer Service</v>
      </c>
      <c r="T65" t="str">
        <f t="shared" si="0"/>
        <v>Mid-Market</v>
      </c>
      <c r="U65" t="str">
        <f t="shared" si="1"/>
        <v>Won</v>
      </c>
      <c r="V65" s="3">
        <f t="shared" si="2"/>
        <v>24376</v>
      </c>
      <c r="W65" s="3">
        <f t="shared" si="3"/>
        <v>0</v>
      </c>
      <c r="X65" s="5">
        <f t="shared" si="4"/>
        <v>56</v>
      </c>
      <c r="Y65" s="5">
        <f>IF(U65="Open",Lookups!$B$2-B65,X65)</f>
        <v>56</v>
      </c>
      <c r="Z65" t="str">
        <f t="shared" si="5"/>
        <v>OK</v>
      </c>
      <c r="AA65" t="str">
        <f t="shared" si="6"/>
        <v>2026-03</v>
      </c>
      <c r="AB65" t="str">
        <f t="shared" si="7"/>
        <v>2026-05</v>
      </c>
      <c r="AC65" t="str">
        <f t="shared" si="8"/>
        <v>Q1-2026</v>
      </c>
      <c r="AD65" s="5">
        <f t="shared" si="9"/>
        <v>62</v>
      </c>
      <c r="AE65" t="str">
        <f t="shared" si="10"/>
        <v>Won</v>
      </c>
    </row>
    <row r="66" spans="1:31">
      <c r="A66" t="s">
        <v>167</v>
      </c>
      <c r="B66" s="1">
        <v>46227</v>
      </c>
      <c r="C66" t="s">
        <v>148</v>
      </c>
      <c r="D66" t="s">
        <v>43</v>
      </c>
      <c r="E66" t="s">
        <v>83</v>
      </c>
      <c r="F66" t="s">
        <v>71</v>
      </c>
      <c r="G66" t="s">
        <v>46</v>
      </c>
      <c r="H66" t="s">
        <v>84</v>
      </c>
      <c r="I66" t="s">
        <v>105</v>
      </c>
      <c r="J66" s="1">
        <v>46251</v>
      </c>
      <c r="K66" s="1"/>
      <c r="L66" s="3">
        <v>35700</v>
      </c>
      <c r="M66" s="4">
        <v>0</v>
      </c>
      <c r="N66" s="4">
        <v>0.4</v>
      </c>
      <c r="P66">
        <v>3</v>
      </c>
      <c r="Q66" t="str">
        <f>IFERROR(VLOOKUP(E66,Lookups!$A$5:$B$24,2,FALSE),"Other")</f>
        <v>Organic Search</v>
      </c>
      <c r="R66" t="str">
        <f>IFERROR(VLOOKUP(F66,Lookups!$D$5:$F$10,2,FALSE),"Unknown Product")</f>
        <v>Marketing Automation</v>
      </c>
      <c r="S66" t="str">
        <f>IFERROR(VLOOKUP(F66,Lookups!$D$5:$F$10,3,FALSE),"Unknown")</f>
        <v>Marketing</v>
      </c>
      <c r="T66" t="str">
        <f t="shared" ref="T66:T129" si="11">IF(L66&gt;=50000,"Enterprise",IF(L66&gt;=20000,"Mid-Market","SMB"))</f>
        <v>Mid-Market</v>
      </c>
      <c r="U66" t="str">
        <f t="shared" ref="U66:U129" si="12">IF(I66="Closed Won","Won",IF(I66="Closed Lost","Lost","Open"))</f>
        <v>Open</v>
      </c>
      <c r="V66" s="3">
        <f t="shared" ref="V66:V129" si="13">IF(U66="Won",L66*(1-M66),0)</f>
        <v>0</v>
      </c>
      <c r="W66" s="3">
        <f t="shared" ref="W66:W129" si="14">IF(U66="Open",L66*N66,0)</f>
        <v>14280</v>
      </c>
      <c r="X66" s="5" t="str">
        <f t="shared" ref="X66:X129" si="15">IF(U66="Open","",IFERROR(K66-B66,""))</f>
        <v/>
      </c>
      <c r="Y66" s="5">
        <f>IF(U66="Open",Lookups!$B$2-B66,X66)</f>
        <v>39</v>
      </c>
      <c r="Z66" t="str">
        <f t="shared" ref="Z66:Z129" si="16">IF(AND(U66="Open",Y66&gt;30),"STALE","OK")</f>
        <v>STALE</v>
      </c>
      <c r="AA66" t="str">
        <f t="shared" ref="AA66:AA129" si="17">TEXT(B66,"yyyy-mm")</f>
        <v>2026-07</v>
      </c>
      <c r="AB66" t="str">
        <f t="shared" ref="AB66:AB129" si="18">IF(K66="","",TEXT(K66,"yyyy-mm"))</f>
        <v/>
      </c>
      <c r="AC66" t="str">
        <f t="shared" ref="AC66:AC129" si="19">"Q"&amp;ROUNDUP(MONTH(B66)/3,0)&amp;"-"&amp;YEAR(B66)</f>
        <v>Q3-2026</v>
      </c>
      <c r="AD66" s="5">
        <f t="shared" ref="AD66:AD129" si="20">MIN(100,IF(H66="Enterprise",30,IF(H66="Mid-Market",22,14))+IF(T66="Enterprise",25,IF(T66="Mid-Market",18,10))+IF(Q66="Referral",25,IF(Q66="Organic Search",20,IF(Q66="Email",18,14)))+IF(G66="Technology",10,5))</f>
        <v>73</v>
      </c>
      <c r="AE66" t="str">
        <f t="shared" ref="AE66:AE129" si="21">IF(U66&lt;&gt;"Open",U66,IF(N66&gt;=0.8,"Commit",IF(N66&gt;=0.5,"Best Case","Pipeline")))</f>
        <v>Pipeline</v>
      </c>
    </row>
    <row r="67" spans="1:31">
      <c r="A67" t="s">
        <v>168</v>
      </c>
      <c r="B67" s="1">
        <v>45987</v>
      </c>
      <c r="C67" t="s">
        <v>50</v>
      </c>
      <c r="D67" t="s">
        <v>43</v>
      </c>
      <c r="E67" t="s">
        <v>127</v>
      </c>
      <c r="F67" t="s">
        <v>133</v>
      </c>
      <c r="G67" t="s">
        <v>76</v>
      </c>
      <c r="H67" t="s">
        <v>47</v>
      </c>
      <c r="I67" t="s">
        <v>61</v>
      </c>
      <c r="J67" s="1">
        <v>46027</v>
      </c>
      <c r="K67" s="1">
        <v>46027</v>
      </c>
      <c r="L67" s="3">
        <v>13900</v>
      </c>
      <c r="M67" s="4">
        <v>0</v>
      </c>
      <c r="N67" s="4">
        <v>0</v>
      </c>
      <c r="O67" t="s">
        <v>102</v>
      </c>
      <c r="P67">
        <v>3</v>
      </c>
      <c r="Q67" t="str">
        <f>IFERROR(VLOOKUP(E67,Lookups!$A$5:$B$24,2,FALSE),"Other")</f>
        <v>Paid Search</v>
      </c>
      <c r="R67" t="str">
        <f>IFERROR(VLOOKUP(F67,Lookups!$D$5:$F$10,2,FALSE),"Unknown Product")</f>
        <v>Analytics Plus</v>
      </c>
      <c r="S67" t="str">
        <f>IFERROR(VLOOKUP(F67,Lookups!$D$5:$F$10,3,FALSE),"Unknown")</f>
        <v>Analytics</v>
      </c>
      <c r="T67" t="str">
        <f t="shared" si="11"/>
        <v>SMB</v>
      </c>
      <c r="U67" t="str">
        <f t="shared" si="12"/>
        <v>Lost</v>
      </c>
      <c r="V67" s="3">
        <f t="shared" si="13"/>
        <v>0</v>
      </c>
      <c r="W67" s="3">
        <f t="shared" si="14"/>
        <v>0</v>
      </c>
      <c r="X67" s="5">
        <f t="shared" si="15"/>
        <v>40</v>
      </c>
      <c r="Y67" s="5">
        <f>IF(U67="Open",Lookups!$B$2-B67,X67)</f>
        <v>40</v>
      </c>
      <c r="Z67" t="str">
        <f t="shared" si="16"/>
        <v>OK</v>
      </c>
      <c r="AA67" t="str">
        <f t="shared" si="17"/>
        <v>2025-11</v>
      </c>
      <c r="AB67" t="str">
        <f t="shared" si="18"/>
        <v>2026-01</v>
      </c>
      <c r="AC67" t="str">
        <f t="shared" si="19"/>
        <v>Q4-2025</v>
      </c>
      <c r="AD67" s="5">
        <f t="shared" si="20"/>
        <v>43</v>
      </c>
      <c r="AE67" t="str">
        <f t="shared" si="21"/>
        <v>Lost</v>
      </c>
    </row>
    <row r="68" spans="1:31">
      <c r="A68" t="s">
        <v>169</v>
      </c>
      <c r="B68" s="1">
        <v>45784</v>
      </c>
      <c r="C68" t="s">
        <v>69</v>
      </c>
      <c r="D68" t="s">
        <v>57</v>
      </c>
      <c r="E68" t="s">
        <v>119</v>
      </c>
      <c r="F68" t="s">
        <v>59</v>
      </c>
      <c r="G68" t="s">
        <v>94</v>
      </c>
      <c r="H68" t="s">
        <v>53</v>
      </c>
      <c r="I68" t="s">
        <v>77</v>
      </c>
      <c r="J68" s="1">
        <v>45832</v>
      </c>
      <c r="K68" s="1">
        <v>45832</v>
      </c>
      <c r="L68" s="3">
        <v>21400</v>
      </c>
      <c r="M68" s="4">
        <v>0.08</v>
      </c>
      <c r="N68" s="4">
        <v>1</v>
      </c>
      <c r="P68">
        <v>6</v>
      </c>
      <c r="Q68" t="str">
        <f>IFERROR(VLOOKUP(E68,Lookups!$A$5:$B$24,2,FALSE),"Other")</f>
        <v>Referral</v>
      </c>
      <c r="R68" t="str">
        <f>IFERROR(VLOOKUP(F68,Lookups!$D$5:$F$10,2,FALSE),"Unknown Product")</f>
        <v>NexaCRM Pro</v>
      </c>
      <c r="S68" t="str">
        <f>IFERROR(VLOOKUP(F68,Lookups!$D$5:$F$10,3,FALSE),"Unknown")</f>
        <v>CRM</v>
      </c>
      <c r="T68" t="str">
        <f t="shared" si="11"/>
        <v>Mid-Market</v>
      </c>
      <c r="U68" t="str">
        <f t="shared" si="12"/>
        <v>Won</v>
      </c>
      <c r="V68" s="3">
        <f t="shared" si="13"/>
        <v>19688</v>
      </c>
      <c r="W68" s="3">
        <f t="shared" si="14"/>
        <v>0</v>
      </c>
      <c r="X68" s="5">
        <f t="shared" si="15"/>
        <v>48</v>
      </c>
      <c r="Y68" s="5">
        <f>IF(U68="Open",Lookups!$B$2-B68,X68)</f>
        <v>48</v>
      </c>
      <c r="Z68" t="str">
        <f t="shared" si="16"/>
        <v>OK</v>
      </c>
      <c r="AA68" t="str">
        <f t="shared" si="17"/>
        <v>2025-05</v>
      </c>
      <c r="AB68" t="str">
        <f t="shared" si="18"/>
        <v>2025-06</v>
      </c>
      <c r="AC68" t="str">
        <f t="shared" si="19"/>
        <v>Q2-2025</v>
      </c>
      <c r="AD68" s="5">
        <f t="shared" si="20"/>
        <v>70</v>
      </c>
      <c r="AE68" t="str">
        <f t="shared" si="21"/>
        <v>Won</v>
      </c>
    </row>
    <row r="69" spans="1:31">
      <c r="A69" t="s">
        <v>170</v>
      </c>
      <c r="B69" s="1">
        <v>45935</v>
      </c>
      <c r="C69" t="s">
        <v>148</v>
      </c>
      <c r="D69" t="s">
        <v>43</v>
      </c>
      <c r="E69" t="s">
        <v>115</v>
      </c>
      <c r="F69" t="s">
        <v>133</v>
      </c>
      <c r="G69" t="s">
        <v>72</v>
      </c>
      <c r="H69" t="s">
        <v>53</v>
      </c>
      <c r="I69" t="s">
        <v>61</v>
      </c>
      <c r="J69" s="1">
        <v>45961</v>
      </c>
      <c r="K69" s="1">
        <v>45961</v>
      </c>
      <c r="L69" s="3">
        <v>29300</v>
      </c>
      <c r="M69" s="4">
        <v>0</v>
      </c>
      <c r="N69" s="4">
        <v>0</v>
      </c>
      <c r="O69" t="s">
        <v>79</v>
      </c>
      <c r="P69">
        <v>2</v>
      </c>
      <c r="Q69" t="str">
        <f>IFERROR(VLOOKUP(E69,Lookups!$A$5:$B$24,2,FALSE),"Other")</f>
        <v>Outbound</v>
      </c>
      <c r="R69" t="str">
        <f>IFERROR(VLOOKUP(F69,Lookups!$D$5:$F$10,2,FALSE),"Unknown Product")</f>
        <v>Analytics Plus</v>
      </c>
      <c r="S69" t="str">
        <f>IFERROR(VLOOKUP(F69,Lookups!$D$5:$F$10,3,FALSE),"Unknown")</f>
        <v>Analytics</v>
      </c>
      <c r="T69" t="str">
        <f t="shared" si="11"/>
        <v>Mid-Market</v>
      </c>
      <c r="U69" t="str">
        <f t="shared" si="12"/>
        <v>Lost</v>
      </c>
      <c r="V69" s="3">
        <f t="shared" si="13"/>
        <v>0</v>
      </c>
      <c r="W69" s="3">
        <f t="shared" si="14"/>
        <v>0</v>
      </c>
      <c r="X69" s="5">
        <f t="shared" si="15"/>
        <v>26</v>
      </c>
      <c r="Y69" s="5">
        <f>IF(U69="Open",Lookups!$B$2-B69,X69)</f>
        <v>26</v>
      </c>
      <c r="Z69" t="str">
        <f t="shared" si="16"/>
        <v>OK</v>
      </c>
      <c r="AA69" t="str">
        <f t="shared" si="17"/>
        <v>2025-10</v>
      </c>
      <c r="AB69" t="str">
        <f t="shared" si="18"/>
        <v>2025-10</v>
      </c>
      <c r="AC69" t="str">
        <f t="shared" si="19"/>
        <v>Q4-2025</v>
      </c>
      <c r="AD69" s="5">
        <f t="shared" si="20"/>
        <v>59</v>
      </c>
      <c r="AE69" t="str">
        <f t="shared" si="21"/>
        <v>Lost</v>
      </c>
    </row>
    <row r="70" spans="1:31">
      <c r="A70" t="s">
        <v>171</v>
      </c>
      <c r="B70" s="1">
        <v>46134</v>
      </c>
      <c r="C70" t="s">
        <v>42</v>
      </c>
      <c r="D70" t="s">
        <v>43</v>
      </c>
      <c r="E70" t="s">
        <v>109</v>
      </c>
      <c r="F70" t="s">
        <v>52</v>
      </c>
      <c r="G70" t="s">
        <v>112</v>
      </c>
      <c r="H70" t="s">
        <v>47</v>
      </c>
      <c r="I70" t="s">
        <v>61</v>
      </c>
      <c r="J70" s="1">
        <v>46206</v>
      </c>
      <c r="K70" s="1">
        <v>46206</v>
      </c>
      <c r="L70" s="3">
        <v>9100</v>
      </c>
      <c r="M70" s="4">
        <v>0</v>
      </c>
      <c r="N70" s="4">
        <v>0</v>
      </c>
      <c r="O70" t="s">
        <v>116</v>
      </c>
      <c r="P70">
        <v>5</v>
      </c>
      <c r="Q70" t="str">
        <f>IFERROR(VLOOKUP(E70,Lookups!$A$5:$B$24,2,FALSE),"Other")</f>
        <v>Outbound</v>
      </c>
      <c r="R70" t="str">
        <f>IFERROR(VLOOKUP(F70,Lookups!$D$5:$F$10,2,FALSE),"Unknown Product")</f>
        <v>NexaCRM Core</v>
      </c>
      <c r="S70" t="str">
        <f>IFERROR(VLOOKUP(F70,Lookups!$D$5:$F$10,3,FALSE),"Unknown")</f>
        <v>CRM</v>
      </c>
      <c r="T70" t="str">
        <f t="shared" si="11"/>
        <v>SMB</v>
      </c>
      <c r="U70" t="str">
        <f t="shared" si="12"/>
        <v>Lost</v>
      </c>
      <c r="V70" s="3">
        <f t="shared" si="13"/>
        <v>0</v>
      </c>
      <c r="W70" s="3">
        <f t="shared" si="14"/>
        <v>0</v>
      </c>
      <c r="X70" s="5">
        <f t="shared" si="15"/>
        <v>72</v>
      </c>
      <c r="Y70" s="5">
        <f>IF(U70="Open",Lookups!$B$2-B70,X70)</f>
        <v>72</v>
      </c>
      <c r="Z70" t="str">
        <f t="shared" si="16"/>
        <v>OK</v>
      </c>
      <c r="AA70" t="str">
        <f t="shared" si="17"/>
        <v>2026-04</v>
      </c>
      <c r="AB70" t="str">
        <f t="shared" si="18"/>
        <v>2026-07</v>
      </c>
      <c r="AC70" t="str">
        <f t="shared" si="19"/>
        <v>Q2-2026</v>
      </c>
      <c r="AD70" s="5">
        <f t="shared" si="20"/>
        <v>48</v>
      </c>
      <c r="AE70" t="str">
        <f t="shared" si="21"/>
        <v>Lost</v>
      </c>
    </row>
    <row r="71" spans="1:31">
      <c r="A71" t="s">
        <v>172</v>
      </c>
      <c r="B71" s="1">
        <v>46070</v>
      </c>
      <c r="C71" t="s">
        <v>148</v>
      </c>
      <c r="D71" t="s">
        <v>43</v>
      </c>
      <c r="E71" t="s">
        <v>83</v>
      </c>
      <c r="F71" t="s">
        <v>45</v>
      </c>
      <c r="G71" t="s">
        <v>99</v>
      </c>
      <c r="H71" t="s">
        <v>47</v>
      </c>
      <c r="I71" t="s">
        <v>61</v>
      </c>
      <c r="J71" s="1">
        <v>46138</v>
      </c>
      <c r="K71" s="1">
        <v>46138</v>
      </c>
      <c r="L71" s="3">
        <v>26300</v>
      </c>
      <c r="M71" s="4">
        <v>0</v>
      </c>
      <c r="N71" s="4">
        <v>0</v>
      </c>
      <c r="O71" t="s">
        <v>81</v>
      </c>
      <c r="P71">
        <v>4</v>
      </c>
      <c r="Q71" t="str">
        <f>IFERROR(VLOOKUP(E71,Lookups!$A$5:$B$24,2,FALSE),"Other")</f>
        <v>Organic Search</v>
      </c>
      <c r="R71" t="str">
        <f>IFERROR(VLOOKUP(F71,Lookups!$D$5:$F$10,2,FALSE),"Unknown Product")</f>
        <v>Service Cloud</v>
      </c>
      <c r="S71" t="str">
        <f>IFERROR(VLOOKUP(F71,Lookups!$D$5:$F$10,3,FALSE),"Unknown")</f>
        <v>Customer Service</v>
      </c>
      <c r="T71" t="str">
        <f t="shared" si="11"/>
        <v>Mid-Market</v>
      </c>
      <c r="U71" t="str">
        <f t="shared" si="12"/>
        <v>Lost</v>
      </c>
      <c r="V71" s="3">
        <f t="shared" si="13"/>
        <v>0</v>
      </c>
      <c r="W71" s="3">
        <f t="shared" si="14"/>
        <v>0</v>
      </c>
      <c r="X71" s="5">
        <f t="shared" si="15"/>
        <v>68</v>
      </c>
      <c r="Y71" s="5">
        <f>IF(U71="Open",Lookups!$B$2-B71,X71)</f>
        <v>68</v>
      </c>
      <c r="Z71" t="str">
        <f t="shared" si="16"/>
        <v>OK</v>
      </c>
      <c r="AA71" t="str">
        <f t="shared" si="17"/>
        <v>2026-02</v>
      </c>
      <c r="AB71" t="str">
        <f t="shared" si="18"/>
        <v>2026-04</v>
      </c>
      <c r="AC71" t="str">
        <f t="shared" si="19"/>
        <v>Q1-2026</v>
      </c>
      <c r="AD71" s="5">
        <f t="shared" si="20"/>
        <v>57</v>
      </c>
      <c r="AE71" t="str">
        <f t="shared" si="21"/>
        <v>Lost</v>
      </c>
    </row>
    <row r="72" spans="1:31">
      <c r="A72" t="s">
        <v>173</v>
      </c>
      <c r="B72" s="1">
        <v>45723</v>
      </c>
      <c r="C72" t="s">
        <v>69</v>
      </c>
      <c r="D72" t="s">
        <v>57</v>
      </c>
      <c r="E72" t="s">
        <v>138</v>
      </c>
      <c r="F72" t="s">
        <v>52</v>
      </c>
      <c r="G72" t="s">
        <v>76</v>
      </c>
      <c r="H72" t="s">
        <v>47</v>
      </c>
      <c r="I72" t="s">
        <v>77</v>
      </c>
      <c r="J72" s="1">
        <v>45798</v>
      </c>
      <c r="K72" s="1">
        <v>45798</v>
      </c>
      <c r="L72" s="3">
        <v>6500</v>
      </c>
      <c r="M72" s="4">
        <v>0</v>
      </c>
      <c r="N72" s="4">
        <v>1</v>
      </c>
      <c r="P72">
        <v>6</v>
      </c>
      <c r="Q72" t="str">
        <f>IFERROR(VLOOKUP(E72,Lookups!$A$5:$B$24,2,FALSE),"Other")</f>
        <v>Organic Search</v>
      </c>
      <c r="R72" t="str">
        <f>IFERROR(VLOOKUP(F72,Lookups!$D$5:$F$10,2,FALSE),"Unknown Product")</f>
        <v>NexaCRM Core</v>
      </c>
      <c r="S72" t="str">
        <f>IFERROR(VLOOKUP(F72,Lookups!$D$5:$F$10,3,FALSE),"Unknown")</f>
        <v>CRM</v>
      </c>
      <c r="T72" t="str">
        <f t="shared" si="11"/>
        <v>SMB</v>
      </c>
      <c r="U72" t="str">
        <f t="shared" si="12"/>
        <v>Won</v>
      </c>
      <c r="V72" s="3">
        <f t="shared" si="13"/>
        <v>6500</v>
      </c>
      <c r="W72" s="3">
        <f t="shared" si="14"/>
        <v>0</v>
      </c>
      <c r="X72" s="5">
        <f t="shared" si="15"/>
        <v>75</v>
      </c>
      <c r="Y72" s="5">
        <f>IF(U72="Open",Lookups!$B$2-B72,X72)</f>
        <v>75</v>
      </c>
      <c r="Z72" t="str">
        <f t="shared" si="16"/>
        <v>OK</v>
      </c>
      <c r="AA72" t="str">
        <f t="shared" si="17"/>
        <v>2025-03</v>
      </c>
      <c r="AB72" t="str">
        <f t="shared" si="18"/>
        <v>2025-05</v>
      </c>
      <c r="AC72" t="str">
        <f t="shared" si="19"/>
        <v>Q1-2025</v>
      </c>
      <c r="AD72" s="5">
        <f t="shared" si="20"/>
        <v>49</v>
      </c>
      <c r="AE72" t="str">
        <f t="shared" si="21"/>
        <v>Won</v>
      </c>
    </row>
    <row r="73" spans="1:31">
      <c r="A73" t="s">
        <v>174</v>
      </c>
      <c r="B73" s="1">
        <v>46184</v>
      </c>
      <c r="C73" t="s">
        <v>56</v>
      </c>
      <c r="D73" t="s">
        <v>57</v>
      </c>
      <c r="E73" t="s">
        <v>65</v>
      </c>
      <c r="F73" t="s">
        <v>45</v>
      </c>
      <c r="G73" t="s">
        <v>60</v>
      </c>
      <c r="H73" t="s">
        <v>47</v>
      </c>
      <c r="I73" t="s">
        <v>105</v>
      </c>
      <c r="J73" s="1">
        <v>46218</v>
      </c>
      <c r="K73" s="1"/>
      <c r="L73" s="3">
        <v>22300</v>
      </c>
      <c r="M73" s="4">
        <v>0</v>
      </c>
      <c r="N73" s="4">
        <v>0.4</v>
      </c>
      <c r="P73">
        <v>3</v>
      </c>
      <c r="Q73" t="str">
        <f>IFERROR(VLOOKUP(E73,Lookups!$A$5:$B$24,2,FALSE),"Other")</f>
        <v>Paid Search</v>
      </c>
      <c r="R73" t="str">
        <f>IFERROR(VLOOKUP(F73,Lookups!$D$5:$F$10,2,FALSE),"Unknown Product")</f>
        <v>Service Cloud</v>
      </c>
      <c r="S73" t="str">
        <f>IFERROR(VLOOKUP(F73,Lookups!$D$5:$F$10,3,FALSE),"Unknown")</f>
        <v>Customer Service</v>
      </c>
      <c r="T73" t="str">
        <f t="shared" si="11"/>
        <v>Mid-Market</v>
      </c>
      <c r="U73" t="str">
        <f t="shared" si="12"/>
        <v>Open</v>
      </c>
      <c r="V73" s="3">
        <f t="shared" si="13"/>
        <v>0</v>
      </c>
      <c r="W73" s="3">
        <f t="shared" si="14"/>
        <v>8920</v>
      </c>
      <c r="X73" s="5" t="str">
        <f t="shared" si="15"/>
        <v/>
      </c>
      <c r="Y73" s="5">
        <f>IF(U73="Open",Lookups!$B$2-B73,X73)</f>
        <v>82</v>
      </c>
      <c r="Z73" t="str">
        <f t="shared" si="16"/>
        <v>STALE</v>
      </c>
      <c r="AA73" t="str">
        <f t="shared" si="17"/>
        <v>2026-06</v>
      </c>
      <c r="AB73" t="str">
        <f t="shared" si="18"/>
        <v/>
      </c>
      <c r="AC73" t="str">
        <f t="shared" si="19"/>
        <v>Q2-2026</v>
      </c>
      <c r="AD73" s="5">
        <f t="shared" si="20"/>
        <v>51</v>
      </c>
      <c r="AE73" t="str">
        <f t="shared" si="21"/>
        <v>Pipeline</v>
      </c>
    </row>
    <row r="74" spans="1:31">
      <c r="A74" t="s">
        <v>175</v>
      </c>
      <c r="B74" s="1">
        <v>45744</v>
      </c>
      <c r="C74" t="s">
        <v>56</v>
      </c>
      <c r="D74" t="s">
        <v>57</v>
      </c>
      <c r="E74" t="s">
        <v>127</v>
      </c>
      <c r="F74" t="s">
        <v>71</v>
      </c>
      <c r="G74" t="s">
        <v>99</v>
      </c>
      <c r="H74" t="s">
        <v>47</v>
      </c>
      <c r="I74" t="s">
        <v>61</v>
      </c>
      <c r="J74" s="1">
        <v>45795</v>
      </c>
      <c r="K74" s="1">
        <v>45795</v>
      </c>
      <c r="L74" s="3">
        <v>18000</v>
      </c>
      <c r="M74" s="4">
        <v>0</v>
      </c>
      <c r="N74" s="4">
        <v>0</v>
      </c>
      <c r="O74" t="s">
        <v>81</v>
      </c>
      <c r="P74">
        <v>5</v>
      </c>
      <c r="Q74" t="str">
        <f>IFERROR(VLOOKUP(E74,Lookups!$A$5:$B$24,2,FALSE),"Other")</f>
        <v>Paid Search</v>
      </c>
      <c r="R74" t="str">
        <f>IFERROR(VLOOKUP(F74,Lookups!$D$5:$F$10,2,FALSE),"Unknown Product")</f>
        <v>Marketing Automation</v>
      </c>
      <c r="S74" t="str">
        <f>IFERROR(VLOOKUP(F74,Lookups!$D$5:$F$10,3,FALSE),"Unknown")</f>
        <v>Marketing</v>
      </c>
      <c r="T74" t="str">
        <f t="shared" si="11"/>
        <v>SMB</v>
      </c>
      <c r="U74" t="str">
        <f t="shared" si="12"/>
        <v>Lost</v>
      </c>
      <c r="V74" s="3">
        <f t="shared" si="13"/>
        <v>0</v>
      </c>
      <c r="W74" s="3">
        <f t="shared" si="14"/>
        <v>0</v>
      </c>
      <c r="X74" s="5">
        <f t="shared" si="15"/>
        <v>51</v>
      </c>
      <c r="Y74" s="5">
        <f>IF(U74="Open",Lookups!$B$2-B74,X74)</f>
        <v>51</v>
      </c>
      <c r="Z74" t="str">
        <f t="shared" si="16"/>
        <v>OK</v>
      </c>
      <c r="AA74" t="str">
        <f t="shared" si="17"/>
        <v>2025-03</v>
      </c>
      <c r="AB74" t="str">
        <f t="shared" si="18"/>
        <v>2025-05</v>
      </c>
      <c r="AC74" t="str">
        <f t="shared" si="19"/>
        <v>Q1-2025</v>
      </c>
      <c r="AD74" s="5">
        <f t="shared" si="20"/>
        <v>43</v>
      </c>
      <c r="AE74" t="str">
        <f t="shared" si="21"/>
        <v>Lost</v>
      </c>
    </row>
    <row r="75" spans="1:31">
      <c r="A75" t="s">
        <v>176</v>
      </c>
      <c r="B75" s="1">
        <v>45695</v>
      </c>
      <c r="C75" t="s">
        <v>42</v>
      </c>
      <c r="D75" t="s">
        <v>43</v>
      </c>
      <c r="E75" t="s">
        <v>115</v>
      </c>
      <c r="F75" t="s">
        <v>59</v>
      </c>
      <c r="G75" t="s">
        <v>99</v>
      </c>
      <c r="H75" t="s">
        <v>47</v>
      </c>
      <c r="I75" t="s">
        <v>48</v>
      </c>
      <c r="J75" s="1">
        <v>45926</v>
      </c>
      <c r="K75" s="1"/>
      <c r="L75" s="3">
        <v>14700</v>
      </c>
      <c r="M75" s="4">
        <v>0.03</v>
      </c>
      <c r="N75" s="4">
        <v>0.85</v>
      </c>
      <c r="P75">
        <v>5</v>
      </c>
      <c r="Q75" t="str">
        <f>IFERROR(VLOOKUP(E75,Lookups!$A$5:$B$24,2,FALSE),"Other")</f>
        <v>Outbound</v>
      </c>
      <c r="R75" t="str">
        <f>IFERROR(VLOOKUP(F75,Lookups!$D$5:$F$10,2,FALSE),"Unknown Product")</f>
        <v>NexaCRM Pro</v>
      </c>
      <c r="S75" t="str">
        <f>IFERROR(VLOOKUP(F75,Lookups!$D$5:$F$10,3,FALSE),"Unknown")</f>
        <v>CRM</v>
      </c>
      <c r="T75" t="str">
        <f t="shared" si="11"/>
        <v>SMB</v>
      </c>
      <c r="U75" t="str">
        <f t="shared" si="12"/>
        <v>Open</v>
      </c>
      <c r="V75" s="3">
        <f t="shared" si="13"/>
        <v>0</v>
      </c>
      <c r="W75" s="3">
        <f t="shared" si="14"/>
        <v>12495</v>
      </c>
      <c r="X75" s="5" t="str">
        <f t="shared" si="15"/>
        <v/>
      </c>
      <c r="Y75" s="5">
        <f>IF(U75="Open",Lookups!$B$2-B75,X75)</f>
        <v>571</v>
      </c>
      <c r="Z75" t="str">
        <f t="shared" si="16"/>
        <v>STALE</v>
      </c>
      <c r="AA75" t="str">
        <f t="shared" si="17"/>
        <v>2025-02</v>
      </c>
      <c r="AB75" t="str">
        <f t="shared" si="18"/>
        <v/>
      </c>
      <c r="AC75" t="str">
        <f t="shared" si="19"/>
        <v>Q1-2025</v>
      </c>
      <c r="AD75" s="5">
        <f t="shared" si="20"/>
        <v>43</v>
      </c>
      <c r="AE75" t="str">
        <f t="shared" si="21"/>
        <v>Commit</v>
      </c>
    </row>
    <row r="76" spans="1:31">
      <c r="A76" t="s">
        <v>177</v>
      </c>
      <c r="B76" s="1">
        <v>46221</v>
      </c>
      <c r="C76" t="s">
        <v>148</v>
      </c>
      <c r="D76" t="s">
        <v>43</v>
      </c>
      <c r="E76" t="s">
        <v>96</v>
      </c>
      <c r="F76" t="s">
        <v>133</v>
      </c>
      <c r="G76" t="s">
        <v>60</v>
      </c>
      <c r="H76" t="s">
        <v>47</v>
      </c>
      <c r="I76" t="s">
        <v>61</v>
      </c>
      <c r="J76" s="1">
        <v>46256</v>
      </c>
      <c r="K76" s="1">
        <v>46256</v>
      </c>
      <c r="L76" s="3">
        <v>17600</v>
      </c>
      <c r="M76" s="4">
        <v>0</v>
      </c>
      <c r="N76" s="4">
        <v>0</v>
      </c>
      <c r="O76" t="s">
        <v>81</v>
      </c>
      <c r="P76">
        <v>4</v>
      </c>
      <c r="Q76" t="str">
        <f>IFERROR(VLOOKUP(E76,Lookups!$A$5:$B$24,2,FALSE),"Other")</f>
        <v>LinkedIn</v>
      </c>
      <c r="R76" t="str">
        <f>IFERROR(VLOOKUP(F76,Lookups!$D$5:$F$10,2,FALSE),"Unknown Product")</f>
        <v>Analytics Plus</v>
      </c>
      <c r="S76" t="str">
        <f>IFERROR(VLOOKUP(F76,Lookups!$D$5:$F$10,3,FALSE),"Unknown")</f>
        <v>Analytics</v>
      </c>
      <c r="T76" t="str">
        <f t="shared" si="11"/>
        <v>SMB</v>
      </c>
      <c r="U76" t="str">
        <f t="shared" si="12"/>
        <v>Lost</v>
      </c>
      <c r="V76" s="3">
        <f t="shared" si="13"/>
        <v>0</v>
      </c>
      <c r="W76" s="3">
        <f t="shared" si="14"/>
        <v>0</v>
      </c>
      <c r="X76" s="5">
        <f t="shared" si="15"/>
        <v>35</v>
      </c>
      <c r="Y76" s="5">
        <f>IF(U76="Open",Lookups!$B$2-B76,X76)</f>
        <v>35</v>
      </c>
      <c r="Z76" t="str">
        <f t="shared" si="16"/>
        <v>OK</v>
      </c>
      <c r="AA76" t="str">
        <f t="shared" si="17"/>
        <v>2026-07</v>
      </c>
      <c r="AB76" t="str">
        <f t="shared" si="18"/>
        <v>2026-08</v>
      </c>
      <c r="AC76" t="str">
        <f t="shared" si="19"/>
        <v>Q3-2026</v>
      </c>
      <c r="AD76" s="5">
        <f t="shared" si="20"/>
        <v>43</v>
      </c>
      <c r="AE76" t="str">
        <f t="shared" si="21"/>
        <v>Lost</v>
      </c>
    </row>
    <row r="77" spans="1:31">
      <c r="A77" t="s">
        <v>178</v>
      </c>
      <c r="B77" s="1">
        <v>46218</v>
      </c>
      <c r="C77" t="s">
        <v>90</v>
      </c>
      <c r="D77" t="s">
        <v>57</v>
      </c>
      <c r="E77" t="s">
        <v>51</v>
      </c>
      <c r="F77" t="s">
        <v>52</v>
      </c>
      <c r="G77" t="s">
        <v>94</v>
      </c>
      <c r="H77" t="s">
        <v>84</v>
      </c>
      <c r="I77" t="s">
        <v>77</v>
      </c>
      <c r="J77" s="1">
        <v>46266</v>
      </c>
      <c r="K77" s="1">
        <v>46266</v>
      </c>
      <c r="L77" s="3">
        <v>20000</v>
      </c>
      <c r="M77" s="4">
        <v>0</v>
      </c>
      <c r="N77" s="4">
        <v>1</v>
      </c>
      <c r="P77">
        <v>6</v>
      </c>
      <c r="Q77" t="str">
        <f>IFERROR(VLOOKUP(E77,Lookups!$A$5:$B$24,2,FALSE),"Other")</f>
        <v>Paid Search</v>
      </c>
      <c r="R77" t="str">
        <f>IFERROR(VLOOKUP(F77,Lookups!$D$5:$F$10,2,FALSE),"Unknown Product")</f>
        <v>NexaCRM Core</v>
      </c>
      <c r="S77" t="str">
        <f>IFERROR(VLOOKUP(F77,Lookups!$D$5:$F$10,3,FALSE),"Unknown")</f>
        <v>CRM</v>
      </c>
      <c r="T77" t="str">
        <f t="shared" si="11"/>
        <v>Mid-Market</v>
      </c>
      <c r="U77" t="str">
        <f t="shared" si="12"/>
        <v>Won</v>
      </c>
      <c r="V77" s="3">
        <f t="shared" si="13"/>
        <v>20000</v>
      </c>
      <c r="W77" s="3">
        <f t="shared" si="14"/>
        <v>0</v>
      </c>
      <c r="X77" s="5">
        <f t="shared" si="15"/>
        <v>48</v>
      </c>
      <c r="Y77" s="5">
        <f>IF(U77="Open",Lookups!$B$2-B77,X77)</f>
        <v>48</v>
      </c>
      <c r="Z77" t="str">
        <f t="shared" si="16"/>
        <v>OK</v>
      </c>
      <c r="AA77" t="str">
        <f t="shared" si="17"/>
        <v>2026-07</v>
      </c>
      <c r="AB77" t="str">
        <f t="shared" si="18"/>
        <v>2026-09</v>
      </c>
      <c r="AC77" t="str">
        <f t="shared" si="19"/>
        <v>Q3-2026</v>
      </c>
      <c r="AD77" s="5">
        <f t="shared" si="20"/>
        <v>67</v>
      </c>
      <c r="AE77" t="str">
        <f t="shared" si="21"/>
        <v>Won</v>
      </c>
    </row>
    <row r="78" spans="1:31">
      <c r="A78" t="s">
        <v>179</v>
      </c>
      <c r="B78" s="1">
        <v>46007</v>
      </c>
      <c r="C78" t="s">
        <v>148</v>
      </c>
      <c r="D78" t="s">
        <v>43</v>
      </c>
      <c r="E78" t="s">
        <v>138</v>
      </c>
      <c r="F78" t="s">
        <v>71</v>
      </c>
      <c r="G78" t="s">
        <v>112</v>
      </c>
      <c r="H78" t="s">
        <v>53</v>
      </c>
      <c r="I78" t="s">
        <v>48</v>
      </c>
      <c r="J78" s="1">
        <v>46168</v>
      </c>
      <c r="K78" s="1"/>
      <c r="L78" s="3">
        <v>29300</v>
      </c>
      <c r="M78" s="4">
        <v>0.05</v>
      </c>
      <c r="N78" s="4">
        <v>0.85</v>
      </c>
      <c r="P78">
        <v>5</v>
      </c>
      <c r="Q78" t="str">
        <f>IFERROR(VLOOKUP(E78,Lookups!$A$5:$B$24,2,FALSE),"Other")</f>
        <v>Organic Search</v>
      </c>
      <c r="R78" t="str">
        <f>IFERROR(VLOOKUP(F78,Lookups!$D$5:$F$10,2,FALSE),"Unknown Product")</f>
        <v>Marketing Automation</v>
      </c>
      <c r="S78" t="str">
        <f>IFERROR(VLOOKUP(F78,Lookups!$D$5:$F$10,3,FALSE),"Unknown")</f>
        <v>Marketing</v>
      </c>
      <c r="T78" t="str">
        <f t="shared" si="11"/>
        <v>Mid-Market</v>
      </c>
      <c r="U78" t="str">
        <f t="shared" si="12"/>
        <v>Open</v>
      </c>
      <c r="V78" s="3">
        <f t="shared" si="13"/>
        <v>0</v>
      </c>
      <c r="W78" s="3">
        <f t="shared" si="14"/>
        <v>24905</v>
      </c>
      <c r="X78" s="5" t="str">
        <f t="shared" si="15"/>
        <v/>
      </c>
      <c r="Y78" s="5">
        <f>IF(U78="Open",Lookups!$B$2-B78,X78)</f>
        <v>259</v>
      </c>
      <c r="Z78" t="str">
        <f t="shared" si="16"/>
        <v>STALE</v>
      </c>
      <c r="AA78" t="str">
        <f t="shared" si="17"/>
        <v>2025-12</v>
      </c>
      <c r="AB78" t="str">
        <f t="shared" si="18"/>
        <v/>
      </c>
      <c r="AC78" t="str">
        <f t="shared" si="19"/>
        <v>Q4-2025</v>
      </c>
      <c r="AD78" s="5">
        <f t="shared" si="20"/>
        <v>70</v>
      </c>
      <c r="AE78" t="str">
        <f t="shared" si="21"/>
        <v>Commit</v>
      </c>
    </row>
    <row r="79" spans="1:31">
      <c r="A79" t="s">
        <v>180</v>
      </c>
      <c r="B79" s="1">
        <v>46187</v>
      </c>
      <c r="C79" t="s">
        <v>86</v>
      </c>
      <c r="D79" t="s">
        <v>87</v>
      </c>
      <c r="E79" t="s">
        <v>70</v>
      </c>
      <c r="F79" t="s">
        <v>45</v>
      </c>
      <c r="G79" t="s">
        <v>72</v>
      </c>
      <c r="H79" t="s">
        <v>47</v>
      </c>
      <c r="I79" t="s">
        <v>61</v>
      </c>
      <c r="J79" s="1">
        <v>46237</v>
      </c>
      <c r="K79" s="1">
        <v>46237</v>
      </c>
      <c r="L79" s="3">
        <v>22700</v>
      </c>
      <c r="M79" s="4">
        <v>0</v>
      </c>
      <c r="N79" s="4">
        <v>0</v>
      </c>
      <c r="O79" t="s">
        <v>79</v>
      </c>
      <c r="P79">
        <v>5</v>
      </c>
      <c r="Q79" t="str">
        <f>IFERROR(VLOOKUP(E79,Lookups!$A$5:$B$24,2,FALSE),"Other")</f>
        <v>LinkedIn</v>
      </c>
      <c r="R79" t="str">
        <f>IFERROR(VLOOKUP(F79,Lookups!$D$5:$F$10,2,FALSE),"Unknown Product")</f>
        <v>Service Cloud</v>
      </c>
      <c r="S79" t="str">
        <f>IFERROR(VLOOKUP(F79,Lookups!$D$5:$F$10,3,FALSE),"Unknown")</f>
        <v>Customer Service</v>
      </c>
      <c r="T79" t="str">
        <f t="shared" si="11"/>
        <v>Mid-Market</v>
      </c>
      <c r="U79" t="str">
        <f t="shared" si="12"/>
        <v>Lost</v>
      </c>
      <c r="V79" s="3">
        <f t="shared" si="13"/>
        <v>0</v>
      </c>
      <c r="W79" s="3">
        <f t="shared" si="14"/>
        <v>0</v>
      </c>
      <c r="X79" s="5">
        <f t="shared" si="15"/>
        <v>50</v>
      </c>
      <c r="Y79" s="5">
        <f>IF(U79="Open",Lookups!$B$2-B79,X79)</f>
        <v>50</v>
      </c>
      <c r="Z79" t="str">
        <f t="shared" si="16"/>
        <v>OK</v>
      </c>
      <c r="AA79" t="str">
        <f t="shared" si="17"/>
        <v>2026-06</v>
      </c>
      <c r="AB79" t="str">
        <f t="shared" si="18"/>
        <v>2026-08</v>
      </c>
      <c r="AC79" t="str">
        <f t="shared" si="19"/>
        <v>Q2-2026</v>
      </c>
      <c r="AD79" s="5">
        <f t="shared" si="20"/>
        <v>51</v>
      </c>
      <c r="AE79" t="str">
        <f t="shared" si="21"/>
        <v>Lost</v>
      </c>
    </row>
    <row r="80" spans="1:31">
      <c r="A80" t="s">
        <v>181</v>
      </c>
      <c r="B80" s="1">
        <v>45909</v>
      </c>
      <c r="C80" t="s">
        <v>86</v>
      </c>
      <c r="D80" t="s">
        <v>87</v>
      </c>
      <c r="E80" t="s">
        <v>138</v>
      </c>
      <c r="F80" t="s">
        <v>133</v>
      </c>
      <c r="G80" t="s">
        <v>99</v>
      </c>
      <c r="H80" t="s">
        <v>47</v>
      </c>
      <c r="I80" t="s">
        <v>77</v>
      </c>
      <c r="J80" s="1">
        <v>45969</v>
      </c>
      <c r="K80" s="1">
        <v>45969</v>
      </c>
      <c r="L80" s="3">
        <v>14700</v>
      </c>
      <c r="M80" s="4">
        <v>0</v>
      </c>
      <c r="N80" s="4">
        <v>1</v>
      </c>
      <c r="P80">
        <v>6</v>
      </c>
      <c r="Q80" t="str">
        <f>IFERROR(VLOOKUP(E80,Lookups!$A$5:$B$24,2,FALSE),"Other")</f>
        <v>Organic Search</v>
      </c>
      <c r="R80" t="str">
        <f>IFERROR(VLOOKUP(F80,Lookups!$D$5:$F$10,2,FALSE),"Unknown Product")</f>
        <v>Analytics Plus</v>
      </c>
      <c r="S80" t="str">
        <f>IFERROR(VLOOKUP(F80,Lookups!$D$5:$F$10,3,FALSE),"Unknown")</f>
        <v>Analytics</v>
      </c>
      <c r="T80" t="str">
        <f t="shared" si="11"/>
        <v>SMB</v>
      </c>
      <c r="U80" t="str">
        <f t="shared" si="12"/>
        <v>Won</v>
      </c>
      <c r="V80" s="3">
        <f t="shared" si="13"/>
        <v>14700</v>
      </c>
      <c r="W80" s="3">
        <f t="shared" si="14"/>
        <v>0</v>
      </c>
      <c r="X80" s="5">
        <f t="shared" si="15"/>
        <v>60</v>
      </c>
      <c r="Y80" s="5">
        <f>IF(U80="Open",Lookups!$B$2-B80,X80)</f>
        <v>60</v>
      </c>
      <c r="Z80" t="str">
        <f t="shared" si="16"/>
        <v>OK</v>
      </c>
      <c r="AA80" t="str">
        <f t="shared" si="17"/>
        <v>2025-09</v>
      </c>
      <c r="AB80" t="str">
        <f t="shared" si="18"/>
        <v>2025-11</v>
      </c>
      <c r="AC80" t="str">
        <f t="shared" si="19"/>
        <v>Q3-2025</v>
      </c>
      <c r="AD80" s="5">
        <f t="shared" si="20"/>
        <v>49</v>
      </c>
      <c r="AE80" t="str">
        <f t="shared" si="21"/>
        <v>Won</v>
      </c>
    </row>
    <row r="81" spans="1:31">
      <c r="A81" t="s">
        <v>182</v>
      </c>
      <c r="B81" s="1">
        <v>46192</v>
      </c>
      <c r="C81" t="s">
        <v>50</v>
      </c>
      <c r="D81" t="s">
        <v>43</v>
      </c>
      <c r="E81" t="s">
        <v>104</v>
      </c>
      <c r="F81" t="s">
        <v>52</v>
      </c>
      <c r="G81" t="s">
        <v>72</v>
      </c>
      <c r="H81" t="s">
        <v>53</v>
      </c>
      <c r="I81" t="s">
        <v>61</v>
      </c>
      <c r="J81" s="1">
        <v>46250</v>
      </c>
      <c r="K81" s="1">
        <v>46250</v>
      </c>
      <c r="L81" s="3">
        <v>18000</v>
      </c>
      <c r="M81" s="4">
        <v>0</v>
      </c>
      <c r="N81" s="4">
        <v>0</v>
      </c>
      <c r="O81" t="s">
        <v>62</v>
      </c>
      <c r="P81">
        <v>5</v>
      </c>
      <c r="Q81" t="str">
        <f>IFERROR(VLOOKUP(E81,Lookups!$A$5:$B$24,2,FALSE),"Other")</f>
        <v>Other</v>
      </c>
      <c r="R81" t="str">
        <f>IFERROR(VLOOKUP(F81,Lookups!$D$5:$F$10,2,FALSE),"Unknown Product")</f>
        <v>NexaCRM Core</v>
      </c>
      <c r="S81" t="str">
        <f>IFERROR(VLOOKUP(F81,Lookups!$D$5:$F$10,3,FALSE),"Unknown")</f>
        <v>CRM</v>
      </c>
      <c r="T81" t="str">
        <f t="shared" si="11"/>
        <v>SMB</v>
      </c>
      <c r="U81" t="str">
        <f t="shared" si="12"/>
        <v>Lost</v>
      </c>
      <c r="V81" s="3">
        <f t="shared" si="13"/>
        <v>0</v>
      </c>
      <c r="W81" s="3">
        <f t="shared" si="14"/>
        <v>0</v>
      </c>
      <c r="X81" s="5">
        <f t="shared" si="15"/>
        <v>58</v>
      </c>
      <c r="Y81" s="5">
        <f>IF(U81="Open",Lookups!$B$2-B81,X81)</f>
        <v>58</v>
      </c>
      <c r="Z81" t="str">
        <f t="shared" si="16"/>
        <v>OK</v>
      </c>
      <c r="AA81" t="str">
        <f t="shared" si="17"/>
        <v>2026-06</v>
      </c>
      <c r="AB81" t="str">
        <f t="shared" si="18"/>
        <v>2026-08</v>
      </c>
      <c r="AC81" t="str">
        <f t="shared" si="19"/>
        <v>Q2-2026</v>
      </c>
      <c r="AD81" s="5">
        <f t="shared" si="20"/>
        <v>51</v>
      </c>
      <c r="AE81" t="str">
        <f t="shared" si="21"/>
        <v>Lost</v>
      </c>
    </row>
    <row r="82" spans="1:31">
      <c r="A82" t="s">
        <v>183</v>
      </c>
      <c r="B82" s="1">
        <v>46197</v>
      </c>
      <c r="C82" t="s">
        <v>50</v>
      </c>
      <c r="D82" t="s">
        <v>43</v>
      </c>
      <c r="E82" t="s">
        <v>146</v>
      </c>
      <c r="F82" t="s">
        <v>71</v>
      </c>
      <c r="G82" t="s">
        <v>99</v>
      </c>
      <c r="H82" t="s">
        <v>53</v>
      </c>
      <c r="I82" t="s">
        <v>105</v>
      </c>
      <c r="J82" s="1">
        <v>46246</v>
      </c>
      <c r="K82" s="1"/>
      <c r="L82" s="3">
        <v>20100</v>
      </c>
      <c r="M82" s="4">
        <v>0.05</v>
      </c>
      <c r="N82" s="4">
        <v>0.4</v>
      </c>
      <c r="P82">
        <v>3</v>
      </c>
      <c r="Q82" t="str">
        <f>IFERROR(VLOOKUP(E82,Lookups!$A$5:$B$24,2,FALSE),"Other")</f>
        <v>LinkedIn</v>
      </c>
      <c r="R82" t="str">
        <f>IFERROR(VLOOKUP(F82,Lookups!$D$5:$F$10,2,FALSE),"Unknown Product")</f>
        <v>Marketing Automation</v>
      </c>
      <c r="S82" t="str">
        <f>IFERROR(VLOOKUP(F82,Lookups!$D$5:$F$10,3,FALSE),"Unknown")</f>
        <v>Marketing</v>
      </c>
      <c r="T82" t="str">
        <f t="shared" si="11"/>
        <v>Mid-Market</v>
      </c>
      <c r="U82" t="str">
        <f t="shared" si="12"/>
        <v>Open</v>
      </c>
      <c r="V82" s="3">
        <f t="shared" si="13"/>
        <v>0</v>
      </c>
      <c r="W82" s="3">
        <f t="shared" si="14"/>
        <v>8040</v>
      </c>
      <c r="X82" s="5" t="str">
        <f t="shared" si="15"/>
        <v/>
      </c>
      <c r="Y82" s="5">
        <f>IF(U82="Open",Lookups!$B$2-B82,X82)</f>
        <v>69</v>
      </c>
      <c r="Z82" t="str">
        <f t="shared" si="16"/>
        <v>STALE</v>
      </c>
      <c r="AA82" t="str">
        <f t="shared" si="17"/>
        <v>2026-06</v>
      </c>
      <c r="AB82" t="str">
        <f t="shared" si="18"/>
        <v/>
      </c>
      <c r="AC82" t="str">
        <f t="shared" si="19"/>
        <v>Q2-2026</v>
      </c>
      <c r="AD82" s="5">
        <f t="shared" si="20"/>
        <v>59</v>
      </c>
      <c r="AE82" t="str">
        <f t="shared" si="21"/>
        <v>Pipeline</v>
      </c>
    </row>
    <row r="83" spans="1:31">
      <c r="A83" t="s">
        <v>184</v>
      </c>
      <c r="B83" s="1">
        <v>46133</v>
      </c>
      <c r="C83" t="s">
        <v>90</v>
      </c>
      <c r="D83" t="s">
        <v>57</v>
      </c>
      <c r="E83" t="s">
        <v>51</v>
      </c>
      <c r="F83" t="s">
        <v>59</v>
      </c>
      <c r="G83" t="s">
        <v>46</v>
      </c>
      <c r="H83" t="s">
        <v>47</v>
      </c>
      <c r="I83" t="s">
        <v>77</v>
      </c>
      <c r="J83" s="1">
        <v>46201</v>
      </c>
      <c r="K83" s="1">
        <v>46201</v>
      </c>
      <c r="L83" s="3">
        <v>18000</v>
      </c>
      <c r="M83" s="4">
        <v>0.1</v>
      </c>
      <c r="N83" s="4">
        <v>1</v>
      </c>
      <c r="P83">
        <v>6</v>
      </c>
      <c r="Q83" t="str">
        <f>IFERROR(VLOOKUP(E83,Lookups!$A$5:$B$24,2,FALSE),"Other")</f>
        <v>Paid Search</v>
      </c>
      <c r="R83" t="str">
        <f>IFERROR(VLOOKUP(F83,Lookups!$D$5:$F$10,2,FALSE),"Unknown Product")</f>
        <v>NexaCRM Pro</v>
      </c>
      <c r="S83" t="str">
        <f>IFERROR(VLOOKUP(F83,Lookups!$D$5:$F$10,3,FALSE),"Unknown")</f>
        <v>CRM</v>
      </c>
      <c r="T83" t="str">
        <f t="shared" si="11"/>
        <v>SMB</v>
      </c>
      <c r="U83" t="str">
        <f t="shared" si="12"/>
        <v>Won</v>
      </c>
      <c r="V83" s="3">
        <f t="shared" si="13"/>
        <v>16200</v>
      </c>
      <c r="W83" s="3">
        <f t="shared" si="14"/>
        <v>0</v>
      </c>
      <c r="X83" s="5">
        <f t="shared" si="15"/>
        <v>68</v>
      </c>
      <c r="Y83" s="5">
        <f>IF(U83="Open",Lookups!$B$2-B83,X83)</f>
        <v>68</v>
      </c>
      <c r="Z83" t="str">
        <f t="shared" si="16"/>
        <v>OK</v>
      </c>
      <c r="AA83" t="str">
        <f t="shared" si="17"/>
        <v>2026-04</v>
      </c>
      <c r="AB83" t="str">
        <f t="shared" si="18"/>
        <v>2026-06</v>
      </c>
      <c r="AC83" t="str">
        <f t="shared" si="19"/>
        <v>Q2-2026</v>
      </c>
      <c r="AD83" s="5">
        <f t="shared" si="20"/>
        <v>43</v>
      </c>
      <c r="AE83" t="str">
        <f t="shared" si="21"/>
        <v>Won</v>
      </c>
    </row>
    <row r="84" spans="1:31">
      <c r="A84" t="s">
        <v>185</v>
      </c>
      <c r="B84" s="1">
        <v>45701</v>
      </c>
      <c r="C84" t="s">
        <v>50</v>
      </c>
      <c r="D84" t="s">
        <v>43</v>
      </c>
      <c r="E84" t="s">
        <v>166</v>
      </c>
      <c r="F84" t="s">
        <v>45</v>
      </c>
      <c r="G84" t="s">
        <v>94</v>
      </c>
      <c r="H84" t="s">
        <v>53</v>
      </c>
      <c r="I84" t="s">
        <v>48</v>
      </c>
      <c r="J84" s="1">
        <v>45913</v>
      </c>
      <c r="K84" s="1"/>
      <c r="L84" s="3">
        <v>36100</v>
      </c>
      <c r="M84" s="4">
        <v>0.05</v>
      </c>
      <c r="N84" s="4">
        <v>0.85</v>
      </c>
      <c r="P84">
        <v>5</v>
      </c>
      <c r="Q84" t="str">
        <f>IFERROR(VLOOKUP(E84,Lookups!$A$5:$B$24,2,FALSE),"Other")</f>
        <v>Referral</v>
      </c>
      <c r="R84" t="str">
        <f>IFERROR(VLOOKUP(F84,Lookups!$D$5:$F$10,2,FALSE),"Unknown Product")</f>
        <v>Service Cloud</v>
      </c>
      <c r="S84" t="str">
        <f>IFERROR(VLOOKUP(F84,Lookups!$D$5:$F$10,3,FALSE),"Unknown")</f>
        <v>Customer Service</v>
      </c>
      <c r="T84" t="str">
        <f t="shared" si="11"/>
        <v>Mid-Market</v>
      </c>
      <c r="U84" t="str">
        <f t="shared" si="12"/>
        <v>Open</v>
      </c>
      <c r="V84" s="3">
        <f t="shared" si="13"/>
        <v>0</v>
      </c>
      <c r="W84" s="3">
        <f t="shared" si="14"/>
        <v>30685</v>
      </c>
      <c r="X84" s="5" t="str">
        <f t="shared" si="15"/>
        <v/>
      </c>
      <c r="Y84" s="5">
        <f>IF(U84="Open",Lookups!$B$2-B84,X84)</f>
        <v>565</v>
      </c>
      <c r="Z84" t="str">
        <f t="shared" si="16"/>
        <v>STALE</v>
      </c>
      <c r="AA84" t="str">
        <f t="shared" si="17"/>
        <v>2025-02</v>
      </c>
      <c r="AB84" t="str">
        <f t="shared" si="18"/>
        <v/>
      </c>
      <c r="AC84" t="str">
        <f t="shared" si="19"/>
        <v>Q1-2025</v>
      </c>
      <c r="AD84" s="5">
        <f t="shared" si="20"/>
        <v>70</v>
      </c>
      <c r="AE84" t="str">
        <f t="shared" si="21"/>
        <v>Commit</v>
      </c>
    </row>
    <row r="85" spans="1:31">
      <c r="A85" t="s">
        <v>186</v>
      </c>
      <c r="B85" s="1">
        <v>46265</v>
      </c>
      <c r="C85" t="s">
        <v>56</v>
      </c>
      <c r="D85" t="s">
        <v>57</v>
      </c>
      <c r="E85" t="s">
        <v>127</v>
      </c>
      <c r="F85" t="s">
        <v>52</v>
      </c>
      <c r="G85" t="s">
        <v>112</v>
      </c>
      <c r="H85" t="s">
        <v>47</v>
      </c>
      <c r="I85" t="s">
        <v>187</v>
      </c>
      <c r="J85" s="1">
        <v>46266</v>
      </c>
      <c r="K85" s="1"/>
      <c r="L85" s="3">
        <v>4500</v>
      </c>
      <c r="M85" s="4">
        <v>0.05</v>
      </c>
      <c r="N85" s="4">
        <v>0.05</v>
      </c>
      <c r="P85">
        <v>1</v>
      </c>
      <c r="Q85" t="str">
        <f>IFERROR(VLOOKUP(E85,Lookups!$A$5:$B$24,2,FALSE),"Other")</f>
        <v>Paid Search</v>
      </c>
      <c r="R85" t="str">
        <f>IFERROR(VLOOKUP(F85,Lookups!$D$5:$F$10,2,FALSE),"Unknown Product")</f>
        <v>NexaCRM Core</v>
      </c>
      <c r="S85" t="str">
        <f>IFERROR(VLOOKUP(F85,Lookups!$D$5:$F$10,3,FALSE),"Unknown")</f>
        <v>CRM</v>
      </c>
      <c r="T85" t="str">
        <f t="shared" si="11"/>
        <v>SMB</v>
      </c>
      <c r="U85" t="str">
        <f t="shared" si="12"/>
        <v>Open</v>
      </c>
      <c r="V85" s="3">
        <f t="shared" si="13"/>
        <v>0</v>
      </c>
      <c r="W85" s="3">
        <f t="shared" si="14"/>
        <v>225</v>
      </c>
      <c r="X85" s="5" t="str">
        <f t="shared" si="15"/>
        <v/>
      </c>
      <c r="Y85" s="5">
        <f>IF(U85="Open",Lookups!$B$2-B85,X85)</f>
        <v>1</v>
      </c>
      <c r="Z85" t="str">
        <f t="shared" si="16"/>
        <v>OK</v>
      </c>
      <c r="AA85" t="str">
        <f t="shared" si="17"/>
        <v>2026-08</v>
      </c>
      <c r="AB85" t="str">
        <f t="shared" si="18"/>
        <v/>
      </c>
      <c r="AC85" t="str">
        <f t="shared" si="19"/>
        <v>Q3-2026</v>
      </c>
      <c r="AD85" s="5">
        <f t="shared" si="20"/>
        <v>48</v>
      </c>
      <c r="AE85" t="str">
        <f t="shared" si="21"/>
        <v>Pipeline</v>
      </c>
    </row>
    <row r="86" spans="1:31">
      <c r="A86" t="s">
        <v>188</v>
      </c>
      <c r="B86" s="1">
        <v>46135</v>
      </c>
      <c r="C86" t="s">
        <v>90</v>
      </c>
      <c r="D86" t="s">
        <v>57</v>
      </c>
      <c r="E86" t="s">
        <v>98</v>
      </c>
      <c r="F86" t="s">
        <v>71</v>
      </c>
      <c r="G86" t="s">
        <v>112</v>
      </c>
      <c r="H86" t="s">
        <v>47</v>
      </c>
      <c r="I86" t="s">
        <v>61</v>
      </c>
      <c r="J86" s="1">
        <v>46179</v>
      </c>
      <c r="K86" s="1">
        <v>46179</v>
      </c>
      <c r="L86" s="3">
        <v>13400</v>
      </c>
      <c r="M86" s="4">
        <v>0</v>
      </c>
      <c r="N86" s="4">
        <v>0</v>
      </c>
      <c r="O86" t="s">
        <v>62</v>
      </c>
      <c r="P86">
        <v>4</v>
      </c>
      <c r="Q86" t="str">
        <f>IFERROR(VLOOKUP(E86,Lookups!$A$5:$B$24,2,FALSE),"Other")</f>
        <v>Outbound</v>
      </c>
      <c r="R86" t="str">
        <f>IFERROR(VLOOKUP(F86,Lookups!$D$5:$F$10,2,FALSE),"Unknown Product")</f>
        <v>Marketing Automation</v>
      </c>
      <c r="S86" t="str">
        <f>IFERROR(VLOOKUP(F86,Lookups!$D$5:$F$10,3,FALSE),"Unknown")</f>
        <v>Marketing</v>
      </c>
      <c r="T86" t="str">
        <f t="shared" si="11"/>
        <v>SMB</v>
      </c>
      <c r="U86" t="str">
        <f t="shared" si="12"/>
        <v>Lost</v>
      </c>
      <c r="V86" s="3">
        <f t="shared" si="13"/>
        <v>0</v>
      </c>
      <c r="W86" s="3">
        <f t="shared" si="14"/>
        <v>0</v>
      </c>
      <c r="X86" s="5">
        <f t="shared" si="15"/>
        <v>44</v>
      </c>
      <c r="Y86" s="5">
        <f>IF(U86="Open",Lookups!$B$2-B86,X86)</f>
        <v>44</v>
      </c>
      <c r="Z86" t="str">
        <f t="shared" si="16"/>
        <v>OK</v>
      </c>
      <c r="AA86" t="str">
        <f t="shared" si="17"/>
        <v>2026-04</v>
      </c>
      <c r="AB86" t="str">
        <f t="shared" si="18"/>
        <v>2026-06</v>
      </c>
      <c r="AC86" t="str">
        <f t="shared" si="19"/>
        <v>Q2-2026</v>
      </c>
      <c r="AD86" s="5">
        <f t="shared" si="20"/>
        <v>48</v>
      </c>
      <c r="AE86" t="str">
        <f t="shared" si="21"/>
        <v>Lost</v>
      </c>
    </row>
    <row r="87" spans="1:31">
      <c r="A87" t="s">
        <v>189</v>
      </c>
      <c r="B87" s="1">
        <v>45782</v>
      </c>
      <c r="C87" t="s">
        <v>42</v>
      </c>
      <c r="D87" t="s">
        <v>43</v>
      </c>
      <c r="E87" t="s">
        <v>119</v>
      </c>
      <c r="F87" t="s">
        <v>71</v>
      </c>
      <c r="G87" t="s">
        <v>72</v>
      </c>
      <c r="H87" t="s">
        <v>47</v>
      </c>
      <c r="I87" t="s">
        <v>61</v>
      </c>
      <c r="J87" s="1">
        <v>45828</v>
      </c>
      <c r="K87" s="1">
        <v>45828</v>
      </c>
      <c r="L87" s="3">
        <v>15600</v>
      </c>
      <c r="M87" s="4">
        <v>0</v>
      </c>
      <c r="N87" s="4">
        <v>0</v>
      </c>
      <c r="O87" t="s">
        <v>62</v>
      </c>
      <c r="P87">
        <v>5</v>
      </c>
      <c r="Q87" t="str">
        <f>IFERROR(VLOOKUP(E87,Lookups!$A$5:$B$24,2,FALSE),"Other")</f>
        <v>Referral</v>
      </c>
      <c r="R87" t="str">
        <f>IFERROR(VLOOKUP(F87,Lookups!$D$5:$F$10,2,FALSE),"Unknown Product")</f>
        <v>Marketing Automation</v>
      </c>
      <c r="S87" t="str">
        <f>IFERROR(VLOOKUP(F87,Lookups!$D$5:$F$10,3,FALSE),"Unknown")</f>
        <v>Marketing</v>
      </c>
      <c r="T87" t="str">
        <f t="shared" si="11"/>
        <v>SMB</v>
      </c>
      <c r="U87" t="str">
        <f t="shared" si="12"/>
        <v>Lost</v>
      </c>
      <c r="V87" s="3">
        <f t="shared" si="13"/>
        <v>0</v>
      </c>
      <c r="W87" s="3">
        <f t="shared" si="14"/>
        <v>0</v>
      </c>
      <c r="X87" s="5">
        <f t="shared" si="15"/>
        <v>46</v>
      </c>
      <c r="Y87" s="5">
        <f>IF(U87="Open",Lookups!$B$2-B87,X87)</f>
        <v>46</v>
      </c>
      <c r="Z87" t="str">
        <f t="shared" si="16"/>
        <v>OK</v>
      </c>
      <c r="AA87" t="str">
        <f t="shared" si="17"/>
        <v>2025-05</v>
      </c>
      <c r="AB87" t="str">
        <f t="shared" si="18"/>
        <v>2025-06</v>
      </c>
      <c r="AC87" t="str">
        <f t="shared" si="19"/>
        <v>Q2-2025</v>
      </c>
      <c r="AD87" s="5">
        <f t="shared" si="20"/>
        <v>54</v>
      </c>
      <c r="AE87" t="str">
        <f t="shared" si="21"/>
        <v>Lost</v>
      </c>
    </row>
    <row r="88" spans="1:31">
      <c r="A88" t="s">
        <v>190</v>
      </c>
      <c r="B88" s="1">
        <v>46042</v>
      </c>
      <c r="C88" t="s">
        <v>56</v>
      </c>
      <c r="D88" t="s">
        <v>57</v>
      </c>
      <c r="E88" t="s">
        <v>115</v>
      </c>
      <c r="F88" t="s">
        <v>52</v>
      </c>
      <c r="G88" t="s">
        <v>94</v>
      </c>
      <c r="H88" t="s">
        <v>47</v>
      </c>
      <c r="I88" t="s">
        <v>61</v>
      </c>
      <c r="J88" s="1">
        <v>46105</v>
      </c>
      <c r="K88" s="1">
        <v>46105</v>
      </c>
      <c r="L88" s="3">
        <v>7600</v>
      </c>
      <c r="M88" s="4">
        <v>0</v>
      </c>
      <c r="N88" s="4">
        <v>0</v>
      </c>
      <c r="O88" t="s">
        <v>79</v>
      </c>
      <c r="P88">
        <v>3</v>
      </c>
      <c r="Q88" t="str">
        <f>IFERROR(VLOOKUP(E88,Lookups!$A$5:$B$24,2,FALSE),"Other")</f>
        <v>Outbound</v>
      </c>
      <c r="R88" t="str">
        <f>IFERROR(VLOOKUP(F88,Lookups!$D$5:$F$10,2,FALSE),"Unknown Product")</f>
        <v>NexaCRM Core</v>
      </c>
      <c r="S88" t="str">
        <f>IFERROR(VLOOKUP(F88,Lookups!$D$5:$F$10,3,FALSE),"Unknown")</f>
        <v>CRM</v>
      </c>
      <c r="T88" t="str">
        <f t="shared" si="11"/>
        <v>SMB</v>
      </c>
      <c r="U88" t="str">
        <f t="shared" si="12"/>
        <v>Lost</v>
      </c>
      <c r="V88" s="3">
        <f t="shared" si="13"/>
        <v>0</v>
      </c>
      <c r="W88" s="3">
        <f t="shared" si="14"/>
        <v>0</v>
      </c>
      <c r="X88" s="5">
        <f t="shared" si="15"/>
        <v>63</v>
      </c>
      <c r="Y88" s="5">
        <f>IF(U88="Open",Lookups!$B$2-B88,X88)</f>
        <v>63</v>
      </c>
      <c r="Z88" t="str">
        <f t="shared" si="16"/>
        <v>OK</v>
      </c>
      <c r="AA88" t="str">
        <f t="shared" si="17"/>
        <v>2026-01</v>
      </c>
      <c r="AB88" t="str">
        <f t="shared" si="18"/>
        <v>2026-03</v>
      </c>
      <c r="AC88" t="str">
        <f t="shared" si="19"/>
        <v>Q1-2026</v>
      </c>
      <c r="AD88" s="5">
        <f t="shared" si="20"/>
        <v>43</v>
      </c>
      <c r="AE88" t="str">
        <f t="shared" si="21"/>
        <v>Lost</v>
      </c>
    </row>
    <row r="89" spans="1:31">
      <c r="A89" t="s">
        <v>191</v>
      </c>
      <c r="B89" s="1">
        <v>45694</v>
      </c>
      <c r="C89" t="s">
        <v>42</v>
      </c>
      <c r="D89" t="s">
        <v>43</v>
      </c>
      <c r="E89" t="s">
        <v>65</v>
      </c>
      <c r="F89" t="s">
        <v>71</v>
      </c>
      <c r="G89" t="s">
        <v>72</v>
      </c>
      <c r="H89" t="s">
        <v>47</v>
      </c>
      <c r="I89" t="s">
        <v>77</v>
      </c>
      <c r="J89" s="1">
        <v>45729</v>
      </c>
      <c r="K89" s="1">
        <v>45729</v>
      </c>
      <c r="L89" s="3">
        <v>17500</v>
      </c>
      <c r="M89" s="4">
        <v>0.03</v>
      </c>
      <c r="N89" s="4">
        <v>1</v>
      </c>
      <c r="P89">
        <v>6</v>
      </c>
      <c r="Q89" t="str">
        <f>IFERROR(VLOOKUP(E89,Lookups!$A$5:$B$24,2,FALSE),"Other")</f>
        <v>Paid Search</v>
      </c>
      <c r="R89" t="str">
        <f>IFERROR(VLOOKUP(F89,Lookups!$D$5:$F$10,2,FALSE),"Unknown Product")</f>
        <v>Marketing Automation</v>
      </c>
      <c r="S89" t="str">
        <f>IFERROR(VLOOKUP(F89,Lookups!$D$5:$F$10,3,FALSE),"Unknown")</f>
        <v>Marketing</v>
      </c>
      <c r="T89" t="str">
        <f t="shared" si="11"/>
        <v>SMB</v>
      </c>
      <c r="U89" t="str">
        <f t="shared" si="12"/>
        <v>Won</v>
      </c>
      <c r="V89" s="3">
        <f t="shared" si="13"/>
        <v>16975</v>
      </c>
      <c r="W89" s="3">
        <f t="shared" si="14"/>
        <v>0</v>
      </c>
      <c r="X89" s="5">
        <f t="shared" si="15"/>
        <v>35</v>
      </c>
      <c r="Y89" s="5">
        <f>IF(U89="Open",Lookups!$B$2-B89,X89)</f>
        <v>35</v>
      </c>
      <c r="Z89" t="str">
        <f t="shared" si="16"/>
        <v>OK</v>
      </c>
      <c r="AA89" t="str">
        <f t="shared" si="17"/>
        <v>2025-02</v>
      </c>
      <c r="AB89" t="str">
        <f t="shared" si="18"/>
        <v>2025-03</v>
      </c>
      <c r="AC89" t="str">
        <f t="shared" si="19"/>
        <v>Q1-2025</v>
      </c>
      <c r="AD89" s="5">
        <f t="shared" si="20"/>
        <v>43</v>
      </c>
      <c r="AE89" t="str">
        <f t="shared" si="21"/>
        <v>Won</v>
      </c>
    </row>
    <row r="90" spans="1:31">
      <c r="A90" t="s">
        <v>192</v>
      </c>
      <c r="B90" s="1">
        <v>46024</v>
      </c>
      <c r="C90" t="s">
        <v>50</v>
      </c>
      <c r="D90" t="s">
        <v>43</v>
      </c>
      <c r="E90" t="s">
        <v>160</v>
      </c>
      <c r="F90" t="s">
        <v>52</v>
      </c>
      <c r="G90" t="s">
        <v>60</v>
      </c>
      <c r="H90" t="s">
        <v>53</v>
      </c>
      <c r="I90" t="s">
        <v>61</v>
      </c>
      <c r="J90" s="1">
        <v>46036</v>
      </c>
      <c r="K90" s="1">
        <v>46036</v>
      </c>
      <c r="L90" s="3">
        <v>16200</v>
      </c>
      <c r="M90" s="4">
        <v>0</v>
      </c>
      <c r="N90" s="4">
        <v>0</v>
      </c>
      <c r="O90" t="s">
        <v>79</v>
      </c>
      <c r="P90">
        <v>3</v>
      </c>
      <c r="Q90" t="str">
        <f>IFERROR(VLOOKUP(E90,Lookups!$A$5:$B$24,2,FALSE),"Other")</f>
        <v>Email</v>
      </c>
      <c r="R90" t="str">
        <f>IFERROR(VLOOKUP(F90,Lookups!$D$5:$F$10,2,FALSE),"Unknown Product")</f>
        <v>NexaCRM Core</v>
      </c>
      <c r="S90" t="str">
        <f>IFERROR(VLOOKUP(F90,Lookups!$D$5:$F$10,3,FALSE),"Unknown")</f>
        <v>CRM</v>
      </c>
      <c r="T90" t="str">
        <f t="shared" si="11"/>
        <v>SMB</v>
      </c>
      <c r="U90" t="str">
        <f t="shared" si="12"/>
        <v>Lost</v>
      </c>
      <c r="V90" s="3">
        <f t="shared" si="13"/>
        <v>0</v>
      </c>
      <c r="W90" s="3">
        <f t="shared" si="14"/>
        <v>0</v>
      </c>
      <c r="X90" s="5">
        <f t="shared" si="15"/>
        <v>12</v>
      </c>
      <c r="Y90" s="5">
        <f>IF(U90="Open",Lookups!$B$2-B90,X90)</f>
        <v>12</v>
      </c>
      <c r="Z90" t="str">
        <f t="shared" si="16"/>
        <v>OK</v>
      </c>
      <c r="AA90" t="str">
        <f t="shared" si="17"/>
        <v>2026-01</v>
      </c>
      <c r="AB90" t="str">
        <f t="shared" si="18"/>
        <v>2026-01</v>
      </c>
      <c r="AC90" t="str">
        <f t="shared" si="19"/>
        <v>Q1-2026</v>
      </c>
      <c r="AD90" s="5">
        <f t="shared" si="20"/>
        <v>55</v>
      </c>
      <c r="AE90" t="str">
        <f t="shared" si="21"/>
        <v>Lost</v>
      </c>
    </row>
    <row r="91" spans="1:31">
      <c r="A91" t="s">
        <v>193</v>
      </c>
      <c r="B91" s="1">
        <v>46007</v>
      </c>
      <c r="C91" t="s">
        <v>56</v>
      </c>
      <c r="D91" t="s">
        <v>57</v>
      </c>
      <c r="E91" t="s">
        <v>138</v>
      </c>
      <c r="F91" t="s">
        <v>67</v>
      </c>
      <c r="G91" t="s">
        <v>60</v>
      </c>
      <c r="H91" t="s">
        <v>84</v>
      </c>
      <c r="I91" t="s">
        <v>77</v>
      </c>
      <c r="J91" s="1">
        <v>46072</v>
      </c>
      <c r="K91" s="1">
        <v>46072</v>
      </c>
      <c r="L91" s="3">
        <v>74500</v>
      </c>
      <c r="M91" s="4">
        <v>0.12</v>
      </c>
      <c r="N91" s="4">
        <v>1</v>
      </c>
      <c r="P91">
        <v>6</v>
      </c>
      <c r="Q91" t="str">
        <f>IFERROR(VLOOKUP(E91,Lookups!$A$5:$B$24,2,FALSE),"Other")</f>
        <v>Organic Search</v>
      </c>
      <c r="R91" t="str">
        <f>IFERROR(VLOOKUP(F91,Lookups!$D$5:$F$10,2,FALSE),"Unknown Product")</f>
        <v>Revenue Operations Suite</v>
      </c>
      <c r="S91" t="str">
        <f>IFERROR(VLOOKUP(F91,Lookups!$D$5:$F$10,3,FALSE),"Unknown")</f>
        <v>Revenue Ops</v>
      </c>
      <c r="T91" t="str">
        <f t="shared" si="11"/>
        <v>Enterprise</v>
      </c>
      <c r="U91" t="str">
        <f t="shared" si="12"/>
        <v>Won</v>
      </c>
      <c r="V91" s="3">
        <f t="shared" si="13"/>
        <v>65560</v>
      </c>
      <c r="W91" s="3">
        <f t="shared" si="14"/>
        <v>0</v>
      </c>
      <c r="X91" s="5">
        <f t="shared" si="15"/>
        <v>65</v>
      </c>
      <c r="Y91" s="5">
        <f>IF(U91="Open",Lookups!$B$2-B91,X91)</f>
        <v>65</v>
      </c>
      <c r="Z91" t="str">
        <f t="shared" si="16"/>
        <v>OK</v>
      </c>
      <c r="AA91" t="str">
        <f t="shared" si="17"/>
        <v>2025-12</v>
      </c>
      <c r="AB91" t="str">
        <f t="shared" si="18"/>
        <v>2026-02</v>
      </c>
      <c r="AC91" t="str">
        <f t="shared" si="19"/>
        <v>Q4-2025</v>
      </c>
      <c r="AD91" s="5">
        <f t="shared" si="20"/>
        <v>80</v>
      </c>
      <c r="AE91" t="str">
        <f t="shared" si="21"/>
        <v>Won</v>
      </c>
    </row>
    <row r="92" spans="1:31">
      <c r="A92" t="s">
        <v>194</v>
      </c>
      <c r="B92" s="1">
        <v>45873</v>
      </c>
      <c r="C92" t="s">
        <v>148</v>
      </c>
      <c r="D92" t="s">
        <v>43</v>
      </c>
      <c r="E92" t="s">
        <v>138</v>
      </c>
      <c r="F92" t="s">
        <v>52</v>
      </c>
      <c r="G92" t="s">
        <v>60</v>
      </c>
      <c r="H92" t="s">
        <v>47</v>
      </c>
      <c r="I92" t="s">
        <v>48</v>
      </c>
      <c r="J92" s="1">
        <v>46097</v>
      </c>
      <c r="K92" s="1"/>
      <c r="L92" s="3">
        <v>6700</v>
      </c>
      <c r="M92" s="4">
        <v>0</v>
      </c>
      <c r="N92" s="4">
        <v>0.85</v>
      </c>
      <c r="P92">
        <v>5</v>
      </c>
      <c r="Q92" t="str">
        <f>IFERROR(VLOOKUP(E92,Lookups!$A$5:$B$24,2,FALSE),"Other")</f>
        <v>Organic Search</v>
      </c>
      <c r="R92" t="str">
        <f>IFERROR(VLOOKUP(F92,Lookups!$D$5:$F$10,2,FALSE),"Unknown Product")</f>
        <v>NexaCRM Core</v>
      </c>
      <c r="S92" t="str">
        <f>IFERROR(VLOOKUP(F92,Lookups!$D$5:$F$10,3,FALSE),"Unknown")</f>
        <v>CRM</v>
      </c>
      <c r="T92" t="str">
        <f t="shared" si="11"/>
        <v>SMB</v>
      </c>
      <c r="U92" t="str">
        <f t="shared" si="12"/>
        <v>Open</v>
      </c>
      <c r="V92" s="3">
        <f t="shared" si="13"/>
        <v>0</v>
      </c>
      <c r="W92" s="3">
        <f t="shared" si="14"/>
        <v>5695</v>
      </c>
      <c r="X92" s="5" t="str">
        <f t="shared" si="15"/>
        <v/>
      </c>
      <c r="Y92" s="5">
        <f>IF(U92="Open",Lookups!$B$2-B92,X92)</f>
        <v>393</v>
      </c>
      <c r="Z92" t="str">
        <f t="shared" si="16"/>
        <v>STALE</v>
      </c>
      <c r="AA92" t="str">
        <f t="shared" si="17"/>
        <v>2025-08</v>
      </c>
      <c r="AB92" t="str">
        <f t="shared" si="18"/>
        <v/>
      </c>
      <c r="AC92" t="str">
        <f t="shared" si="19"/>
        <v>Q3-2025</v>
      </c>
      <c r="AD92" s="5">
        <f t="shared" si="20"/>
        <v>49</v>
      </c>
      <c r="AE92" t="str">
        <f t="shared" si="21"/>
        <v>Commit</v>
      </c>
    </row>
    <row r="93" spans="1:31">
      <c r="A93" t="s">
        <v>195</v>
      </c>
      <c r="B93" s="1">
        <v>45822</v>
      </c>
      <c r="C93" t="s">
        <v>86</v>
      </c>
      <c r="D93" t="s">
        <v>87</v>
      </c>
      <c r="E93" t="s">
        <v>51</v>
      </c>
      <c r="F93" t="s">
        <v>45</v>
      </c>
      <c r="G93" t="s">
        <v>46</v>
      </c>
      <c r="H93" t="s">
        <v>47</v>
      </c>
      <c r="I93" t="s">
        <v>61</v>
      </c>
      <c r="J93" s="1">
        <v>45840</v>
      </c>
      <c r="K93" s="1">
        <v>45840</v>
      </c>
      <c r="L93" s="3">
        <v>27100</v>
      </c>
      <c r="M93" s="4">
        <v>0</v>
      </c>
      <c r="N93" s="4">
        <v>0</v>
      </c>
      <c r="O93" t="s">
        <v>81</v>
      </c>
      <c r="P93">
        <v>2</v>
      </c>
      <c r="Q93" t="str">
        <f>IFERROR(VLOOKUP(E93,Lookups!$A$5:$B$24,2,FALSE),"Other")</f>
        <v>Paid Search</v>
      </c>
      <c r="R93" t="str">
        <f>IFERROR(VLOOKUP(F93,Lookups!$D$5:$F$10,2,FALSE),"Unknown Product")</f>
        <v>Service Cloud</v>
      </c>
      <c r="S93" t="str">
        <f>IFERROR(VLOOKUP(F93,Lookups!$D$5:$F$10,3,FALSE),"Unknown")</f>
        <v>Customer Service</v>
      </c>
      <c r="T93" t="str">
        <f t="shared" si="11"/>
        <v>Mid-Market</v>
      </c>
      <c r="U93" t="str">
        <f t="shared" si="12"/>
        <v>Lost</v>
      </c>
      <c r="V93" s="3">
        <f t="shared" si="13"/>
        <v>0</v>
      </c>
      <c r="W93" s="3">
        <f t="shared" si="14"/>
        <v>0</v>
      </c>
      <c r="X93" s="5">
        <f t="shared" si="15"/>
        <v>18</v>
      </c>
      <c r="Y93" s="5">
        <f>IF(U93="Open",Lookups!$B$2-B93,X93)</f>
        <v>18</v>
      </c>
      <c r="Z93" t="str">
        <f t="shared" si="16"/>
        <v>OK</v>
      </c>
      <c r="AA93" t="str">
        <f t="shared" si="17"/>
        <v>2025-06</v>
      </c>
      <c r="AB93" t="str">
        <f t="shared" si="18"/>
        <v>2025-07</v>
      </c>
      <c r="AC93" t="str">
        <f t="shared" si="19"/>
        <v>Q2-2025</v>
      </c>
      <c r="AD93" s="5">
        <f t="shared" si="20"/>
        <v>51</v>
      </c>
      <c r="AE93" t="str">
        <f t="shared" si="21"/>
        <v>Lost</v>
      </c>
    </row>
    <row r="94" spans="1:31">
      <c r="A94" t="s">
        <v>196</v>
      </c>
      <c r="B94" s="1">
        <v>45701</v>
      </c>
      <c r="C94" t="s">
        <v>50</v>
      </c>
      <c r="D94" t="s">
        <v>43</v>
      </c>
      <c r="E94" t="s">
        <v>123</v>
      </c>
      <c r="F94" t="s">
        <v>45</v>
      </c>
      <c r="G94" t="s">
        <v>94</v>
      </c>
      <c r="H94" t="s">
        <v>53</v>
      </c>
      <c r="I94" t="s">
        <v>77</v>
      </c>
      <c r="J94" s="1">
        <v>45722</v>
      </c>
      <c r="K94" s="1">
        <v>45722</v>
      </c>
      <c r="L94" s="3">
        <v>32900</v>
      </c>
      <c r="M94" s="4">
        <v>0.03</v>
      </c>
      <c r="N94" s="4">
        <v>1</v>
      </c>
      <c r="P94">
        <v>6</v>
      </c>
      <c r="Q94" t="str">
        <f>IFERROR(VLOOKUP(E94,Lookups!$A$5:$B$24,2,FALSE),"Other")</f>
        <v>Email</v>
      </c>
      <c r="R94" t="str">
        <f>IFERROR(VLOOKUP(F94,Lookups!$D$5:$F$10,2,FALSE),"Unknown Product")</f>
        <v>Service Cloud</v>
      </c>
      <c r="S94" t="str">
        <f>IFERROR(VLOOKUP(F94,Lookups!$D$5:$F$10,3,FALSE),"Unknown")</f>
        <v>Customer Service</v>
      </c>
      <c r="T94" t="str">
        <f t="shared" si="11"/>
        <v>Mid-Market</v>
      </c>
      <c r="U94" t="str">
        <f t="shared" si="12"/>
        <v>Won</v>
      </c>
      <c r="V94" s="3">
        <f t="shared" si="13"/>
        <v>31913</v>
      </c>
      <c r="W94" s="3">
        <f t="shared" si="14"/>
        <v>0</v>
      </c>
      <c r="X94" s="5">
        <f t="shared" si="15"/>
        <v>21</v>
      </c>
      <c r="Y94" s="5">
        <f>IF(U94="Open",Lookups!$B$2-B94,X94)</f>
        <v>21</v>
      </c>
      <c r="Z94" t="str">
        <f t="shared" si="16"/>
        <v>OK</v>
      </c>
      <c r="AA94" t="str">
        <f t="shared" si="17"/>
        <v>2025-02</v>
      </c>
      <c r="AB94" t="str">
        <f t="shared" si="18"/>
        <v>2025-03</v>
      </c>
      <c r="AC94" t="str">
        <f t="shared" si="19"/>
        <v>Q1-2025</v>
      </c>
      <c r="AD94" s="5">
        <f t="shared" si="20"/>
        <v>63</v>
      </c>
      <c r="AE94" t="str">
        <f t="shared" si="21"/>
        <v>Won</v>
      </c>
    </row>
    <row r="95" spans="1:31">
      <c r="A95" t="s">
        <v>197</v>
      </c>
      <c r="B95" s="1">
        <v>45689</v>
      </c>
      <c r="C95" t="s">
        <v>69</v>
      </c>
      <c r="D95" t="s">
        <v>57</v>
      </c>
      <c r="E95" t="s">
        <v>138</v>
      </c>
      <c r="F95" t="s">
        <v>52</v>
      </c>
      <c r="G95" t="s">
        <v>60</v>
      </c>
      <c r="H95" t="s">
        <v>84</v>
      </c>
      <c r="I95" t="s">
        <v>77</v>
      </c>
      <c r="J95" s="1">
        <v>45774</v>
      </c>
      <c r="K95" s="1">
        <v>45774</v>
      </c>
      <c r="L95" s="3">
        <v>17600</v>
      </c>
      <c r="M95" s="4">
        <v>0.05</v>
      </c>
      <c r="N95" s="4">
        <v>1</v>
      </c>
      <c r="P95">
        <v>6</v>
      </c>
      <c r="Q95" t="str">
        <f>IFERROR(VLOOKUP(E95,Lookups!$A$5:$B$24,2,FALSE),"Other")</f>
        <v>Organic Search</v>
      </c>
      <c r="R95" t="str">
        <f>IFERROR(VLOOKUP(F95,Lookups!$D$5:$F$10,2,FALSE),"Unknown Product")</f>
        <v>NexaCRM Core</v>
      </c>
      <c r="S95" t="str">
        <f>IFERROR(VLOOKUP(F95,Lookups!$D$5:$F$10,3,FALSE),"Unknown")</f>
        <v>CRM</v>
      </c>
      <c r="T95" t="str">
        <f t="shared" si="11"/>
        <v>SMB</v>
      </c>
      <c r="U95" t="str">
        <f t="shared" si="12"/>
        <v>Won</v>
      </c>
      <c r="V95" s="3">
        <f t="shared" si="13"/>
        <v>16720</v>
      </c>
      <c r="W95" s="3">
        <f t="shared" si="14"/>
        <v>0</v>
      </c>
      <c r="X95" s="5">
        <f t="shared" si="15"/>
        <v>85</v>
      </c>
      <c r="Y95" s="5">
        <f>IF(U95="Open",Lookups!$B$2-B95,X95)</f>
        <v>85</v>
      </c>
      <c r="Z95" t="str">
        <f t="shared" si="16"/>
        <v>OK</v>
      </c>
      <c r="AA95" t="str">
        <f t="shared" si="17"/>
        <v>2025-02</v>
      </c>
      <c r="AB95" t="str">
        <f t="shared" si="18"/>
        <v>2025-04</v>
      </c>
      <c r="AC95" t="str">
        <f t="shared" si="19"/>
        <v>Q1-2025</v>
      </c>
      <c r="AD95" s="5">
        <f t="shared" si="20"/>
        <v>65</v>
      </c>
      <c r="AE95" t="str">
        <f t="shared" si="21"/>
        <v>Won</v>
      </c>
    </row>
    <row r="96" spans="1:31">
      <c r="A96" t="s">
        <v>198</v>
      </c>
      <c r="B96" s="1">
        <v>45683</v>
      </c>
      <c r="C96" t="s">
        <v>86</v>
      </c>
      <c r="D96" t="s">
        <v>87</v>
      </c>
      <c r="E96" t="s">
        <v>96</v>
      </c>
      <c r="F96" t="s">
        <v>52</v>
      </c>
      <c r="G96" t="s">
        <v>99</v>
      </c>
      <c r="H96" t="s">
        <v>47</v>
      </c>
      <c r="I96" t="s">
        <v>61</v>
      </c>
      <c r="J96" s="1">
        <v>45762</v>
      </c>
      <c r="K96" s="1">
        <v>45762</v>
      </c>
      <c r="L96" s="3">
        <v>9600</v>
      </c>
      <c r="M96" s="4">
        <v>0</v>
      </c>
      <c r="N96" s="4">
        <v>0</v>
      </c>
      <c r="O96" t="s">
        <v>81</v>
      </c>
      <c r="P96">
        <v>4</v>
      </c>
      <c r="Q96" t="str">
        <f>IFERROR(VLOOKUP(E96,Lookups!$A$5:$B$24,2,FALSE),"Other")</f>
        <v>LinkedIn</v>
      </c>
      <c r="R96" t="str">
        <f>IFERROR(VLOOKUP(F96,Lookups!$D$5:$F$10,2,FALSE),"Unknown Product")</f>
        <v>NexaCRM Core</v>
      </c>
      <c r="S96" t="str">
        <f>IFERROR(VLOOKUP(F96,Lookups!$D$5:$F$10,3,FALSE),"Unknown")</f>
        <v>CRM</v>
      </c>
      <c r="T96" t="str">
        <f t="shared" si="11"/>
        <v>SMB</v>
      </c>
      <c r="U96" t="str">
        <f t="shared" si="12"/>
        <v>Lost</v>
      </c>
      <c r="V96" s="3">
        <f t="shared" si="13"/>
        <v>0</v>
      </c>
      <c r="W96" s="3">
        <f t="shared" si="14"/>
        <v>0</v>
      </c>
      <c r="X96" s="5">
        <f t="shared" si="15"/>
        <v>79</v>
      </c>
      <c r="Y96" s="5">
        <f>IF(U96="Open",Lookups!$B$2-B96,X96)</f>
        <v>79</v>
      </c>
      <c r="Z96" t="str">
        <f t="shared" si="16"/>
        <v>OK</v>
      </c>
      <c r="AA96" t="str">
        <f t="shared" si="17"/>
        <v>2025-01</v>
      </c>
      <c r="AB96" t="str">
        <f t="shared" si="18"/>
        <v>2025-04</v>
      </c>
      <c r="AC96" t="str">
        <f t="shared" si="19"/>
        <v>Q1-2025</v>
      </c>
      <c r="AD96" s="5">
        <f t="shared" si="20"/>
        <v>43</v>
      </c>
      <c r="AE96" t="str">
        <f t="shared" si="21"/>
        <v>Lost</v>
      </c>
    </row>
    <row r="97" spans="1:31">
      <c r="A97" t="s">
        <v>199</v>
      </c>
      <c r="B97" s="1">
        <v>46101</v>
      </c>
      <c r="C97" t="s">
        <v>56</v>
      </c>
      <c r="D97" t="s">
        <v>57</v>
      </c>
      <c r="E97" t="s">
        <v>88</v>
      </c>
      <c r="F97" t="s">
        <v>133</v>
      </c>
      <c r="G97" t="s">
        <v>94</v>
      </c>
      <c r="H97" t="s">
        <v>84</v>
      </c>
      <c r="I97" t="s">
        <v>77</v>
      </c>
      <c r="J97" s="1">
        <v>46200</v>
      </c>
      <c r="K97" s="1">
        <v>46200</v>
      </c>
      <c r="L97" s="3">
        <v>86700</v>
      </c>
      <c r="M97" s="4">
        <v>0.08</v>
      </c>
      <c r="N97" s="4">
        <v>1</v>
      </c>
      <c r="P97">
        <v>6</v>
      </c>
      <c r="Q97" t="str">
        <f>IFERROR(VLOOKUP(E97,Lookups!$A$5:$B$24,2,FALSE),"Other")</f>
        <v>Other</v>
      </c>
      <c r="R97" t="str">
        <f>IFERROR(VLOOKUP(F97,Lookups!$D$5:$F$10,2,FALSE),"Unknown Product")</f>
        <v>Analytics Plus</v>
      </c>
      <c r="S97" t="str">
        <f>IFERROR(VLOOKUP(F97,Lookups!$D$5:$F$10,3,FALSE),"Unknown")</f>
        <v>Analytics</v>
      </c>
      <c r="T97" t="str">
        <f t="shared" si="11"/>
        <v>Enterprise</v>
      </c>
      <c r="U97" t="str">
        <f t="shared" si="12"/>
        <v>Won</v>
      </c>
      <c r="V97" s="3">
        <f t="shared" si="13"/>
        <v>79764</v>
      </c>
      <c r="W97" s="3">
        <f t="shared" si="14"/>
        <v>0</v>
      </c>
      <c r="X97" s="5">
        <f t="shared" si="15"/>
        <v>99</v>
      </c>
      <c r="Y97" s="5">
        <f>IF(U97="Open",Lookups!$B$2-B97,X97)</f>
        <v>99</v>
      </c>
      <c r="Z97" t="str">
        <f t="shared" si="16"/>
        <v>OK</v>
      </c>
      <c r="AA97" t="str">
        <f t="shared" si="17"/>
        <v>2026-03</v>
      </c>
      <c r="AB97" t="str">
        <f t="shared" si="18"/>
        <v>2026-06</v>
      </c>
      <c r="AC97" t="str">
        <f t="shared" si="19"/>
        <v>Q1-2026</v>
      </c>
      <c r="AD97" s="5">
        <f t="shared" si="20"/>
        <v>74</v>
      </c>
      <c r="AE97" t="str">
        <f t="shared" si="21"/>
        <v>Won</v>
      </c>
    </row>
    <row r="98" spans="1:31">
      <c r="A98" t="s">
        <v>200</v>
      </c>
      <c r="B98" s="1">
        <v>45939</v>
      </c>
      <c r="C98" t="s">
        <v>148</v>
      </c>
      <c r="D98" t="s">
        <v>43</v>
      </c>
      <c r="E98" t="s">
        <v>75</v>
      </c>
      <c r="F98" t="s">
        <v>71</v>
      </c>
      <c r="G98" t="s">
        <v>60</v>
      </c>
      <c r="H98" t="s">
        <v>84</v>
      </c>
      <c r="I98" t="s">
        <v>61</v>
      </c>
      <c r="J98" s="1">
        <v>46025</v>
      </c>
      <c r="K98" s="1">
        <v>46025</v>
      </c>
      <c r="L98" s="3">
        <v>33500</v>
      </c>
      <c r="M98" s="4">
        <v>0</v>
      </c>
      <c r="N98" s="4">
        <v>0</v>
      </c>
      <c r="O98" t="s">
        <v>116</v>
      </c>
      <c r="P98">
        <v>3</v>
      </c>
      <c r="Q98" t="str">
        <f>IFERROR(VLOOKUP(E98,Lookups!$A$5:$B$24,2,FALSE),"Other")</f>
        <v>Webinar</v>
      </c>
      <c r="R98" t="str">
        <f>IFERROR(VLOOKUP(F98,Lookups!$D$5:$F$10,2,FALSE),"Unknown Product")</f>
        <v>Marketing Automation</v>
      </c>
      <c r="S98" t="str">
        <f>IFERROR(VLOOKUP(F98,Lookups!$D$5:$F$10,3,FALSE),"Unknown")</f>
        <v>Marketing</v>
      </c>
      <c r="T98" t="str">
        <f t="shared" si="11"/>
        <v>Mid-Market</v>
      </c>
      <c r="U98" t="str">
        <f t="shared" si="12"/>
        <v>Lost</v>
      </c>
      <c r="V98" s="3">
        <f t="shared" si="13"/>
        <v>0</v>
      </c>
      <c r="W98" s="3">
        <f t="shared" si="14"/>
        <v>0</v>
      </c>
      <c r="X98" s="5">
        <f t="shared" si="15"/>
        <v>86</v>
      </c>
      <c r="Y98" s="5">
        <f>IF(U98="Open",Lookups!$B$2-B98,X98)</f>
        <v>86</v>
      </c>
      <c r="Z98" t="str">
        <f t="shared" si="16"/>
        <v>OK</v>
      </c>
      <c r="AA98" t="str">
        <f t="shared" si="17"/>
        <v>2025-10</v>
      </c>
      <c r="AB98" t="str">
        <f t="shared" si="18"/>
        <v>2026-01</v>
      </c>
      <c r="AC98" t="str">
        <f t="shared" si="19"/>
        <v>Q4-2025</v>
      </c>
      <c r="AD98" s="5">
        <f t="shared" si="20"/>
        <v>67</v>
      </c>
      <c r="AE98" t="str">
        <f t="shared" si="21"/>
        <v>Lost</v>
      </c>
    </row>
    <row r="99" spans="1:31">
      <c r="A99" t="s">
        <v>201</v>
      </c>
      <c r="B99" s="1">
        <v>46025</v>
      </c>
      <c r="C99" t="s">
        <v>50</v>
      </c>
      <c r="D99" t="s">
        <v>43</v>
      </c>
      <c r="E99" t="s">
        <v>138</v>
      </c>
      <c r="F99" t="s">
        <v>71</v>
      </c>
      <c r="G99" t="s">
        <v>76</v>
      </c>
      <c r="H99" t="s">
        <v>47</v>
      </c>
      <c r="I99" t="s">
        <v>61</v>
      </c>
      <c r="J99" s="1">
        <v>46077</v>
      </c>
      <c r="K99" s="1">
        <v>46077</v>
      </c>
      <c r="L99" s="3">
        <v>15900</v>
      </c>
      <c r="M99" s="4">
        <v>0</v>
      </c>
      <c r="N99" s="4">
        <v>0</v>
      </c>
      <c r="O99" t="s">
        <v>102</v>
      </c>
      <c r="P99">
        <v>2</v>
      </c>
      <c r="Q99" t="str">
        <f>IFERROR(VLOOKUP(E99,Lookups!$A$5:$B$24,2,FALSE),"Other")</f>
        <v>Organic Search</v>
      </c>
      <c r="R99" t="str">
        <f>IFERROR(VLOOKUP(F99,Lookups!$D$5:$F$10,2,FALSE),"Unknown Product")</f>
        <v>Marketing Automation</v>
      </c>
      <c r="S99" t="str">
        <f>IFERROR(VLOOKUP(F99,Lookups!$D$5:$F$10,3,FALSE),"Unknown")</f>
        <v>Marketing</v>
      </c>
      <c r="T99" t="str">
        <f t="shared" si="11"/>
        <v>SMB</v>
      </c>
      <c r="U99" t="str">
        <f t="shared" si="12"/>
        <v>Lost</v>
      </c>
      <c r="V99" s="3">
        <f t="shared" si="13"/>
        <v>0</v>
      </c>
      <c r="W99" s="3">
        <f t="shared" si="14"/>
        <v>0</v>
      </c>
      <c r="X99" s="5">
        <f t="shared" si="15"/>
        <v>52</v>
      </c>
      <c r="Y99" s="5">
        <f>IF(U99="Open",Lookups!$B$2-B99,X99)</f>
        <v>52</v>
      </c>
      <c r="Z99" t="str">
        <f t="shared" si="16"/>
        <v>OK</v>
      </c>
      <c r="AA99" t="str">
        <f t="shared" si="17"/>
        <v>2026-01</v>
      </c>
      <c r="AB99" t="str">
        <f t="shared" si="18"/>
        <v>2026-02</v>
      </c>
      <c r="AC99" t="str">
        <f t="shared" si="19"/>
        <v>Q1-2026</v>
      </c>
      <c r="AD99" s="5">
        <f t="shared" si="20"/>
        <v>49</v>
      </c>
      <c r="AE99" t="str">
        <f t="shared" si="21"/>
        <v>Lost</v>
      </c>
    </row>
    <row r="100" spans="1:31">
      <c r="A100" t="s">
        <v>202</v>
      </c>
      <c r="B100" s="1">
        <v>45735</v>
      </c>
      <c r="C100" t="s">
        <v>50</v>
      </c>
      <c r="D100" t="s">
        <v>43</v>
      </c>
      <c r="E100" t="s">
        <v>109</v>
      </c>
      <c r="F100" t="s">
        <v>71</v>
      </c>
      <c r="G100" t="s">
        <v>76</v>
      </c>
      <c r="H100" t="s">
        <v>84</v>
      </c>
      <c r="I100" t="s">
        <v>61</v>
      </c>
      <c r="J100" s="1">
        <v>45762</v>
      </c>
      <c r="K100" s="1">
        <v>45762</v>
      </c>
      <c r="L100" s="3">
        <v>65100</v>
      </c>
      <c r="M100" s="4">
        <v>0</v>
      </c>
      <c r="N100" s="4">
        <v>0</v>
      </c>
      <c r="O100" t="s">
        <v>81</v>
      </c>
      <c r="P100">
        <v>3</v>
      </c>
      <c r="Q100" t="str">
        <f>IFERROR(VLOOKUP(E100,Lookups!$A$5:$B$24,2,FALSE),"Other")</f>
        <v>Outbound</v>
      </c>
      <c r="R100" t="str">
        <f>IFERROR(VLOOKUP(F100,Lookups!$D$5:$F$10,2,FALSE),"Unknown Product")</f>
        <v>Marketing Automation</v>
      </c>
      <c r="S100" t="str">
        <f>IFERROR(VLOOKUP(F100,Lookups!$D$5:$F$10,3,FALSE),"Unknown")</f>
        <v>Marketing</v>
      </c>
      <c r="T100" t="str">
        <f t="shared" si="11"/>
        <v>Enterprise</v>
      </c>
      <c r="U100" t="str">
        <f t="shared" si="12"/>
        <v>Lost</v>
      </c>
      <c r="V100" s="3">
        <f t="shared" si="13"/>
        <v>0</v>
      </c>
      <c r="W100" s="3">
        <f t="shared" si="14"/>
        <v>0</v>
      </c>
      <c r="X100" s="5">
        <f t="shared" si="15"/>
        <v>27</v>
      </c>
      <c r="Y100" s="5">
        <f>IF(U100="Open",Lookups!$B$2-B100,X100)</f>
        <v>27</v>
      </c>
      <c r="Z100" t="str">
        <f t="shared" si="16"/>
        <v>OK</v>
      </c>
      <c r="AA100" t="str">
        <f t="shared" si="17"/>
        <v>2025-03</v>
      </c>
      <c r="AB100" t="str">
        <f t="shared" si="18"/>
        <v>2025-04</v>
      </c>
      <c r="AC100" t="str">
        <f t="shared" si="19"/>
        <v>Q1-2025</v>
      </c>
      <c r="AD100" s="5">
        <f t="shared" si="20"/>
        <v>74</v>
      </c>
      <c r="AE100" t="str">
        <f t="shared" si="21"/>
        <v>Lost</v>
      </c>
    </row>
    <row r="101" spans="1:31">
      <c r="A101" t="s">
        <v>203</v>
      </c>
      <c r="B101" s="1">
        <v>46148</v>
      </c>
      <c r="C101" t="s">
        <v>50</v>
      </c>
      <c r="D101" t="s">
        <v>43</v>
      </c>
      <c r="E101" t="s">
        <v>146</v>
      </c>
      <c r="F101" t="s">
        <v>67</v>
      </c>
      <c r="G101" t="s">
        <v>112</v>
      </c>
      <c r="H101" t="s">
        <v>84</v>
      </c>
      <c r="I101" t="s">
        <v>61</v>
      </c>
      <c r="J101" s="1">
        <v>46198</v>
      </c>
      <c r="K101" s="1">
        <v>46198</v>
      </c>
      <c r="L101" s="3">
        <v>101200</v>
      </c>
      <c r="M101" s="4">
        <v>0</v>
      </c>
      <c r="N101" s="4">
        <v>0</v>
      </c>
      <c r="O101" t="s">
        <v>81</v>
      </c>
      <c r="P101">
        <v>2</v>
      </c>
      <c r="Q101" t="str">
        <f>IFERROR(VLOOKUP(E101,Lookups!$A$5:$B$24,2,FALSE),"Other")</f>
        <v>LinkedIn</v>
      </c>
      <c r="R101" t="str">
        <f>IFERROR(VLOOKUP(F101,Lookups!$D$5:$F$10,2,FALSE),"Unknown Product")</f>
        <v>Revenue Operations Suite</v>
      </c>
      <c r="S101" t="str">
        <f>IFERROR(VLOOKUP(F101,Lookups!$D$5:$F$10,3,FALSE),"Unknown")</f>
        <v>Revenue Ops</v>
      </c>
      <c r="T101" t="str">
        <f t="shared" si="11"/>
        <v>Enterprise</v>
      </c>
      <c r="U101" t="str">
        <f t="shared" si="12"/>
        <v>Lost</v>
      </c>
      <c r="V101" s="3">
        <f t="shared" si="13"/>
        <v>0</v>
      </c>
      <c r="W101" s="3">
        <f t="shared" si="14"/>
        <v>0</v>
      </c>
      <c r="X101" s="5">
        <f t="shared" si="15"/>
        <v>50</v>
      </c>
      <c r="Y101" s="5">
        <f>IF(U101="Open",Lookups!$B$2-B101,X101)</f>
        <v>50</v>
      </c>
      <c r="Z101" t="str">
        <f t="shared" si="16"/>
        <v>OK</v>
      </c>
      <c r="AA101" t="str">
        <f t="shared" si="17"/>
        <v>2026-05</v>
      </c>
      <c r="AB101" t="str">
        <f t="shared" si="18"/>
        <v>2026-06</v>
      </c>
      <c r="AC101" t="str">
        <f t="shared" si="19"/>
        <v>Q2-2026</v>
      </c>
      <c r="AD101" s="5">
        <f t="shared" si="20"/>
        <v>79</v>
      </c>
      <c r="AE101" t="str">
        <f t="shared" si="21"/>
        <v>Lost</v>
      </c>
    </row>
    <row r="102" spans="1:31">
      <c r="A102" t="s">
        <v>204</v>
      </c>
      <c r="B102" s="1">
        <v>45775</v>
      </c>
      <c r="C102" t="s">
        <v>148</v>
      </c>
      <c r="D102" t="s">
        <v>43</v>
      </c>
      <c r="E102" t="s">
        <v>123</v>
      </c>
      <c r="F102" t="s">
        <v>67</v>
      </c>
      <c r="G102" t="s">
        <v>94</v>
      </c>
      <c r="H102" t="s">
        <v>53</v>
      </c>
      <c r="I102" t="s">
        <v>77</v>
      </c>
      <c r="J102" s="1">
        <v>45798</v>
      </c>
      <c r="K102" s="1">
        <v>45798</v>
      </c>
      <c r="L102" s="3">
        <v>82500</v>
      </c>
      <c r="M102" s="4">
        <v>0.08</v>
      </c>
      <c r="N102" s="4">
        <v>1</v>
      </c>
      <c r="P102">
        <v>6</v>
      </c>
      <c r="Q102" t="str">
        <f>IFERROR(VLOOKUP(E102,Lookups!$A$5:$B$24,2,FALSE),"Other")</f>
        <v>Email</v>
      </c>
      <c r="R102" t="str">
        <f>IFERROR(VLOOKUP(F102,Lookups!$D$5:$F$10,2,FALSE),"Unknown Product")</f>
        <v>Revenue Operations Suite</v>
      </c>
      <c r="S102" t="str">
        <f>IFERROR(VLOOKUP(F102,Lookups!$D$5:$F$10,3,FALSE),"Unknown")</f>
        <v>Revenue Ops</v>
      </c>
      <c r="T102" t="str">
        <f t="shared" si="11"/>
        <v>Enterprise</v>
      </c>
      <c r="U102" t="str">
        <f t="shared" si="12"/>
        <v>Won</v>
      </c>
      <c r="V102" s="3">
        <f t="shared" si="13"/>
        <v>75900</v>
      </c>
      <c r="W102" s="3">
        <f t="shared" si="14"/>
        <v>0</v>
      </c>
      <c r="X102" s="5">
        <f t="shared" si="15"/>
        <v>23</v>
      </c>
      <c r="Y102" s="5">
        <f>IF(U102="Open",Lookups!$B$2-B102,X102)</f>
        <v>23</v>
      </c>
      <c r="Z102" t="str">
        <f t="shared" si="16"/>
        <v>OK</v>
      </c>
      <c r="AA102" t="str">
        <f t="shared" si="17"/>
        <v>2025-04</v>
      </c>
      <c r="AB102" t="str">
        <f t="shared" si="18"/>
        <v>2025-05</v>
      </c>
      <c r="AC102" t="str">
        <f t="shared" si="19"/>
        <v>Q2-2025</v>
      </c>
      <c r="AD102" s="5">
        <f t="shared" si="20"/>
        <v>70</v>
      </c>
      <c r="AE102" t="str">
        <f t="shared" si="21"/>
        <v>Won</v>
      </c>
    </row>
    <row r="103" spans="1:31">
      <c r="A103" t="s">
        <v>205</v>
      </c>
      <c r="B103" s="1">
        <v>45893</v>
      </c>
      <c r="C103" t="s">
        <v>90</v>
      </c>
      <c r="D103" t="s">
        <v>57</v>
      </c>
      <c r="E103" t="s">
        <v>83</v>
      </c>
      <c r="F103" t="s">
        <v>45</v>
      </c>
      <c r="G103" t="s">
        <v>72</v>
      </c>
      <c r="H103" t="s">
        <v>53</v>
      </c>
      <c r="I103" t="s">
        <v>61</v>
      </c>
      <c r="J103" s="1">
        <v>45901</v>
      </c>
      <c r="K103" s="1">
        <v>45901</v>
      </c>
      <c r="L103" s="3">
        <v>23400</v>
      </c>
      <c r="M103" s="4">
        <v>0</v>
      </c>
      <c r="N103" s="4">
        <v>0</v>
      </c>
      <c r="O103" t="s">
        <v>79</v>
      </c>
      <c r="P103">
        <v>2</v>
      </c>
      <c r="Q103" t="str">
        <f>IFERROR(VLOOKUP(E103,Lookups!$A$5:$B$24,2,FALSE),"Other")</f>
        <v>Organic Search</v>
      </c>
      <c r="R103" t="str">
        <f>IFERROR(VLOOKUP(F103,Lookups!$D$5:$F$10,2,FALSE),"Unknown Product")</f>
        <v>Service Cloud</v>
      </c>
      <c r="S103" t="str">
        <f>IFERROR(VLOOKUP(F103,Lookups!$D$5:$F$10,3,FALSE),"Unknown")</f>
        <v>Customer Service</v>
      </c>
      <c r="T103" t="str">
        <f t="shared" si="11"/>
        <v>Mid-Market</v>
      </c>
      <c r="U103" t="str">
        <f t="shared" si="12"/>
        <v>Lost</v>
      </c>
      <c r="V103" s="3">
        <f t="shared" si="13"/>
        <v>0</v>
      </c>
      <c r="W103" s="3">
        <f t="shared" si="14"/>
        <v>0</v>
      </c>
      <c r="X103" s="5">
        <f t="shared" si="15"/>
        <v>8</v>
      </c>
      <c r="Y103" s="5">
        <f>IF(U103="Open",Lookups!$B$2-B103,X103)</f>
        <v>8</v>
      </c>
      <c r="Z103" t="str">
        <f t="shared" si="16"/>
        <v>OK</v>
      </c>
      <c r="AA103" t="str">
        <f t="shared" si="17"/>
        <v>2025-08</v>
      </c>
      <c r="AB103" t="str">
        <f t="shared" si="18"/>
        <v>2025-09</v>
      </c>
      <c r="AC103" t="str">
        <f t="shared" si="19"/>
        <v>Q3-2025</v>
      </c>
      <c r="AD103" s="5">
        <f t="shared" si="20"/>
        <v>65</v>
      </c>
      <c r="AE103" t="str">
        <f t="shared" si="21"/>
        <v>Lost</v>
      </c>
    </row>
    <row r="104" spans="1:31">
      <c r="A104" t="s">
        <v>206</v>
      </c>
      <c r="B104" s="1">
        <v>46019</v>
      </c>
      <c r="C104" t="s">
        <v>50</v>
      </c>
      <c r="D104" t="s">
        <v>43</v>
      </c>
      <c r="E104" t="s">
        <v>44</v>
      </c>
      <c r="F104" t="s">
        <v>133</v>
      </c>
      <c r="G104" t="s">
        <v>76</v>
      </c>
      <c r="H104" t="s">
        <v>47</v>
      </c>
      <c r="I104" t="s">
        <v>61</v>
      </c>
      <c r="J104" s="1">
        <v>46036</v>
      </c>
      <c r="K104" s="1">
        <v>46036</v>
      </c>
      <c r="L104" s="3">
        <v>20100</v>
      </c>
      <c r="M104" s="4">
        <v>0</v>
      </c>
      <c r="N104" s="4">
        <v>0</v>
      </c>
      <c r="O104" t="s">
        <v>79</v>
      </c>
      <c r="P104">
        <v>4</v>
      </c>
      <c r="Q104" t="str">
        <f>IFERROR(VLOOKUP(E104,Lookups!$A$5:$B$24,2,FALSE),"Other")</f>
        <v>Organic Search</v>
      </c>
      <c r="R104" t="str">
        <f>IFERROR(VLOOKUP(F104,Lookups!$D$5:$F$10,2,FALSE),"Unknown Product")</f>
        <v>Analytics Plus</v>
      </c>
      <c r="S104" t="str">
        <f>IFERROR(VLOOKUP(F104,Lookups!$D$5:$F$10,3,FALSE),"Unknown")</f>
        <v>Analytics</v>
      </c>
      <c r="T104" t="str">
        <f t="shared" si="11"/>
        <v>Mid-Market</v>
      </c>
      <c r="U104" t="str">
        <f t="shared" si="12"/>
        <v>Lost</v>
      </c>
      <c r="V104" s="3">
        <f t="shared" si="13"/>
        <v>0</v>
      </c>
      <c r="W104" s="3">
        <f t="shared" si="14"/>
        <v>0</v>
      </c>
      <c r="X104" s="5">
        <f t="shared" si="15"/>
        <v>17</v>
      </c>
      <c r="Y104" s="5">
        <f>IF(U104="Open",Lookups!$B$2-B104,X104)</f>
        <v>17</v>
      </c>
      <c r="Z104" t="str">
        <f t="shared" si="16"/>
        <v>OK</v>
      </c>
      <c r="AA104" t="str">
        <f t="shared" si="17"/>
        <v>2025-12</v>
      </c>
      <c r="AB104" t="str">
        <f t="shared" si="18"/>
        <v>2026-01</v>
      </c>
      <c r="AC104" t="str">
        <f t="shared" si="19"/>
        <v>Q4-2025</v>
      </c>
      <c r="AD104" s="5">
        <f t="shared" si="20"/>
        <v>57</v>
      </c>
      <c r="AE104" t="str">
        <f t="shared" si="21"/>
        <v>Lost</v>
      </c>
    </row>
    <row r="105" spans="1:31">
      <c r="A105" t="s">
        <v>207</v>
      </c>
      <c r="B105" s="1">
        <v>46142</v>
      </c>
      <c r="C105" t="s">
        <v>90</v>
      </c>
      <c r="D105" t="s">
        <v>57</v>
      </c>
      <c r="E105" t="s">
        <v>44</v>
      </c>
      <c r="F105" t="s">
        <v>71</v>
      </c>
      <c r="G105" t="s">
        <v>112</v>
      </c>
      <c r="H105" t="s">
        <v>47</v>
      </c>
      <c r="I105" t="s">
        <v>77</v>
      </c>
      <c r="J105" s="1">
        <v>46208</v>
      </c>
      <c r="K105" s="1">
        <v>46208</v>
      </c>
      <c r="L105" s="3">
        <v>16500</v>
      </c>
      <c r="M105" s="4">
        <v>0.05</v>
      </c>
      <c r="N105" s="4">
        <v>1</v>
      </c>
      <c r="P105">
        <v>6</v>
      </c>
      <c r="Q105" t="str">
        <f>IFERROR(VLOOKUP(E105,Lookups!$A$5:$B$24,2,FALSE),"Other")</f>
        <v>Organic Search</v>
      </c>
      <c r="R105" t="str">
        <f>IFERROR(VLOOKUP(F105,Lookups!$D$5:$F$10,2,FALSE),"Unknown Product")</f>
        <v>Marketing Automation</v>
      </c>
      <c r="S105" t="str">
        <f>IFERROR(VLOOKUP(F105,Lookups!$D$5:$F$10,3,FALSE),"Unknown")</f>
        <v>Marketing</v>
      </c>
      <c r="T105" t="str">
        <f t="shared" si="11"/>
        <v>SMB</v>
      </c>
      <c r="U105" t="str">
        <f t="shared" si="12"/>
        <v>Won</v>
      </c>
      <c r="V105" s="3">
        <f t="shared" si="13"/>
        <v>15675</v>
      </c>
      <c r="W105" s="3">
        <f t="shared" si="14"/>
        <v>0</v>
      </c>
      <c r="X105" s="5">
        <f t="shared" si="15"/>
        <v>66</v>
      </c>
      <c r="Y105" s="5">
        <f>IF(U105="Open",Lookups!$B$2-B105,X105)</f>
        <v>66</v>
      </c>
      <c r="Z105" t="str">
        <f t="shared" si="16"/>
        <v>OK</v>
      </c>
      <c r="AA105" t="str">
        <f t="shared" si="17"/>
        <v>2026-04</v>
      </c>
      <c r="AB105" t="str">
        <f t="shared" si="18"/>
        <v>2026-07</v>
      </c>
      <c r="AC105" t="str">
        <f t="shared" si="19"/>
        <v>Q2-2026</v>
      </c>
      <c r="AD105" s="5">
        <f t="shared" si="20"/>
        <v>54</v>
      </c>
      <c r="AE105" t="str">
        <f t="shared" si="21"/>
        <v>Won</v>
      </c>
    </row>
    <row r="106" spans="1:31">
      <c r="A106" t="s">
        <v>208</v>
      </c>
      <c r="B106" s="1">
        <v>46203</v>
      </c>
      <c r="C106" t="s">
        <v>86</v>
      </c>
      <c r="D106" t="s">
        <v>87</v>
      </c>
      <c r="E106" t="s">
        <v>96</v>
      </c>
      <c r="F106" t="s">
        <v>71</v>
      </c>
      <c r="G106" t="s">
        <v>76</v>
      </c>
      <c r="H106" t="s">
        <v>47</v>
      </c>
      <c r="I106" t="s">
        <v>73</v>
      </c>
      <c r="J106" s="1">
        <v>46256</v>
      </c>
      <c r="K106" s="1"/>
      <c r="L106" s="3">
        <v>12100</v>
      </c>
      <c r="M106" s="4">
        <v>0</v>
      </c>
      <c r="N106" s="4">
        <v>0.2</v>
      </c>
      <c r="P106">
        <v>2</v>
      </c>
      <c r="Q106" t="str">
        <f>IFERROR(VLOOKUP(E106,Lookups!$A$5:$B$24,2,FALSE),"Other")</f>
        <v>LinkedIn</v>
      </c>
      <c r="R106" t="str">
        <f>IFERROR(VLOOKUP(F106,Lookups!$D$5:$F$10,2,FALSE),"Unknown Product")</f>
        <v>Marketing Automation</v>
      </c>
      <c r="S106" t="str">
        <f>IFERROR(VLOOKUP(F106,Lookups!$D$5:$F$10,3,FALSE),"Unknown")</f>
        <v>Marketing</v>
      </c>
      <c r="T106" t="str">
        <f t="shared" si="11"/>
        <v>SMB</v>
      </c>
      <c r="U106" t="str">
        <f t="shared" si="12"/>
        <v>Open</v>
      </c>
      <c r="V106" s="3">
        <f t="shared" si="13"/>
        <v>0</v>
      </c>
      <c r="W106" s="3">
        <f t="shared" si="14"/>
        <v>2420</v>
      </c>
      <c r="X106" s="5" t="str">
        <f t="shared" si="15"/>
        <v/>
      </c>
      <c r="Y106" s="5">
        <f>IF(U106="Open",Lookups!$B$2-B106,X106)</f>
        <v>63</v>
      </c>
      <c r="Z106" t="str">
        <f t="shared" si="16"/>
        <v>STALE</v>
      </c>
      <c r="AA106" t="str">
        <f t="shared" si="17"/>
        <v>2026-06</v>
      </c>
      <c r="AB106" t="str">
        <f t="shared" si="18"/>
        <v/>
      </c>
      <c r="AC106" t="str">
        <f t="shared" si="19"/>
        <v>Q2-2026</v>
      </c>
      <c r="AD106" s="5">
        <f t="shared" si="20"/>
        <v>43</v>
      </c>
      <c r="AE106" t="str">
        <f t="shared" si="21"/>
        <v>Pipeline</v>
      </c>
    </row>
    <row r="107" spans="1:31">
      <c r="A107" t="s">
        <v>209</v>
      </c>
      <c r="B107" s="1">
        <v>46259</v>
      </c>
      <c r="C107" t="s">
        <v>50</v>
      </c>
      <c r="D107" t="s">
        <v>43</v>
      </c>
      <c r="E107" t="s">
        <v>65</v>
      </c>
      <c r="F107" t="s">
        <v>133</v>
      </c>
      <c r="G107" t="s">
        <v>112</v>
      </c>
      <c r="H107" t="s">
        <v>47</v>
      </c>
      <c r="I107" t="s">
        <v>187</v>
      </c>
      <c r="J107" s="1">
        <v>46261</v>
      </c>
      <c r="K107" s="1"/>
      <c r="L107" s="3">
        <v>16500</v>
      </c>
      <c r="M107" s="4">
        <v>0.05</v>
      </c>
      <c r="N107" s="4">
        <v>0.05</v>
      </c>
      <c r="P107">
        <v>1</v>
      </c>
      <c r="Q107" t="str">
        <f>IFERROR(VLOOKUP(E107,Lookups!$A$5:$B$24,2,FALSE),"Other")</f>
        <v>Paid Search</v>
      </c>
      <c r="R107" t="str">
        <f>IFERROR(VLOOKUP(F107,Lookups!$D$5:$F$10,2,FALSE),"Unknown Product")</f>
        <v>Analytics Plus</v>
      </c>
      <c r="S107" t="str">
        <f>IFERROR(VLOOKUP(F107,Lookups!$D$5:$F$10,3,FALSE),"Unknown")</f>
        <v>Analytics</v>
      </c>
      <c r="T107" t="str">
        <f t="shared" si="11"/>
        <v>SMB</v>
      </c>
      <c r="U107" t="str">
        <f t="shared" si="12"/>
        <v>Open</v>
      </c>
      <c r="V107" s="3">
        <f t="shared" si="13"/>
        <v>0</v>
      </c>
      <c r="W107" s="3">
        <f t="shared" si="14"/>
        <v>825</v>
      </c>
      <c r="X107" s="5" t="str">
        <f t="shared" si="15"/>
        <v/>
      </c>
      <c r="Y107" s="5">
        <f>IF(U107="Open",Lookups!$B$2-B107,X107)</f>
        <v>7</v>
      </c>
      <c r="Z107" t="str">
        <f t="shared" si="16"/>
        <v>OK</v>
      </c>
      <c r="AA107" t="str">
        <f t="shared" si="17"/>
        <v>2026-08</v>
      </c>
      <c r="AB107" t="str">
        <f t="shared" si="18"/>
        <v/>
      </c>
      <c r="AC107" t="str">
        <f t="shared" si="19"/>
        <v>Q3-2026</v>
      </c>
      <c r="AD107" s="5">
        <f t="shared" si="20"/>
        <v>48</v>
      </c>
      <c r="AE107" t="str">
        <f t="shared" si="21"/>
        <v>Pipeline</v>
      </c>
    </row>
    <row r="108" spans="1:31">
      <c r="A108" t="s">
        <v>210</v>
      </c>
      <c r="B108" s="1">
        <v>45908</v>
      </c>
      <c r="C108" t="s">
        <v>56</v>
      </c>
      <c r="D108" t="s">
        <v>57</v>
      </c>
      <c r="E108" t="s">
        <v>127</v>
      </c>
      <c r="F108" t="s">
        <v>59</v>
      </c>
      <c r="G108" t="s">
        <v>72</v>
      </c>
      <c r="H108" t="s">
        <v>84</v>
      </c>
      <c r="I108" t="s">
        <v>48</v>
      </c>
      <c r="J108" s="1">
        <v>46193</v>
      </c>
      <c r="K108" s="1"/>
      <c r="L108" s="3">
        <v>72000</v>
      </c>
      <c r="M108" s="4">
        <v>0</v>
      </c>
      <c r="N108" s="4">
        <v>0.85</v>
      </c>
      <c r="P108">
        <v>5</v>
      </c>
      <c r="Q108" t="str">
        <f>IFERROR(VLOOKUP(E108,Lookups!$A$5:$B$24,2,FALSE),"Other")</f>
        <v>Paid Search</v>
      </c>
      <c r="R108" t="str">
        <f>IFERROR(VLOOKUP(F108,Lookups!$D$5:$F$10,2,FALSE),"Unknown Product")</f>
        <v>NexaCRM Pro</v>
      </c>
      <c r="S108" t="str">
        <f>IFERROR(VLOOKUP(F108,Lookups!$D$5:$F$10,3,FALSE),"Unknown")</f>
        <v>CRM</v>
      </c>
      <c r="T108" t="str">
        <f t="shared" si="11"/>
        <v>Enterprise</v>
      </c>
      <c r="U108" t="str">
        <f t="shared" si="12"/>
        <v>Open</v>
      </c>
      <c r="V108" s="3">
        <f t="shared" si="13"/>
        <v>0</v>
      </c>
      <c r="W108" s="3">
        <f t="shared" si="14"/>
        <v>61200</v>
      </c>
      <c r="X108" s="5" t="str">
        <f t="shared" si="15"/>
        <v/>
      </c>
      <c r="Y108" s="5">
        <f>IF(U108="Open",Lookups!$B$2-B108,X108)</f>
        <v>358</v>
      </c>
      <c r="Z108" t="str">
        <f t="shared" si="16"/>
        <v>STALE</v>
      </c>
      <c r="AA108" t="str">
        <f t="shared" si="17"/>
        <v>2025-09</v>
      </c>
      <c r="AB108" t="str">
        <f t="shared" si="18"/>
        <v/>
      </c>
      <c r="AC108" t="str">
        <f t="shared" si="19"/>
        <v>Q3-2025</v>
      </c>
      <c r="AD108" s="5">
        <f t="shared" si="20"/>
        <v>74</v>
      </c>
      <c r="AE108" t="str">
        <f t="shared" si="21"/>
        <v>Commit</v>
      </c>
    </row>
    <row r="109" spans="1:31">
      <c r="A109" t="s">
        <v>211</v>
      </c>
      <c r="B109" s="1">
        <v>45843</v>
      </c>
      <c r="C109" t="s">
        <v>56</v>
      </c>
      <c r="D109" t="s">
        <v>57</v>
      </c>
      <c r="E109" t="s">
        <v>138</v>
      </c>
      <c r="F109" t="s">
        <v>52</v>
      </c>
      <c r="G109" t="s">
        <v>76</v>
      </c>
      <c r="H109" t="s">
        <v>47</v>
      </c>
      <c r="I109" t="s">
        <v>61</v>
      </c>
      <c r="J109" s="1">
        <v>45876</v>
      </c>
      <c r="K109" s="1">
        <v>45876</v>
      </c>
      <c r="L109" s="3">
        <v>9900</v>
      </c>
      <c r="M109" s="4">
        <v>0</v>
      </c>
      <c r="N109" s="4">
        <v>0</v>
      </c>
      <c r="O109" t="s">
        <v>62</v>
      </c>
      <c r="P109">
        <v>3</v>
      </c>
      <c r="Q109" t="str">
        <f>IFERROR(VLOOKUP(E109,Lookups!$A$5:$B$24,2,FALSE),"Other")</f>
        <v>Organic Search</v>
      </c>
      <c r="R109" t="str">
        <f>IFERROR(VLOOKUP(F109,Lookups!$D$5:$F$10,2,FALSE),"Unknown Product")</f>
        <v>NexaCRM Core</v>
      </c>
      <c r="S109" t="str">
        <f>IFERROR(VLOOKUP(F109,Lookups!$D$5:$F$10,3,FALSE),"Unknown")</f>
        <v>CRM</v>
      </c>
      <c r="T109" t="str">
        <f t="shared" si="11"/>
        <v>SMB</v>
      </c>
      <c r="U109" t="str">
        <f t="shared" si="12"/>
        <v>Lost</v>
      </c>
      <c r="V109" s="3">
        <f t="shared" si="13"/>
        <v>0</v>
      </c>
      <c r="W109" s="3">
        <f t="shared" si="14"/>
        <v>0</v>
      </c>
      <c r="X109" s="5">
        <f t="shared" si="15"/>
        <v>33</v>
      </c>
      <c r="Y109" s="5">
        <f>IF(U109="Open",Lookups!$B$2-B109,X109)</f>
        <v>33</v>
      </c>
      <c r="Z109" t="str">
        <f t="shared" si="16"/>
        <v>OK</v>
      </c>
      <c r="AA109" t="str">
        <f t="shared" si="17"/>
        <v>2025-07</v>
      </c>
      <c r="AB109" t="str">
        <f t="shared" si="18"/>
        <v>2025-08</v>
      </c>
      <c r="AC109" t="str">
        <f t="shared" si="19"/>
        <v>Q3-2025</v>
      </c>
      <c r="AD109" s="5">
        <f t="shared" si="20"/>
        <v>49</v>
      </c>
      <c r="AE109" t="str">
        <f t="shared" si="21"/>
        <v>Lost</v>
      </c>
    </row>
    <row r="110" spans="1:31">
      <c r="A110" t="s">
        <v>212</v>
      </c>
      <c r="B110" s="1">
        <v>46078</v>
      </c>
      <c r="C110" t="s">
        <v>50</v>
      </c>
      <c r="D110" t="s">
        <v>43</v>
      </c>
      <c r="E110" t="s">
        <v>92</v>
      </c>
      <c r="F110" t="s">
        <v>133</v>
      </c>
      <c r="G110" t="s">
        <v>46</v>
      </c>
      <c r="H110" t="s">
        <v>84</v>
      </c>
      <c r="I110" t="s">
        <v>77</v>
      </c>
      <c r="J110" s="1">
        <v>46123</v>
      </c>
      <c r="K110" s="1">
        <v>46123</v>
      </c>
      <c r="L110" s="3">
        <v>97600</v>
      </c>
      <c r="M110" s="4">
        <v>0.05</v>
      </c>
      <c r="N110" s="4">
        <v>1</v>
      </c>
      <c r="P110">
        <v>6</v>
      </c>
      <c r="Q110" t="str">
        <f>IFERROR(VLOOKUP(E110,Lookups!$A$5:$B$24,2,FALSE),"Other")</f>
        <v>Webinar</v>
      </c>
      <c r="R110" t="str">
        <f>IFERROR(VLOOKUP(F110,Lookups!$D$5:$F$10,2,FALSE),"Unknown Product")</f>
        <v>Analytics Plus</v>
      </c>
      <c r="S110" t="str">
        <f>IFERROR(VLOOKUP(F110,Lookups!$D$5:$F$10,3,FALSE),"Unknown")</f>
        <v>Analytics</v>
      </c>
      <c r="T110" t="str">
        <f t="shared" si="11"/>
        <v>Enterprise</v>
      </c>
      <c r="U110" t="str">
        <f t="shared" si="12"/>
        <v>Won</v>
      </c>
      <c r="V110" s="3">
        <f t="shared" si="13"/>
        <v>92720</v>
      </c>
      <c r="W110" s="3">
        <f t="shared" si="14"/>
        <v>0</v>
      </c>
      <c r="X110" s="5">
        <f t="shared" si="15"/>
        <v>45</v>
      </c>
      <c r="Y110" s="5">
        <f>IF(U110="Open",Lookups!$B$2-B110,X110)</f>
        <v>45</v>
      </c>
      <c r="Z110" t="str">
        <f t="shared" si="16"/>
        <v>OK</v>
      </c>
      <c r="AA110" t="str">
        <f t="shared" si="17"/>
        <v>2026-02</v>
      </c>
      <c r="AB110" t="str">
        <f t="shared" si="18"/>
        <v>2026-04</v>
      </c>
      <c r="AC110" t="str">
        <f t="shared" si="19"/>
        <v>Q1-2026</v>
      </c>
      <c r="AD110" s="5">
        <f t="shared" si="20"/>
        <v>74</v>
      </c>
      <c r="AE110" t="str">
        <f t="shared" si="21"/>
        <v>Won</v>
      </c>
    </row>
    <row r="111" spans="1:31">
      <c r="A111" t="s">
        <v>213</v>
      </c>
      <c r="B111" s="1">
        <v>45914</v>
      </c>
      <c r="C111" t="s">
        <v>69</v>
      </c>
      <c r="D111" t="s">
        <v>57</v>
      </c>
      <c r="E111" t="s">
        <v>58</v>
      </c>
      <c r="F111" t="s">
        <v>71</v>
      </c>
      <c r="G111" t="s">
        <v>72</v>
      </c>
      <c r="H111" t="s">
        <v>47</v>
      </c>
      <c r="I111" t="s">
        <v>77</v>
      </c>
      <c r="J111" s="1">
        <v>45978</v>
      </c>
      <c r="K111" s="1">
        <v>45978</v>
      </c>
      <c r="L111" s="3">
        <v>17500</v>
      </c>
      <c r="M111" s="4">
        <v>0.08</v>
      </c>
      <c r="N111" s="4">
        <v>1</v>
      </c>
      <c r="P111">
        <v>6</v>
      </c>
      <c r="Q111" t="str">
        <f>IFERROR(VLOOKUP(E111,Lookups!$A$5:$B$24,2,FALSE),"Other")</f>
        <v>Email</v>
      </c>
      <c r="R111" t="str">
        <f>IFERROR(VLOOKUP(F111,Lookups!$D$5:$F$10,2,FALSE),"Unknown Product")</f>
        <v>Marketing Automation</v>
      </c>
      <c r="S111" t="str">
        <f>IFERROR(VLOOKUP(F111,Lookups!$D$5:$F$10,3,FALSE),"Unknown")</f>
        <v>Marketing</v>
      </c>
      <c r="T111" t="str">
        <f t="shared" si="11"/>
        <v>SMB</v>
      </c>
      <c r="U111" t="str">
        <f t="shared" si="12"/>
        <v>Won</v>
      </c>
      <c r="V111" s="3">
        <f t="shared" si="13"/>
        <v>16100</v>
      </c>
      <c r="W111" s="3">
        <f t="shared" si="14"/>
        <v>0</v>
      </c>
      <c r="X111" s="5">
        <f t="shared" si="15"/>
        <v>64</v>
      </c>
      <c r="Y111" s="5">
        <f>IF(U111="Open",Lookups!$B$2-B111,X111)</f>
        <v>64</v>
      </c>
      <c r="Z111" t="str">
        <f t="shared" si="16"/>
        <v>OK</v>
      </c>
      <c r="AA111" t="str">
        <f t="shared" si="17"/>
        <v>2025-09</v>
      </c>
      <c r="AB111" t="str">
        <f t="shared" si="18"/>
        <v>2025-11</v>
      </c>
      <c r="AC111" t="str">
        <f t="shared" si="19"/>
        <v>Q3-2025</v>
      </c>
      <c r="AD111" s="5">
        <f t="shared" si="20"/>
        <v>47</v>
      </c>
      <c r="AE111" t="str">
        <f t="shared" si="21"/>
        <v>Won</v>
      </c>
    </row>
    <row r="112" spans="1:31">
      <c r="A112" t="s">
        <v>214</v>
      </c>
      <c r="B112" s="1">
        <v>46058</v>
      </c>
      <c r="C112" t="s">
        <v>50</v>
      </c>
      <c r="D112" t="s">
        <v>43</v>
      </c>
      <c r="E112" t="s">
        <v>127</v>
      </c>
      <c r="F112" t="s">
        <v>45</v>
      </c>
      <c r="G112" t="s">
        <v>60</v>
      </c>
      <c r="H112" t="s">
        <v>53</v>
      </c>
      <c r="I112" t="s">
        <v>77</v>
      </c>
      <c r="J112" s="1">
        <v>46121</v>
      </c>
      <c r="K112" s="1">
        <v>46121</v>
      </c>
      <c r="L112" s="3">
        <v>47900</v>
      </c>
      <c r="M112" s="4">
        <v>0.1</v>
      </c>
      <c r="N112" s="4">
        <v>1</v>
      </c>
      <c r="P112">
        <v>6</v>
      </c>
      <c r="Q112" t="str">
        <f>IFERROR(VLOOKUP(E112,Lookups!$A$5:$B$24,2,FALSE),"Other")</f>
        <v>Paid Search</v>
      </c>
      <c r="R112" t="str">
        <f>IFERROR(VLOOKUP(F112,Lookups!$D$5:$F$10,2,FALSE),"Unknown Product")</f>
        <v>Service Cloud</v>
      </c>
      <c r="S112" t="str">
        <f>IFERROR(VLOOKUP(F112,Lookups!$D$5:$F$10,3,FALSE),"Unknown")</f>
        <v>Customer Service</v>
      </c>
      <c r="T112" t="str">
        <f t="shared" si="11"/>
        <v>Mid-Market</v>
      </c>
      <c r="U112" t="str">
        <f t="shared" si="12"/>
        <v>Won</v>
      </c>
      <c r="V112" s="3">
        <f t="shared" si="13"/>
        <v>43110</v>
      </c>
      <c r="W112" s="3">
        <f t="shared" si="14"/>
        <v>0</v>
      </c>
      <c r="X112" s="5">
        <f t="shared" si="15"/>
        <v>63</v>
      </c>
      <c r="Y112" s="5">
        <f>IF(U112="Open",Lookups!$B$2-B112,X112)</f>
        <v>63</v>
      </c>
      <c r="Z112" t="str">
        <f t="shared" si="16"/>
        <v>OK</v>
      </c>
      <c r="AA112" t="str">
        <f t="shared" si="17"/>
        <v>2026-02</v>
      </c>
      <c r="AB112" t="str">
        <f t="shared" si="18"/>
        <v>2026-04</v>
      </c>
      <c r="AC112" t="str">
        <f t="shared" si="19"/>
        <v>Q1-2026</v>
      </c>
      <c r="AD112" s="5">
        <f t="shared" si="20"/>
        <v>59</v>
      </c>
      <c r="AE112" t="str">
        <f t="shared" si="21"/>
        <v>Won</v>
      </c>
    </row>
    <row r="113" spans="1:31">
      <c r="A113" t="s">
        <v>215</v>
      </c>
      <c r="B113" s="1">
        <v>46129</v>
      </c>
      <c r="C113" t="s">
        <v>90</v>
      </c>
      <c r="D113" t="s">
        <v>57</v>
      </c>
      <c r="E113" t="s">
        <v>160</v>
      </c>
      <c r="F113" t="s">
        <v>59</v>
      </c>
      <c r="G113" t="s">
        <v>76</v>
      </c>
      <c r="H113" t="s">
        <v>84</v>
      </c>
      <c r="I113" t="s">
        <v>54</v>
      </c>
      <c r="J113" s="1">
        <v>46217</v>
      </c>
      <c r="K113" s="1"/>
      <c r="L113" s="3">
        <v>48800</v>
      </c>
      <c r="M113" s="4">
        <v>0</v>
      </c>
      <c r="N113" s="4">
        <v>0.65</v>
      </c>
      <c r="P113">
        <v>4</v>
      </c>
      <c r="Q113" t="str">
        <f>IFERROR(VLOOKUP(E113,Lookups!$A$5:$B$24,2,FALSE),"Other")</f>
        <v>Email</v>
      </c>
      <c r="R113" t="str">
        <f>IFERROR(VLOOKUP(F113,Lookups!$D$5:$F$10,2,FALSE),"Unknown Product")</f>
        <v>NexaCRM Pro</v>
      </c>
      <c r="S113" t="str">
        <f>IFERROR(VLOOKUP(F113,Lookups!$D$5:$F$10,3,FALSE),"Unknown")</f>
        <v>CRM</v>
      </c>
      <c r="T113" t="str">
        <f t="shared" si="11"/>
        <v>Mid-Market</v>
      </c>
      <c r="U113" t="str">
        <f t="shared" si="12"/>
        <v>Open</v>
      </c>
      <c r="V113" s="3">
        <f t="shared" si="13"/>
        <v>0</v>
      </c>
      <c r="W113" s="3">
        <f t="shared" si="14"/>
        <v>31720</v>
      </c>
      <c r="X113" s="5" t="str">
        <f t="shared" si="15"/>
        <v/>
      </c>
      <c r="Y113" s="5">
        <f>IF(U113="Open",Lookups!$B$2-B113,X113)</f>
        <v>137</v>
      </c>
      <c r="Z113" t="str">
        <f t="shared" si="16"/>
        <v>STALE</v>
      </c>
      <c r="AA113" t="str">
        <f t="shared" si="17"/>
        <v>2026-04</v>
      </c>
      <c r="AB113" t="str">
        <f t="shared" si="18"/>
        <v/>
      </c>
      <c r="AC113" t="str">
        <f t="shared" si="19"/>
        <v>Q2-2026</v>
      </c>
      <c r="AD113" s="5">
        <f t="shared" si="20"/>
        <v>71</v>
      </c>
      <c r="AE113" t="str">
        <f t="shared" si="21"/>
        <v>Best Case</v>
      </c>
    </row>
    <row r="114" spans="1:31">
      <c r="A114" t="s">
        <v>216</v>
      </c>
      <c r="B114" s="1">
        <v>45814</v>
      </c>
      <c r="C114" t="s">
        <v>148</v>
      </c>
      <c r="D114" t="s">
        <v>43</v>
      </c>
      <c r="E114" t="s">
        <v>119</v>
      </c>
      <c r="F114" t="s">
        <v>67</v>
      </c>
      <c r="G114" t="s">
        <v>46</v>
      </c>
      <c r="H114" t="s">
        <v>84</v>
      </c>
      <c r="I114" t="s">
        <v>61</v>
      </c>
      <c r="J114" s="1">
        <v>45862</v>
      </c>
      <c r="K114" s="1">
        <v>45862</v>
      </c>
      <c r="L114" s="3">
        <v>146800</v>
      </c>
      <c r="M114" s="4">
        <v>0</v>
      </c>
      <c r="N114" s="4">
        <v>0</v>
      </c>
      <c r="O114" t="s">
        <v>116</v>
      </c>
      <c r="P114">
        <v>2</v>
      </c>
      <c r="Q114" t="str">
        <f>IFERROR(VLOOKUP(E114,Lookups!$A$5:$B$24,2,FALSE),"Other")</f>
        <v>Referral</v>
      </c>
      <c r="R114" t="str">
        <f>IFERROR(VLOOKUP(F114,Lookups!$D$5:$F$10,2,FALSE),"Unknown Product")</f>
        <v>Revenue Operations Suite</v>
      </c>
      <c r="S114" t="str">
        <f>IFERROR(VLOOKUP(F114,Lookups!$D$5:$F$10,3,FALSE),"Unknown")</f>
        <v>Revenue Ops</v>
      </c>
      <c r="T114" t="str">
        <f t="shared" si="11"/>
        <v>Enterprise</v>
      </c>
      <c r="U114" t="str">
        <f t="shared" si="12"/>
        <v>Lost</v>
      </c>
      <c r="V114" s="3">
        <f t="shared" si="13"/>
        <v>0</v>
      </c>
      <c r="W114" s="3">
        <f t="shared" si="14"/>
        <v>0</v>
      </c>
      <c r="X114" s="5">
        <f t="shared" si="15"/>
        <v>48</v>
      </c>
      <c r="Y114" s="5">
        <f>IF(U114="Open",Lookups!$B$2-B114,X114)</f>
        <v>48</v>
      </c>
      <c r="Z114" t="str">
        <f t="shared" si="16"/>
        <v>OK</v>
      </c>
      <c r="AA114" t="str">
        <f t="shared" si="17"/>
        <v>2025-06</v>
      </c>
      <c r="AB114" t="str">
        <f t="shared" si="18"/>
        <v>2025-07</v>
      </c>
      <c r="AC114" t="str">
        <f t="shared" si="19"/>
        <v>Q2-2025</v>
      </c>
      <c r="AD114" s="5">
        <f t="shared" si="20"/>
        <v>85</v>
      </c>
      <c r="AE114" t="str">
        <f t="shared" si="21"/>
        <v>Lost</v>
      </c>
    </row>
    <row r="115" spans="1:31">
      <c r="A115" t="s">
        <v>217</v>
      </c>
      <c r="B115" s="1">
        <v>45995</v>
      </c>
      <c r="C115" t="s">
        <v>64</v>
      </c>
      <c r="D115" t="s">
        <v>57</v>
      </c>
      <c r="E115" t="s">
        <v>115</v>
      </c>
      <c r="F115" t="s">
        <v>71</v>
      </c>
      <c r="G115" t="s">
        <v>112</v>
      </c>
      <c r="H115" t="s">
        <v>47</v>
      </c>
      <c r="I115" t="s">
        <v>48</v>
      </c>
      <c r="J115" s="1">
        <v>46142</v>
      </c>
      <c r="K115" s="1"/>
      <c r="L115" s="3">
        <v>14700</v>
      </c>
      <c r="M115" s="4">
        <v>0</v>
      </c>
      <c r="N115" s="4">
        <v>0.85</v>
      </c>
      <c r="P115">
        <v>5</v>
      </c>
      <c r="Q115" t="str">
        <f>IFERROR(VLOOKUP(E115,Lookups!$A$5:$B$24,2,FALSE),"Other")</f>
        <v>Outbound</v>
      </c>
      <c r="R115" t="str">
        <f>IFERROR(VLOOKUP(F115,Lookups!$D$5:$F$10,2,FALSE),"Unknown Product")</f>
        <v>Marketing Automation</v>
      </c>
      <c r="S115" t="str">
        <f>IFERROR(VLOOKUP(F115,Lookups!$D$5:$F$10,3,FALSE),"Unknown")</f>
        <v>Marketing</v>
      </c>
      <c r="T115" t="str">
        <f t="shared" si="11"/>
        <v>SMB</v>
      </c>
      <c r="U115" t="str">
        <f t="shared" si="12"/>
        <v>Open</v>
      </c>
      <c r="V115" s="3">
        <f t="shared" si="13"/>
        <v>0</v>
      </c>
      <c r="W115" s="3">
        <f t="shared" si="14"/>
        <v>12495</v>
      </c>
      <c r="X115" s="5" t="str">
        <f t="shared" si="15"/>
        <v/>
      </c>
      <c r="Y115" s="5">
        <f>IF(U115="Open",Lookups!$B$2-B115,X115)</f>
        <v>271</v>
      </c>
      <c r="Z115" t="str">
        <f t="shared" si="16"/>
        <v>STALE</v>
      </c>
      <c r="AA115" t="str">
        <f t="shared" si="17"/>
        <v>2025-12</v>
      </c>
      <c r="AB115" t="str">
        <f t="shared" si="18"/>
        <v/>
      </c>
      <c r="AC115" t="str">
        <f t="shared" si="19"/>
        <v>Q4-2025</v>
      </c>
      <c r="AD115" s="5">
        <f t="shared" si="20"/>
        <v>48</v>
      </c>
      <c r="AE115" t="str">
        <f t="shared" si="21"/>
        <v>Commit</v>
      </c>
    </row>
    <row r="116" spans="1:31">
      <c r="A116" t="s">
        <v>218</v>
      </c>
      <c r="B116" s="1">
        <v>45995</v>
      </c>
      <c r="C116" t="s">
        <v>86</v>
      </c>
      <c r="D116" t="s">
        <v>87</v>
      </c>
      <c r="E116" t="s">
        <v>166</v>
      </c>
      <c r="F116" t="s">
        <v>45</v>
      </c>
      <c r="G116" t="s">
        <v>72</v>
      </c>
      <c r="H116" t="s">
        <v>47</v>
      </c>
      <c r="I116" t="s">
        <v>77</v>
      </c>
      <c r="J116" s="1">
        <v>46066</v>
      </c>
      <c r="K116" s="1">
        <v>46066</v>
      </c>
      <c r="L116" s="3">
        <v>12800</v>
      </c>
      <c r="M116" s="4">
        <v>0.12</v>
      </c>
      <c r="N116" s="4">
        <v>1</v>
      </c>
      <c r="P116">
        <v>6</v>
      </c>
      <c r="Q116" t="str">
        <f>IFERROR(VLOOKUP(E116,Lookups!$A$5:$B$24,2,FALSE),"Other")</f>
        <v>Referral</v>
      </c>
      <c r="R116" t="str">
        <f>IFERROR(VLOOKUP(F116,Lookups!$D$5:$F$10,2,FALSE),"Unknown Product")</f>
        <v>Service Cloud</v>
      </c>
      <c r="S116" t="str">
        <f>IFERROR(VLOOKUP(F116,Lookups!$D$5:$F$10,3,FALSE),"Unknown")</f>
        <v>Customer Service</v>
      </c>
      <c r="T116" t="str">
        <f t="shared" si="11"/>
        <v>SMB</v>
      </c>
      <c r="U116" t="str">
        <f t="shared" si="12"/>
        <v>Won</v>
      </c>
      <c r="V116" s="3">
        <f t="shared" si="13"/>
        <v>11264</v>
      </c>
      <c r="W116" s="3">
        <f t="shared" si="14"/>
        <v>0</v>
      </c>
      <c r="X116" s="5">
        <f t="shared" si="15"/>
        <v>71</v>
      </c>
      <c r="Y116" s="5">
        <f>IF(U116="Open",Lookups!$B$2-B116,X116)</f>
        <v>71</v>
      </c>
      <c r="Z116" t="str">
        <f t="shared" si="16"/>
        <v>OK</v>
      </c>
      <c r="AA116" t="str">
        <f t="shared" si="17"/>
        <v>2025-12</v>
      </c>
      <c r="AB116" t="str">
        <f t="shared" si="18"/>
        <v>2026-02</v>
      </c>
      <c r="AC116" t="str">
        <f t="shared" si="19"/>
        <v>Q4-2025</v>
      </c>
      <c r="AD116" s="5">
        <f t="shared" si="20"/>
        <v>54</v>
      </c>
      <c r="AE116" t="str">
        <f t="shared" si="21"/>
        <v>Won</v>
      </c>
    </row>
    <row r="117" spans="1:31">
      <c r="A117" t="s">
        <v>219</v>
      </c>
      <c r="B117" s="1">
        <v>45874</v>
      </c>
      <c r="C117" t="s">
        <v>69</v>
      </c>
      <c r="D117" t="s">
        <v>57</v>
      </c>
      <c r="E117" t="s">
        <v>160</v>
      </c>
      <c r="F117" t="s">
        <v>45</v>
      </c>
      <c r="G117" t="s">
        <v>94</v>
      </c>
      <c r="H117" t="s">
        <v>84</v>
      </c>
      <c r="I117" t="s">
        <v>48</v>
      </c>
      <c r="J117" s="1">
        <v>46127</v>
      </c>
      <c r="K117" s="1"/>
      <c r="L117" s="3">
        <v>90700</v>
      </c>
      <c r="M117" s="4">
        <v>0</v>
      </c>
      <c r="N117" s="4">
        <v>0.85</v>
      </c>
      <c r="P117">
        <v>5</v>
      </c>
      <c r="Q117" t="str">
        <f>IFERROR(VLOOKUP(E117,Lookups!$A$5:$B$24,2,FALSE),"Other")</f>
        <v>Email</v>
      </c>
      <c r="R117" t="str">
        <f>IFERROR(VLOOKUP(F117,Lookups!$D$5:$F$10,2,FALSE),"Unknown Product")</f>
        <v>Service Cloud</v>
      </c>
      <c r="S117" t="str">
        <f>IFERROR(VLOOKUP(F117,Lookups!$D$5:$F$10,3,FALSE),"Unknown")</f>
        <v>Customer Service</v>
      </c>
      <c r="T117" t="str">
        <f t="shared" si="11"/>
        <v>Enterprise</v>
      </c>
      <c r="U117" t="str">
        <f t="shared" si="12"/>
        <v>Open</v>
      </c>
      <c r="V117" s="3">
        <f t="shared" si="13"/>
        <v>0</v>
      </c>
      <c r="W117" s="3">
        <f t="shared" si="14"/>
        <v>77095</v>
      </c>
      <c r="X117" s="5" t="str">
        <f t="shared" si="15"/>
        <v/>
      </c>
      <c r="Y117" s="5">
        <f>IF(U117="Open",Lookups!$B$2-B117,X117)</f>
        <v>392</v>
      </c>
      <c r="Z117" t="str">
        <f t="shared" si="16"/>
        <v>STALE</v>
      </c>
      <c r="AA117" t="str">
        <f t="shared" si="17"/>
        <v>2025-08</v>
      </c>
      <c r="AB117" t="str">
        <f t="shared" si="18"/>
        <v/>
      </c>
      <c r="AC117" t="str">
        <f t="shared" si="19"/>
        <v>Q3-2025</v>
      </c>
      <c r="AD117" s="5">
        <f t="shared" si="20"/>
        <v>78</v>
      </c>
      <c r="AE117" t="str">
        <f t="shared" si="21"/>
        <v>Commit</v>
      </c>
    </row>
    <row r="118" spans="1:31">
      <c r="A118" t="s">
        <v>220</v>
      </c>
      <c r="B118" s="1">
        <v>45841</v>
      </c>
      <c r="C118" t="s">
        <v>56</v>
      </c>
      <c r="D118" t="s">
        <v>57</v>
      </c>
      <c r="E118" t="s">
        <v>51</v>
      </c>
      <c r="F118" t="s">
        <v>71</v>
      </c>
      <c r="G118" t="s">
        <v>99</v>
      </c>
      <c r="H118" t="s">
        <v>53</v>
      </c>
      <c r="I118" t="s">
        <v>48</v>
      </c>
      <c r="J118" s="1">
        <v>45999</v>
      </c>
      <c r="K118" s="1"/>
      <c r="L118" s="3">
        <v>20100</v>
      </c>
      <c r="M118" s="4">
        <v>0</v>
      </c>
      <c r="N118" s="4">
        <v>0.85</v>
      </c>
      <c r="P118">
        <v>5</v>
      </c>
      <c r="Q118" t="str">
        <f>IFERROR(VLOOKUP(E118,Lookups!$A$5:$B$24,2,FALSE),"Other")</f>
        <v>Paid Search</v>
      </c>
      <c r="R118" t="str">
        <f>IFERROR(VLOOKUP(F118,Lookups!$D$5:$F$10,2,FALSE),"Unknown Product")</f>
        <v>Marketing Automation</v>
      </c>
      <c r="S118" t="str">
        <f>IFERROR(VLOOKUP(F118,Lookups!$D$5:$F$10,3,FALSE),"Unknown")</f>
        <v>Marketing</v>
      </c>
      <c r="T118" t="str">
        <f t="shared" si="11"/>
        <v>Mid-Market</v>
      </c>
      <c r="U118" t="str">
        <f t="shared" si="12"/>
        <v>Open</v>
      </c>
      <c r="V118" s="3">
        <f t="shared" si="13"/>
        <v>0</v>
      </c>
      <c r="W118" s="3">
        <f t="shared" si="14"/>
        <v>17085</v>
      </c>
      <c r="X118" s="5" t="str">
        <f t="shared" si="15"/>
        <v/>
      </c>
      <c r="Y118" s="5">
        <f>IF(U118="Open",Lookups!$B$2-B118,X118)</f>
        <v>425</v>
      </c>
      <c r="Z118" t="str">
        <f t="shared" si="16"/>
        <v>STALE</v>
      </c>
      <c r="AA118" t="str">
        <f t="shared" si="17"/>
        <v>2025-07</v>
      </c>
      <c r="AB118" t="str">
        <f t="shared" si="18"/>
        <v/>
      </c>
      <c r="AC118" t="str">
        <f t="shared" si="19"/>
        <v>Q3-2025</v>
      </c>
      <c r="AD118" s="5">
        <f t="shared" si="20"/>
        <v>59</v>
      </c>
      <c r="AE118" t="str">
        <f t="shared" si="21"/>
        <v>Commit</v>
      </c>
    </row>
    <row r="119" spans="1:31">
      <c r="A119" t="s">
        <v>221</v>
      </c>
      <c r="B119" s="1">
        <v>45970</v>
      </c>
      <c r="C119" t="s">
        <v>50</v>
      </c>
      <c r="D119" t="s">
        <v>43</v>
      </c>
      <c r="E119" t="s">
        <v>70</v>
      </c>
      <c r="F119" t="s">
        <v>133</v>
      </c>
      <c r="G119" t="s">
        <v>60</v>
      </c>
      <c r="H119" t="s">
        <v>53</v>
      </c>
      <c r="I119" t="s">
        <v>48</v>
      </c>
      <c r="J119" s="1">
        <v>46197</v>
      </c>
      <c r="K119" s="1"/>
      <c r="L119" s="3">
        <v>23100</v>
      </c>
      <c r="M119" s="4">
        <v>0.03</v>
      </c>
      <c r="N119" s="4">
        <v>0.85</v>
      </c>
      <c r="P119">
        <v>5</v>
      </c>
      <c r="Q119" t="str">
        <f>IFERROR(VLOOKUP(E119,Lookups!$A$5:$B$24,2,FALSE),"Other")</f>
        <v>LinkedIn</v>
      </c>
      <c r="R119" t="str">
        <f>IFERROR(VLOOKUP(F119,Lookups!$D$5:$F$10,2,FALSE),"Unknown Product")</f>
        <v>Analytics Plus</v>
      </c>
      <c r="S119" t="str">
        <f>IFERROR(VLOOKUP(F119,Lookups!$D$5:$F$10,3,FALSE),"Unknown")</f>
        <v>Analytics</v>
      </c>
      <c r="T119" t="str">
        <f t="shared" si="11"/>
        <v>Mid-Market</v>
      </c>
      <c r="U119" t="str">
        <f t="shared" si="12"/>
        <v>Open</v>
      </c>
      <c r="V119" s="3">
        <f t="shared" si="13"/>
        <v>0</v>
      </c>
      <c r="W119" s="3">
        <f t="shared" si="14"/>
        <v>19635</v>
      </c>
      <c r="X119" s="5" t="str">
        <f t="shared" si="15"/>
        <v/>
      </c>
      <c r="Y119" s="5">
        <f>IF(U119="Open",Lookups!$B$2-B119,X119)</f>
        <v>296</v>
      </c>
      <c r="Z119" t="str">
        <f t="shared" si="16"/>
        <v>STALE</v>
      </c>
      <c r="AA119" t="str">
        <f t="shared" si="17"/>
        <v>2025-11</v>
      </c>
      <c r="AB119" t="str">
        <f t="shared" si="18"/>
        <v/>
      </c>
      <c r="AC119" t="str">
        <f t="shared" si="19"/>
        <v>Q4-2025</v>
      </c>
      <c r="AD119" s="5">
        <f t="shared" si="20"/>
        <v>59</v>
      </c>
      <c r="AE119" t="str">
        <f t="shared" si="21"/>
        <v>Commit</v>
      </c>
    </row>
    <row r="120" spans="1:31">
      <c r="A120" t="s">
        <v>222</v>
      </c>
      <c r="B120" s="1">
        <v>46238</v>
      </c>
      <c r="C120" t="s">
        <v>148</v>
      </c>
      <c r="D120" t="s">
        <v>43</v>
      </c>
      <c r="E120" t="s">
        <v>96</v>
      </c>
      <c r="F120" t="s">
        <v>59</v>
      </c>
      <c r="G120" t="s">
        <v>99</v>
      </c>
      <c r="H120" t="s">
        <v>53</v>
      </c>
      <c r="I120" t="s">
        <v>73</v>
      </c>
      <c r="J120" s="1">
        <v>46262</v>
      </c>
      <c r="K120" s="1"/>
      <c r="L120" s="3">
        <v>39700</v>
      </c>
      <c r="M120" s="4">
        <v>0</v>
      </c>
      <c r="N120" s="4">
        <v>0.2</v>
      </c>
      <c r="P120">
        <v>2</v>
      </c>
      <c r="Q120" t="str">
        <f>IFERROR(VLOOKUP(E120,Lookups!$A$5:$B$24,2,FALSE),"Other")</f>
        <v>LinkedIn</v>
      </c>
      <c r="R120" t="str">
        <f>IFERROR(VLOOKUP(F120,Lookups!$D$5:$F$10,2,FALSE),"Unknown Product")</f>
        <v>NexaCRM Pro</v>
      </c>
      <c r="S120" t="str">
        <f>IFERROR(VLOOKUP(F120,Lookups!$D$5:$F$10,3,FALSE),"Unknown")</f>
        <v>CRM</v>
      </c>
      <c r="T120" t="str">
        <f t="shared" si="11"/>
        <v>Mid-Market</v>
      </c>
      <c r="U120" t="str">
        <f t="shared" si="12"/>
        <v>Open</v>
      </c>
      <c r="V120" s="3">
        <f t="shared" si="13"/>
        <v>0</v>
      </c>
      <c r="W120" s="3">
        <f t="shared" si="14"/>
        <v>7940</v>
      </c>
      <c r="X120" s="5" t="str">
        <f t="shared" si="15"/>
        <v/>
      </c>
      <c r="Y120" s="5">
        <f>IF(U120="Open",Lookups!$B$2-B120,X120)</f>
        <v>28</v>
      </c>
      <c r="Z120" t="str">
        <f t="shared" si="16"/>
        <v>OK</v>
      </c>
      <c r="AA120" t="str">
        <f t="shared" si="17"/>
        <v>2026-08</v>
      </c>
      <c r="AB120" t="str">
        <f t="shared" si="18"/>
        <v/>
      </c>
      <c r="AC120" t="str">
        <f t="shared" si="19"/>
        <v>Q3-2026</v>
      </c>
      <c r="AD120" s="5">
        <f t="shared" si="20"/>
        <v>59</v>
      </c>
      <c r="AE120" t="str">
        <f t="shared" si="21"/>
        <v>Pipeline</v>
      </c>
    </row>
    <row r="121" spans="1:31">
      <c r="A121" t="s">
        <v>223</v>
      </c>
      <c r="B121" s="1">
        <v>46010</v>
      </c>
      <c r="C121" t="s">
        <v>148</v>
      </c>
      <c r="D121" t="s">
        <v>43</v>
      </c>
      <c r="E121" t="s">
        <v>115</v>
      </c>
      <c r="F121" t="s">
        <v>59</v>
      </c>
      <c r="G121" t="s">
        <v>46</v>
      </c>
      <c r="H121" t="s">
        <v>53</v>
      </c>
      <c r="I121" t="s">
        <v>48</v>
      </c>
      <c r="J121" s="1">
        <v>46234</v>
      </c>
      <c r="K121" s="1"/>
      <c r="L121" s="3">
        <v>32900</v>
      </c>
      <c r="M121" s="4">
        <v>0.03</v>
      </c>
      <c r="N121" s="4">
        <v>0.85</v>
      </c>
      <c r="P121">
        <v>5</v>
      </c>
      <c r="Q121" t="str">
        <f>IFERROR(VLOOKUP(E121,Lookups!$A$5:$B$24,2,FALSE),"Other")</f>
        <v>Outbound</v>
      </c>
      <c r="R121" t="str">
        <f>IFERROR(VLOOKUP(F121,Lookups!$D$5:$F$10,2,FALSE),"Unknown Product")</f>
        <v>NexaCRM Pro</v>
      </c>
      <c r="S121" t="str">
        <f>IFERROR(VLOOKUP(F121,Lookups!$D$5:$F$10,3,FALSE),"Unknown")</f>
        <v>CRM</v>
      </c>
      <c r="T121" t="str">
        <f t="shared" si="11"/>
        <v>Mid-Market</v>
      </c>
      <c r="U121" t="str">
        <f t="shared" si="12"/>
        <v>Open</v>
      </c>
      <c r="V121" s="3">
        <f t="shared" si="13"/>
        <v>0</v>
      </c>
      <c r="W121" s="3">
        <f t="shared" si="14"/>
        <v>27965</v>
      </c>
      <c r="X121" s="5" t="str">
        <f t="shared" si="15"/>
        <v/>
      </c>
      <c r="Y121" s="5">
        <f>IF(U121="Open",Lookups!$B$2-B121,X121)</f>
        <v>256</v>
      </c>
      <c r="Z121" t="str">
        <f t="shared" si="16"/>
        <v>STALE</v>
      </c>
      <c r="AA121" t="str">
        <f t="shared" si="17"/>
        <v>2025-12</v>
      </c>
      <c r="AB121" t="str">
        <f t="shared" si="18"/>
        <v/>
      </c>
      <c r="AC121" t="str">
        <f t="shared" si="19"/>
        <v>Q4-2025</v>
      </c>
      <c r="AD121" s="5">
        <f t="shared" si="20"/>
        <v>59</v>
      </c>
      <c r="AE121" t="str">
        <f t="shared" si="21"/>
        <v>Commit</v>
      </c>
    </row>
    <row r="122" spans="1:31">
      <c r="A122" t="s">
        <v>224</v>
      </c>
      <c r="B122" s="1">
        <v>45951</v>
      </c>
      <c r="C122" t="s">
        <v>64</v>
      </c>
      <c r="D122" t="s">
        <v>57</v>
      </c>
      <c r="E122" t="s">
        <v>123</v>
      </c>
      <c r="F122" t="s">
        <v>52</v>
      </c>
      <c r="G122" t="s">
        <v>99</v>
      </c>
      <c r="H122" t="s">
        <v>53</v>
      </c>
      <c r="I122" t="s">
        <v>61</v>
      </c>
      <c r="J122" s="1">
        <v>46018</v>
      </c>
      <c r="K122" s="1">
        <v>46018</v>
      </c>
      <c r="L122" s="3">
        <v>10200</v>
      </c>
      <c r="M122" s="4">
        <v>0</v>
      </c>
      <c r="N122" s="4">
        <v>0</v>
      </c>
      <c r="O122" t="s">
        <v>62</v>
      </c>
      <c r="P122">
        <v>2</v>
      </c>
      <c r="Q122" t="str">
        <f>IFERROR(VLOOKUP(E122,Lookups!$A$5:$B$24,2,FALSE),"Other")</f>
        <v>Email</v>
      </c>
      <c r="R122" t="str">
        <f>IFERROR(VLOOKUP(F122,Lookups!$D$5:$F$10,2,FALSE),"Unknown Product")</f>
        <v>NexaCRM Core</v>
      </c>
      <c r="S122" t="str">
        <f>IFERROR(VLOOKUP(F122,Lookups!$D$5:$F$10,3,FALSE),"Unknown")</f>
        <v>CRM</v>
      </c>
      <c r="T122" t="str">
        <f t="shared" si="11"/>
        <v>SMB</v>
      </c>
      <c r="U122" t="str">
        <f t="shared" si="12"/>
        <v>Lost</v>
      </c>
      <c r="V122" s="3">
        <f t="shared" si="13"/>
        <v>0</v>
      </c>
      <c r="W122" s="3">
        <f t="shared" si="14"/>
        <v>0</v>
      </c>
      <c r="X122" s="5">
        <f t="shared" si="15"/>
        <v>67</v>
      </c>
      <c r="Y122" s="5">
        <f>IF(U122="Open",Lookups!$B$2-B122,X122)</f>
        <v>67</v>
      </c>
      <c r="Z122" t="str">
        <f t="shared" si="16"/>
        <v>OK</v>
      </c>
      <c r="AA122" t="str">
        <f t="shared" si="17"/>
        <v>2025-10</v>
      </c>
      <c r="AB122" t="str">
        <f t="shared" si="18"/>
        <v>2025-12</v>
      </c>
      <c r="AC122" t="str">
        <f t="shared" si="19"/>
        <v>Q4-2025</v>
      </c>
      <c r="AD122" s="5">
        <f t="shared" si="20"/>
        <v>55</v>
      </c>
      <c r="AE122" t="str">
        <f t="shared" si="21"/>
        <v>Lost</v>
      </c>
    </row>
    <row r="123" spans="1:31">
      <c r="A123" t="s">
        <v>225</v>
      </c>
      <c r="B123" s="1">
        <v>46072</v>
      </c>
      <c r="C123" t="s">
        <v>148</v>
      </c>
      <c r="D123" t="s">
        <v>43</v>
      </c>
      <c r="E123" t="s">
        <v>127</v>
      </c>
      <c r="F123" t="s">
        <v>133</v>
      </c>
      <c r="G123" t="s">
        <v>112</v>
      </c>
      <c r="H123" t="s">
        <v>53</v>
      </c>
      <c r="I123" t="s">
        <v>77</v>
      </c>
      <c r="J123" s="1">
        <v>46114</v>
      </c>
      <c r="K123" s="1">
        <v>46114</v>
      </c>
      <c r="L123" s="3">
        <v>32600</v>
      </c>
      <c r="M123" s="4">
        <v>0.12</v>
      </c>
      <c r="N123" s="4">
        <v>1</v>
      </c>
      <c r="P123">
        <v>6</v>
      </c>
      <c r="Q123" t="str">
        <f>IFERROR(VLOOKUP(E123,Lookups!$A$5:$B$24,2,FALSE),"Other")</f>
        <v>Paid Search</v>
      </c>
      <c r="R123" t="str">
        <f>IFERROR(VLOOKUP(F123,Lookups!$D$5:$F$10,2,FALSE),"Unknown Product")</f>
        <v>Analytics Plus</v>
      </c>
      <c r="S123" t="str">
        <f>IFERROR(VLOOKUP(F123,Lookups!$D$5:$F$10,3,FALSE),"Unknown")</f>
        <v>Analytics</v>
      </c>
      <c r="T123" t="str">
        <f t="shared" si="11"/>
        <v>Mid-Market</v>
      </c>
      <c r="U123" t="str">
        <f t="shared" si="12"/>
        <v>Won</v>
      </c>
      <c r="V123" s="3">
        <f t="shared" si="13"/>
        <v>28688</v>
      </c>
      <c r="W123" s="3">
        <f t="shared" si="14"/>
        <v>0</v>
      </c>
      <c r="X123" s="5">
        <f t="shared" si="15"/>
        <v>42</v>
      </c>
      <c r="Y123" s="5">
        <f>IF(U123="Open",Lookups!$B$2-B123,X123)</f>
        <v>42</v>
      </c>
      <c r="Z123" t="str">
        <f t="shared" si="16"/>
        <v>OK</v>
      </c>
      <c r="AA123" t="str">
        <f t="shared" si="17"/>
        <v>2026-02</v>
      </c>
      <c r="AB123" t="str">
        <f t="shared" si="18"/>
        <v>2026-04</v>
      </c>
      <c r="AC123" t="str">
        <f t="shared" si="19"/>
        <v>Q1-2026</v>
      </c>
      <c r="AD123" s="5">
        <f t="shared" si="20"/>
        <v>64</v>
      </c>
      <c r="AE123" t="str">
        <f t="shared" si="21"/>
        <v>Won</v>
      </c>
    </row>
    <row r="124" spans="1:31">
      <c r="A124" t="s">
        <v>226</v>
      </c>
      <c r="B124" s="1">
        <v>45944</v>
      </c>
      <c r="C124" t="s">
        <v>42</v>
      </c>
      <c r="D124" t="s">
        <v>43</v>
      </c>
      <c r="E124" t="s">
        <v>96</v>
      </c>
      <c r="F124" t="s">
        <v>133</v>
      </c>
      <c r="G124" t="s">
        <v>72</v>
      </c>
      <c r="H124" t="s">
        <v>47</v>
      </c>
      <c r="I124" t="s">
        <v>61</v>
      </c>
      <c r="J124" s="1">
        <v>45981</v>
      </c>
      <c r="K124" s="1">
        <v>45981</v>
      </c>
      <c r="L124" s="3">
        <v>28200</v>
      </c>
      <c r="M124" s="4">
        <v>0</v>
      </c>
      <c r="N124" s="4">
        <v>0</v>
      </c>
      <c r="O124" t="s">
        <v>116</v>
      </c>
      <c r="P124">
        <v>5</v>
      </c>
      <c r="Q124" t="str">
        <f>IFERROR(VLOOKUP(E124,Lookups!$A$5:$B$24,2,FALSE),"Other")</f>
        <v>LinkedIn</v>
      </c>
      <c r="R124" t="str">
        <f>IFERROR(VLOOKUP(F124,Lookups!$D$5:$F$10,2,FALSE),"Unknown Product")</f>
        <v>Analytics Plus</v>
      </c>
      <c r="S124" t="str">
        <f>IFERROR(VLOOKUP(F124,Lookups!$D$5:$F$10,3,FALSE),"Unknown")</f>
        <v>Analytics</v>
      </c>
      <c r="T124" t="str">
        <f t="shared" si="11"/>
        <v>Mid-Market</v>
      </c>
      <c r="U124" t="str">
        <f t="shared" si="12"/>
        <v>Lost</v>
      </c>
      <c r="V124" s="3">
        <f t="shared" si="13"/>
        <v>0</v>
      </c>
      <c r="W124" s="3">
        <f t="shared" si="14"/>
        <v>0</v>
      </c>
      <c r="X124" s="5">
        <f t="shared" si="15"/>
        <v>37</v>
      </c>
      <c r="Y124" s="5">
        <f>IF(U124="Open",Lookups!$B$2-B124,X124)</f>
        <v>37</v>
      </c>
      <c r="Z124" t="str">
        <f t="shared" si="16"/>
        <v>OK</v>
      </c>
      <c r="AA124" t="str">
        <f t="shared" si="17"/>
        <v>2025-10</v>
      </c>
      <c r="AB124" t="str">
        <f t="shared" si="18"/>
        <v>2025-11</v>
      </c>
      <c r="AC124" t="str">
        <f t="shared" si="19"/>
        <v>Q4-2025</v>
      </c>
      <c r="AD124" s="5">
        <f t="shared" si="20"/>
        <v>51</v>
      </c>
      <c r="AE124" t="str">
        <f t="shared" si="21"/>
        <v>Lost</v>
      </c>
    </row>
    <row r="125" spans="1:31">
      <c r="A125" t="s">
        <v>227</v>
      </c>
      <c r="B125" s="1">
        <v>45688</v>
      </c>
      <c r="C125" t="s">
        <v>64</v>
      </c>
      <c r="D125" t="s">
        <v>57</v>
      </c>
      <c r="E125" t="s">
        <v>65</v>
      </c>
      <c r="F125" t="s">
        <v>133</v>
      </c>
      <c r="G125" t="s">
        <v>46</v>
      </c>
      <c r="H125" t="s">
        <v>47</v>
      </c>
      <c r="I125" t="s">
        <v>77</v>
      </c>
      <c r="J125" s="1">
        <v>45766</v>
      </c>
      <c r="K125" s="1">
        <v>45766</v>
      </c>
      <c r="L125" s="3">
        <v>27300</v>
      </c>
      <c r="M125" s="4">
        <v>0.05</v>
      </c>
      <c r="N125" s="4">
        <v>1</v>
      </c>
      <c r="P125">
        <v>6</v>
      </c>
      <c r="Q125" t="str">
        <f>IFERROR(VLOOKUP(E125,Lookups!$A$5:$B$24,2,FALSE),"Other")</f>
        <v>Paid Search</v>
      </c>
      <c r="R125" t="str">
        <f>IFERROR(VLOOKUP(F125,Lookups!$D$5:$F$10,2,FALSE),"Unknown Product")</f>
        <v>Analytics Plus</v>
      </c>
      <c r="S125" t="str">
        <f>IFERROR(VLOOKUP(F125,Lookups!$D$5:$F$10,3,FALSE),"Unknown")</f>
        <v>Analytics</v>
      </c>
      <c r="T125" t="str">
        <f t="shared" si="11"/>
        <v>Mid-Market</v>
      </c>
      <c r="U125" t="str">
        <f t="shared" si="12"/>
        <v>Won</v>
      </c>
      <c r="V125" s="3">
        <f t="shared" si="13"/>
        <v>25935</v>
      </c>
      <c r="W125" s="3">
        <f t="shared" si="14"/>
        <v>0</v>
      </c>
      <c r="X125" s="5">
        <f t="shared" si="15"/>
        <v>78</v>
      </c>
      <c r="Y125" s="5">
        <f>IF(U125="Open",Lookups!$B$2-B125,X125)</f>
        <v>78</v>
      </c>
      <c r="Z125" t="str">
        <f t="shared" si="16"/>
        <v>OK</v>
      </c>
      <c r="AA125" t="str">
        <f t="shared" si="17"/>
        <v>2025-01</v>
      </c>
      <c r="AB125" t="str">
        <f t="shared" si="18"/>
        <v>2025-04</v>
      </c>
      <c r="AC125" t="str">
        <f t="shared" si="19"/>
        <v>Q1-2025</v>
      </c>
      <c r="AD125" s="5">
        <f t="shared" si="20"/>
        <v>51</v>
      </c>
      <c r="AE125" t="str">
        <f t="shared" si="21"/>
        <v>Won</v>
      </c>
    </row>
    <row r="126" spans="1:31">
      <c r="A126" t="s">
        <v>228</v>
      </c>
      <c r="B126" s="1">
        <v>45782</v>
      </c>
      <c r="C126" t="s">
        <v>50</v>
      </c>
      <c r="D126" t="s">
        <v>43</v>
      </c>
      <c r="E126" t="s">
        <v>127</v>
      </c>
      <c r="F126" t="s">
        <v>45</v>
      </c>
      <c r="G126" t="s">
        <v>94</v>
      </c>
      <c r="H126" t="s">
        <v>47</v>
      </c>
      <c r="I126" t="s">
        <v>61</v>
      </c>
      <c r="J126" s="1">
        <v>45803</v>
      </c>
      <c r="K126" s="1">
        <v>45803</v>
      </c>
      <c r="L126" s="3">
        <v>26500</v>
      </c>
      <c r="M126" s="4">
        <v>0</v>
      </c>
      <c r="N126" s="4">
        <v>0</v>
      </c>
      <c r="O126" t="s">
        <v>81</v>
      </c>
      <c r="P126">
        <v>4</v>
      </c>
      <c r="Q126" t="str">
        <f>IFERROR(VLOOKUP(E126,Lookups!$A$5:$B$24,2,FALSE),"Other")</f>
        <v>Paid Search</v>
      </c>
      <c r="R126" t="str">
        <f>IFERROR(VLOOKUP(F126,Lookups!$D$5:$F$10,2,FALSE),"Unknown Product")</f>
        <v>Service Cloud</v>
      </c>
      <c r="S126" t="str">
        <f>IFERROR(VLOOKUP(F126,Lookups!$D$5:$F$10,3,FALSE),"Unknown")</f>
        <v>Customer Service</v>
      </c>
      <c r="T126" t="str">
        <f t="shared" si="11"/>
        <v>Mid-Market</v>
      </c>
      <c r="U126" t="str">
        <f t="shared" si="12"/>
        <v>Lost</v>
      </c>
      <c r="V126" s="3">
        <f t="shared" si="13"/>
        <v>0</v>
      </c>
      <c r="W126" s="3">
        <f t="shared" si="14"/>
        <v>0</v>
      </c>
      <c r="X126" s="5">
        <f t="shared" si="15"/>
        <v>21</v>
      </c>
      <c r="Y126" s="5">
        <f>IF(U126="Open",Lookups!$B$2-B126,X126)</f>
        <v>21</v>
      </c>
      <c r="Z126" t="str">
        <f t="shared" si="16"/>
        <v>OK</v>
      </c>
      <c r="AA126" t="str">
        <f t="shared" si="17"/>
        <v>2025-05</v>
      </c>
      <c r="AB126" t="str">
        <f t="shared" si="18"/>
        <v>2025-05</v>
      </c>
      <c r="AC126" t="str">
        <f t="shared" si="19"/>
        <v>Q2-2025</v>
      </c>
      <c r="AD126" s="5">
        <f t="shared" si="20"/>
        <v>51</v>
      </c>
      <c r="AE126" t="str">
        <f t="shared" si="21"/>
        <v>Lost</v>
      </c>
    </row>
    <row r="127" spans="1:31">
      <c r="A127" t="s">
        <v>229</v>
      </c>
      <c r="B127" s="1">
        <v>45906</v>
      </c>
      <c r="C127" t="s">
        <v>148</v>
      </c>
      <c r="D127" t="s">
        <v>43</v>
      </c>
      <c r="E127" t="s">
        <v>88</v>
      </c>
      <c r="F127" t="s">
        <v>67</v>
      </c>
      <c r="G127" t="s">
        <v>60</v>
      </c>
      <c r="H127" t="s">
        <v>53</v>
      </c>
      <c r="I127" t="s">
        <v>61</v>
      </c>
      <c r="J127" s="1">
        <v>45966</v>
      </c>
      <c r="K127" s="1">
        <v>45966</v>
      </c>
      <c r="L127" s="3">
        <v>52300</v>
      </c>
      <c r="M127" s="4">
        <v>0</v>
      </c>
      <c r="N127" s="4">
        <v>0</v>
      </c>
      <c r="O127" t="s">
        <v>62</v>
      </c>
      <c r="P127">
        <v>3</v>
      </c>
      <c r="Q127" t="str">
        <f>IFERROR(VLOOKUP(E127,Lookups!$A$5:$B$24,2,FALSE),"Other")</f>
        <v>Other</v>
      </c>
      <c r="R127" t="str">
        <f>IFERROR(VLOOKUP(F127,Lookups!$D$5:$F$10,2,FALSE),"Unknown Product")</f>
        <v>Revenue Operations Suite</v>
      </c>
      <c r="S127" t="str">
        <f>IFERROR(VLOOKUP(F127,Lookups!$D$5:$F$10,3,FALSE),"Unknown")</f>
        <v>Revenue Ops</v>
      </c>
      <c r="T127" t="str">
        <f t="shared" si="11"/>
        <v>Enterprise</v>
      </c>
      <c r="U127" t="str">
        <f t="shared" si="12"/>
        <v>Lost</v>
      </c>
      <c r="V127" s="3">
        <f t="shared" si="13"/>
        <v>0</v>
      </c>
      <c r="W127" s="3">
        <f t="shared" si="14"/>
        <v>0</v>
      </c>
      <c r="X127" s="5">
        <f t="shared" si="15"/>
        <v>60</v>
      </c>
      <c r="Y127" s="5">
        <f>IF(U127="Open",Lookups!$B$2-B127,X127)</f>
        <v>60</v>
      </c>
      <c r="Z127" t="str">
        <f t="shared" si="16"/>
        <v>OK</v>
      </c>
      <c r="AA127" t="str">
        <f t="shared" si="17"/>
        <v>2025-09</v>
      </c>
      <c r="AB127" t="str">
        <f t="shared" si="18"/>
        <v>2025-11</v>
      </c>
      <c r="AC127" t="str">
        <f t="shared" si="19"/>
        <v>Q3-2025</v>
      </c>
      <c r="AD127" s="5">
        <f t="shared" si="20"/>
        <v>66</v>
      </c>
      <c r="AE127" t="str">
        <f t="shared" si="21"/>
        <v>Lost</v>
      </c>
    </row>
    <row r="128" spans="1:31">
      <c r="A128" t="s">
        <v>230</v>
      </c>
      <c r="B128" s="1">
        <v>45747</v>
      </c>
      <c r="C128" t="s">
        <v>90</v>
      </c>
      <c r="D128" t="s">
        <v>57</v>
      </c>
      <c r="E128" t="s">
        <v>92</v>
      </c>
      <c r="F128" t="s">
        <v>52</v>
      </c>
      <c r="G128" t="s">
        <v>46</v>
      </c>
      <c r="H128" t="s">
        <v>47</v>
      </c>
      <c r="I128" t="s">
        <v>61</v>
      </c>
      <c r="J128" s="1">
        <v>45810</v>
      </c>
      <c r="K128" s="1">
        <v>45810</v>
      </c>
      <c r="L128" s="3">
        <v>8400</v>
      </c>
      <c r="M128" s="4">
        <v>0</v>
      </c>
      <c r="N128" s="4">
        <v>0</v>
      </c>
      <c r="O128" t="s">
        <v>62</v>
      </c>
      <c r="P128">
        <v>3</v>
      </c>
      <c r="Q128" t="str">
        <f>IFERROR(VLOOKUP(E128,Lookups!$A$5:$B$24,2,FALSE),"Other")</f>
        <v>Webinar</v>
      </c>
      <c r="R128" t="str">
        <f>IFERROR(VLOOKUP(F128,Lookups!$D$5:$F$10,2,FALSE),"Unknown Product")</f>
        <v>NexaCRM Core</v>
      </c>
      <c r="S128" t="str">
        <f>IFERROR(VLOOKUP(F128,Lookups!$D$5:$F$10,3,FALSE),"Unknown")</f>
        <v>CRM</v>
      </c>
      <c r="T128" t="str">
        <f t="shared" si="11"/>
        <v>SMB</v>
      </c>
      <c r="U128" t="str">
        <f t="shared" si="12"/>
        <v>Lost</v>
      </c>
      <c r="V128" s="3">
        <f t="shared" si="13"/>
        <v>0</v>
      </c>
      <c r="W128" s="3">
        <f t="shared" si="14"/>
        <v>0</v>
      </c>
      <c r="X128" s="5">
        <f t="shared" si="15"/>
        <v>63</v>
      </c>
      <c r="Y128" s="5">
        <f>IF(U128="Open",Lookups!$B$2-B128,X128)</f>
        <v>63</v>
      </c>
      <c r="Z128" t="str">
        <f t="shared" si="16"/>
        <v>OK</v>
      </c>
      <c r="AA128" t="str">
        <f t="shared" si="17"/>
        <v>2025-03</v>
      </c>
      <c r="AB128" t="str">
        <f t="shared" si="18"/>
        <v>2025-06</v>
      </c>
      <c r="AC128" t="str">
        <f t="shared" si="19"/>
        <v>Q1-2025</v>
      </c>
      <c r="AD128" s="5">
        <f t="shared" si="20"/>
        <v>43</v>
      </c>
      <c r="AE128" t="str">
        <f t="shared" si="21"/>
        <v>Lost</v>
      </c>
    </row>
    <row r="129" spans="1:31">
      <c r="A129" t="s">
        <v>231</v>
      </c>
      <c r="B129" s="1">
        <v>45684</v>
      </c>
      <c r="C129" t="s">
        <v>86</v>
      </c>
      <c r="D129" t="s">
        <v>87</v>
      </c>
      <c r="E129" t="s">
        <v>123</v>
      </c>
      <c r="F129" t="s">
        <v>52</v>
      </c>
      <c r="G129" t="s">
        <v>99</v>
      </c>
      <c r="H129" t="s">
        <v>47</v>
      </c>
      <c r="I129" t="s">
        <v>61</v>
      </c>
      <c r="J129" s="1">
        <v>45714</v>
      </c>
      <c r="K129" s="1">
        <v>45714</v>
      </c>
      <c r="L129" s="3">
        <v>4900</v>
      </c>
      <c r="M129" s="4">
        <v>0</v>
      </c>
      <c r="N129" s="4">
        <v>0</v>
      </c>
      <c r="O129" t="s">
        <v>62</v>
      </c>
      <c r="P129">
        <v>5</v>
      </c>
      <c r="Q129" t="str">
        <f>IFERROR(VLOOKUP(E129,Lookups!$A$5:$B$24,2,FALSE),"Other")</f>
        <v>Email</v>
      </c>
      <c r="R129" t="str">
        <f>IFERROR(VLOOKUP(F129,Lookups!$D$5:$F$10,2,FALSE),"Unknown Product")</f>
        <v>NexaCRM Core</v>
      </c>
      <c r="S129" t="str">
        <f>IFERROR(VLOOKUP(F129,Lookups!$D$5:$F$10,3,FALSE),"Unknown")</f>
        <v>CRM</v>
      </c>
      <c r="T129" t="str">
        <f t="shared" si="11"/>
        <v>SMB</v>
      </c>
      <c r="U129" t="str">
        <f t="shared" si="12"/>
        <v>Lost</v>
      </c>
      <c r="V129" s="3">
        <f t="shared" si="13"/>
        <v>0</v>
      </c>
      <c r="W129" s="3">
        <f t="shared" si="14"/>
        <v>0</v>
      </c>
      <c r="X129" s="5">
        <f t="shared" si="15"/>
        <v>30</v>
      </c>
      <c r="Y129" s="5">
        <f>IF(U129="Open",Lookups!$B$2-B129,X129)</f>
        <v>30</v>
      </c>
      <c r="Z129" t="str">
        <f t="shared" si="16"/>
        <v>OK</v>
      </c>
      <c r="AA129" t="str">
        <f t="shared" si="17"/>
        <v>2025-01</v>
      </c>
      <c r="AB129" t="str">
        <f t="shared" si="18"/>
        <v>2025-02</v>
      </c>
      <c r="AC129" t="str">
        <f t="shared" si="19"/>
        <v>Q1-2025</v>
      </c>
      <c r="AD129" s="5">
        <f t="shared" si="20"/>
        <v>47</v>
      </c>
      <c r="AE129" t="str">
        <f t="shared" si="21"/>
        <v>Lost</v>
      </c>
    </row>
    <row r="130" spans="1:31">
      <c r="A130" t="s">
        <v>232</v>
      </c>
      <c r="B130" s="1">
        <v>46049</v>
      </c>
      <c r="C130" t="s">
        <v>56</v>
      </c>
      <c r="D130" t="s">
        <v>57</v>
      </c>
      <c r="E130" t="s">
        <v>65</v>
      </c>
      <c r="F130" t="s">
        <v>59</v>
      </c>
      <c r="G130" t="s">
        <v>60</v>
      </c>
      <c r="H130" t="s">
        <v>84</v>
      </c>
      <c r="I130" t="s">
        <v>61</v>
      </c>
      <c r="J130" s="1">
        <v>46084</v>
      </c>
      <c r="K130" s="1">
        <v>46084</v>
      </c>
      <c r="L130" s="3">
        <v>86800</v>
      </c>
      <c r="M130" s="4">
        <v>0</v>
      </c>
      <c r="N130" s="4">
        <v>0</v>
      </c>
      <c r="O130" t="s">
        <v>62</v>
      </c>
      <c r="P130">
        <v>2</v>
      </c>
      <c r="Q130" t="str">
        <f>IFERROR(VLOOKUP(E130,Lookups!$A$5:$B$24,2,FALSE),"Other")</f>
        <v>Paid Search</v>
      </c>
      <c r="R130" t="str">
        <f>IFERROR(VLOOKUP(F130,Lookups!$D$5:$F$10,2,FALSE),"Unknown Product")</f>
        <v>NexaCRM Pro</v>
      </c>
      <c r="S130" t="str">
        <f>IFERROR(VLOOKUP(F130,Lookups!$D$5:$F$10,3,FALSE),"Unknown")</f>
        <v>CRM</v>
      </c>
      <c r="T130" t="str">
        <f t="shared" ref="T130:T193" si="22">IF(L130&gt;=50000,"Enterprise",IF(L130&gt;=20000,"Mid-Market","SMB"))</f>
        <v>Enterprise</v>
      </c>
      <c r="U130" t="str">
        <f t="shared" ref="U130:U193" si="23">IF(I130="Closed Won","Won",IF(I130="Closed Lost","Lost","Open"))</f>
        <v>Lost</v>
      </c>
      <c r="V130" s="3">
        <f t="shared" ref="V130:V193" si="24">IF(U130="Won",L130*(1-M130),0)</f>
        <v>0</v>
      </c>
      <c r="W130" s="3">
        <f t="shared" ref="W130:W193" si="25">IF(U130="Open",L130*N130,0)</f>
        <v>0</v>
      </c>
      <c r="X130" s="5">
        <f t="shared" ref="X130:X193" si="26">IF(U130="Open","",IFERROR(K130-B130,""))</f>
        <v>35</v>
      </c>
      <c r="Y130" s="5">
        <f>IF(U130="Open",Lookups!$B$2-B130,X130)</f>
        <v>35</v>
      </c>
      <c r="Z130" t="str">
        <f t="shared" ref="Z130:Z193" si="27">IF(AND(U130="Open",Y130&gt;30),"STALE","OK")</f>
        <v>OK</v>
      </c>
      <c r="AA130" t="str">
        <f t="shared" ref="AA130:AA193" si="28">TEXT(B130,"yyyy-mm")</f>
        <v>2026-01</v>
      </c>
      <c r="AB130" t="str">
        <f t="shared" ref="AB130:AB193" si="29">IF(K130="","",TEXT(K130,"yyyy-mm"))</f>
        <v>2026-03</v>
      </c>
      <c r="AC130" t="str">
        <f t="shared" ref="AC130:AC193" si="30">"Q"&amp;ROUNDUP(MONTH(B130)/3,0)&amp;"-"&amp;YEAR(B130)</f>
        <v>Q1-2026</v>
      </c>
      <c r="AD130" s="5">
        <f t="shared" ref="AD130:AD193" si="31">MIN(100,IF(H130="Enterprise",30,IF(H130="Mid-Market",22,14))+IF(T130="Enterprise",25,IF(T130="Mid-Market",18,10))+IF(Q130="Referral",25,IF(Q130="Organic Search",20,IF(Q130="Email",18,14)))+IF(G130="Technology",10,5))</f>
        <v>74</v>
      </c>
      <c r="AE130" t="str">
        <f t="shared" ref="AE130:AE193" si="32">IF(U130&lt;&gt;"Open",U130,IF(N130&gt;=0.8,"Commit",IF(N130&gt;=0.5,"Best Case","Pipeline")))</f>
        <v>Lost</v>
      </c>
    </row>
    <row r="131" spans="1:31">
      <c r="A131" t="s">
        <v>233</v>
      </c>
      <c r="B131" s="1">
        <v>46081</v>
      </c>
      <c r="C131" t="s">
        <v>64</v>
      </c>
      <c r="D131" t="s">
        <v>57</v>
      </c>
      <c r="E131" t="s">
        <v>166</v>
      </c>
      <c r="F131" t="s">
        <v>59</v>
      </c>
      <c r="G131" t="s">
        <v>72</v>
      </c>
      <c r="H131" t="s">
        <v>47</v>
      </c>
      <c r="I131" t="s">
        <v>77</v>
      </c>
      <c r="J131" s="1">
        <v>46134</v>
      </c>
      <c r="K131" s="1">
        <v>46134</v>
      </c>
      <c r="L131" s="3">
        <v>11100</v>
      </c>
      <c r="M131" s="4">
        <v>0</v>
      </c>
      <c r="N131" s="4">
        <v>1</v>
      </c>
      <c r="P131">
        <v>6</v>
      </c>
      <c r="Q131" t="str">
        <f>IFERROR(VLOOKUP(E131,Lookups!$A$5:$B$24,2,FALSE),"Other")</f>
        <v>Referral</v>
      </c>
      <c r="R131" t="str">
        <f>IFERROR(VLOOKUP(F131,Lookups!$D$5:$F$10,2,FALSE),"Unknown Product")</f>
        <v>NexaCRM Pro</v>
      </c>
      <c r="S131" t="str">
        <f>IFERROR(VLOOKUP(F131,Lookups!$D$5:$F$10,3,FALSE),"Unknown")</f>
        <v>CRM</v>
      </c>
      <c r="T131" t="str">
        <f t="shared" si="22"/>
        <v>SMB</v>
      </c>
      <c r="U131" t="str">
        <f t="shared" si="23"/>
        <v>Won</v>
      </c>
      <c r="V131" s="3">
        <f t="shared" si="24"/>
        <v>11100</v>
      </c>
      <c r="W131" s="3">
        <f t="shared" si="25"/>
        <v>0</v>
      </c>
      <c r="X131" s="5">
        <f t="shared" si="26"/>
        <v>53</v>
      </c>
      <c r="Y131" s="5">
        <f>IF(U131="Open",Lookups!$B$2-B131,X131)</f>
        <v>53</v>
      </c>
      <c r="Z131" t="str">
        <f t="shared" si="27"/>
        <v>OK</v>
      </c>
      <c r="AA131" t="str">
        <f t="shared" si="28"/>
        <v>2026-02</v>
      </c>
      <c r="AB131" t="str">
        <f t="shared" si="29"/>
        <v>2026-04</v>
      </c>
      <c r="AC131" t="str">
        <f t="shared" si="30"/>
        <v>Q1-2026</v>
      </c>
      <c r="AD131" s="5">
        <f t="shared" si="31"/>
        <v>54</v>
      </c>
      <c r="AE131" t="str">
        <f t="shared" si="32"/>
        <v>Won</v>
      </c>
    </row>
    <row r="132" spans="1:31">
      <c r="A132" t="s">
        <v>234</v>
      </c>
      <c r="B132" s="1">
        <v>45740</v>
      </c>
      <c r="C132" t="s">
        <v>69</v>
      </c>
      <c r="D132" t="s">
        <v>57</v>
      </c>
      <c r="E132" t="s">
        <v>65</v>
      </c>
      <c r="F132" t="s">
        <v>52</v>
      </c>
      <c r="G132" t="s">
        <v>46</v>
      </c>
      <c r="H132" t="s">
        <v>53</v>
      </c>
      <c r="I132" t="s">
        <v>61</v>
      </c>
      <c r="J132" s="1">
        <v>45817</v>
      </c>
      <c r="K132" s="1">
        <v>45817</v>
      </c>
      <c r="L132" s="3">
        <v>16800</v>
      </c>
      <c r="M132" s="4">
        <v>0</v>
      </c>
      <c r="N132" s="4">
        <v>0</v>
      </c>
      <c r="O132" t="s">
        <v>79</v>
      </c>
      <c r="P132">
        <v>4</v>
      </c>
      <c r="Q132" t="str">
        <f>IFERROR(VLOOKUP(E132,Lookups!$A$5:$B$24,2,FALSE),"Other")</f>
        <v>Paid Search</v>
      </c>
      <c r="R132" t="str">
        <f>IFERROR(VLOOKUP(F132,Lookups!$D$5:$F$10,2,FALSE),"Unknown Product")</f>
        <v>NexaCRM Core</v>
      </c>
      <c r="S132" t="str">
        <f>IFERROR(VLOOKUP(F132,Lookups!$D$5:$F$10,3,FALSE),"Unknown")</f>
        <v>CRM</v>
      </c>
      <c r="T132" t="str">
        <f t="shared" si="22"/>
        <v>SMB</v>
      </c>
      <c r="U132" t="str">
        <f t="shared" si="23"/>
        <v>Lost</v>
      </c>
      <c r="V132" s="3">
        <f t="shared" si="24"/>
        <v>0</v>
      </c>
      <c r="W132" s="3">
        <f t="shared" si="25"/>
        <v>0</v>
      </c>
      <c r="X132" s="5">
        <f t="shared" si="26"/>
        <v>77</v>
      </c>
      <c r="Y132" s="5">
        <f>IF(U132="Open",Lookups!$B$2-B132,X132)</f>
        <v>77</v>
      </c>
      <c r="Z132" t="str">
        <f t="shared" si="27"/>
        <v>OK</v>
      </c>
      <c r="AA132" t="str">
        <f t="shared" si="28"/>
        <v>2025-03</v>
      </c>
      <c r="AB132" t="str">
        <f t="shared" si="29"/>
        <v>2025-06</v>
      </c>
      <c r="AC132" t="str">
        <f t="shared" si="30"/>
        <v>Q1-2025</v>
      </c>
      <c r="AD132" s="5">
        <f t="shared" si="31"/>
        <v>51</v>
      </c>
      <c r="AE132" t="str">
        <f t="shared" si="32"/>
        <v>Lost</v>
      </c>
    </row>
    <row r="133" spans="1:31">
      <c r="A133" t="s">
        <v>235</v>
      </c>
      <c r="B133" s="1">
        <v>45737</v>
      </c>
      <c r="C133" t="s">
        <v>42</v>
      </c>
      <c r="D133" t="s">
        <v>43</v>
      </c>
      <c r="E133" t="s">
        <v>51</v>
      </c>
      <c r="F133" t="s">
        <v>52</v>
      </c>
      <c r="G133" t="s">
        <v>94</v>
      </c>
      <c r="H133" t="s">
        <v>47</v>
      </c>
      <c r="I133" t="s">
        <v>61</v>
      </c>
      <c r="J133" s="1">
        <v>45762</v>
      </c>
      <c r="K133" s="1">
        <v>45762</v>
      </c>
      <c r="L133" s="3">
        <v>5000</v>
      </c>
      <c r="M133" s="4">
        <v>0</v>
      </c>
      <c r="N133" s="4">
        <v>0</v>
      </c>
      <c r="O133" t="s">
        <v>81</v>
      </c>
      <c r="P133">
        <v>3</v>
      </c>
      <c r="Q133" t="str">
        <f>IFERROR(VLOOKUP(E133,Lookups!$A$5:$B$24,2,FALSE),"Other")</f>
        <v>Paid Search</v>
      </c>
      <c r="R133" t="str">
        <f>IFERROR(VLOOKUP(F133,Lookups!$D$5:$F$10,2,FALSE),"Unknown Product")</f>
        <v>NexaCRM Core</v>
      </c>
      <c r="S133" t="str">
        <f>IFERROR(VLOOKUP(F133,Lookups!$D$5:$F$10,3,FALSE),"Unknown")</f>
        <v>CRM</v>
      </c>
      <c r="T133" t="str">
        <f t="shared" si="22"/>
        <v>SMB</v>
      </c>
      <c r="U133" t="str">
        <f t="shared" si="23"/>
        <v>Lost</v>
      </c>
      <c r="V133" s="3">
        <f t="shared" si="24"/>
        <v>0</v>
      </c>
      <c r="W133" s="3">
        <f t="shared" si="25"/>
        <v>0</v>
      </c>
      <c r="X133" s="5">
        <f t="shared" si="26"/>
        <v>25</v>
      </c>
      <c r="Y133" s="5">
        <f>IF(U133="Open",Lookups!$B$2-B133,X133)</f>
        <v>25</v>
      </c>
      <c r="Z133" t="str">
        <f t="shared" si="27"/>
        <v>OK</v>
      </c>
      <c r="AA133" t="str">
        <f t="shared" si="28"/>
        <v>2025-03</v>
      </c>
      <c r="AB133" t="str">
        <f t="shared" si="29"/>
        <v>2025-04</v>
      </c>
      <c r="AC133" t="str">
        <f t="shared" si="30"/>
        <v>Q1-2025</v>
      </c>
      <c r="AD133" s="5">
        <f t="shared" si="31"/>
        <v>43</v>
      </c>
      <c r="AE133" t="str">
        <f t="shared" si="32"/>
        <v>Lost</v>
      </c>
    </row>
    <row r="134" spans="1:31">
      <c r="A134" t="s">
        <v>236</v>
      </c>
      <c r="B134" s="1">
        <v>46009</v>
      </c>
      <c r="C134" t="s">
        <v>50</v>
      </c>
      <c r="D134" t="s">
        <v>43</v>
      </c>
      <c r="E134" t="s">
        <v>127</v>
      </c>
      <c r="F134" t="s">
        <v>52</v>
      </c>
      <c r="G134" t="s">
        <v>60</v>
      </c>
      <c r="H134" t="s">
        <v>53</v>
      </c>
      <c r="I134" t="s">
        <v>61</v>
      </c>
      <c r="J134" s="1">
        <v>46029</v>
      </c>
      <c r="K134" s="1">
        <v>46029</v>
      </c>
      <c r="L134" s="3">
        <v>18100</v>
      </c>
      <c r="M134" s="4">
        <v>0</v>
      </c>
      <c r="N134" s="4">
        <v>0</v>
      </c>
      <c r="O134" t="s">
        <v>79</v>
      </c>
      <c r="P134">
        <v>4</v>
      </c>
      <c r="Q134" t="str">
        <f>IFERROR(VLOOKUP(E134,Lookups!$A$5:$B$24,2,FALSE),"Other")</f>
        <v>Paid Search</v>
      </c>
      <c r="R134" t="str">
        <f>IFERROR(VLOOKUP(F134,Lookups!$D$5:$F$10,2,FALSE),"Unknown Product")</f>
        <v>NexaCRM Core</v>
      </c>
      <c r="S134" t="str">
        <f>IFERROR(VLOOKUP(F134,Lookups!$D$5:$F$10,3,FALSE),"Unknown")</f>
        <v>CRM</v>
      </c>
      <c r="T134" t="str">
        <f t="shared" si="22"/>
        <v>SMB</v>
      </c>
      <c r="U134" t="str">
        <f t="shared" si="23"/>
        <v>Lost</v>
      </c>
      <c r="V134" s="3">
        <f t="shared" si="24"/>
        <v>0</v>
      </c>
      <c r="W134" s="3">
        <f t="shared" si="25"/>
        <v>0</v>
      </c>
      <c r="X134" s="5">
        <f t="shared" si="26"/>
        <v>20</v>
      </c>
      <c r="Y134" s="5">
        <f>IF(U134="Open",Lookups!$B$2-B134,X134)</f>
        <v>20</v>
      </c>
      <c r="Z134" t="str">
        <f t="shared" si="27"/>
        <v>OK</v>
      </c>
      <c r="AA134" t="str">
        <f t="shared" si="28"/>
        <v>2025-12</v>
      </c>
      <c r="AB134" t="str">
        <f t="shared" si="29"/>
        <v>2026-01</v>
      </c>
      <c r="AC134" t="str">
        <f t="shared" si="30"/>
        <v>Q4-2025</v>
      </c>
      <c r="AD134" s="5">
        <f t="shared" si="31"/>
        <v>51</v>
      </c>
      <c r="AE134" t="str">
        <f t="shared" si="32"/>
        <v>Lost</v>
      </c>
    </row>
    <row r="135" spans="1:31">
      <c r="A135" t="s">
        <v>237</v>
      </c>
      <c r="B135" s="1">
        <v>45753</v>
      </c>
      <c r="C135" t="s">
        <v>86</v>
      </c>
      <c r="D135" t="s">
        <v>87</v>
      </c>
      <c r="E135" t="s">
        <v>115</v>
      </c>
      <c r="F135" t="s">
        <v>45</v>
      </c>
      <c r="G135" t="s">
        <v>60</v>
      </c>
      <c r="H135" t="s">
        <v>53</v>
      </c>
      <c r="I135" t="s">
        <v>61</v>
      </c>
      <c r="J135" s="1">
        <v>45776</v>
      </c>
      <c r="K135" s="1">
        <v>45776</v>
      </c>
      <c r="L135" s="3">
        <v>24500</v>
      </c>
      <c r="M135" s="4">
        <v>0</v>
      </c>
      <c r="N135" s="4">
        <v>0</v>
      </c>
      <c r="O135" t="s">
        <v>81</v>
      </c>
      <c r="P135">
        <v>2</v>
      </c>
      <c r="Q135" t="str">
        <f>IFERROR(VLOOKUP(E135,Lookups!$A$5:$B$24,2,FALSE),"Other")</f>
        <v>Outbound</v>
      </c>
      <c r="R135" t="str">
        <f>IFERROR(VLOOKUP(F135,Lookups!$D$5:$F$10,2,FALSE),"Unknown Product")</f>
        <v>Service Cloud</v>
      </c>
      <c r="S135" t="str">
        <f>IFERROR(VLOOKUP(F135,Lookups!$D$5:$F$10,3,FALSE),"Unknown")</f>
        <v>Customer Service</v>
      </c>
      <c r="T135" t="str">
        <f t="shared" si="22"/>
        <v>Mid-Market</v>
      </c>
      <c r="U135" t="str">
        <f t="shared" si="23"/>
        <v>Lost</v>
      </c>
      <c r="V135" s="3">
        <f t="shared" si="24"/>
        <v>0</v>
      </c>
      <c r="W135" s="3">
        <f t="shared" si="25"/>
        <v>0</v>
      </c>
      <c r="X135" s="5">
        <f t="shared" si="26"/>
        <v>23</v>
      </c>
      <c r="Y135" s="5">
        <f>IF(U135="Open",Lookups!$B$2-B135,X135)</f>
        <v>23</v>
      </c>
      <c r="Z135" t="str">
        <f t="shared" si="27"/>
        <v>OK</v>
      </c>
      <c r="AA135" t="str">
        <f t="shared" si="28"/>
        <v>2025-04</v>
      </c>
      <c r="AB135" t="str">
        <f t="shared" si="29"/>
        <v>2025-04</v>
      </c>
      <c r="AC135" t="str">
        <f t="shared" si="30"/>
        <v>Q2-2025</v>
      </c>
      <c r="AD135" s="5">
        <f t="shared" si="31"/>
        <v>59</v>
      </c>
      <c r="AE135" t="str">
        <f t="shared" si="32"/>
        <v>Lost</v>
      </c>
    </row>
    <row r="136" spans="1:31">
      <c r="A136" t="s">
        <v>238</v>
      </c>
      <c r="B136" s="1">
        <v>46188</v>
      </c>
      <c r="C136" t="s">
        <v>86</v>
      </c>
      <c r="D136" t="s">
        <v>87</v>
      </c>
      <c r="E136" t="s">
        <v>44</v>
      </c>
      <c r="F136" t="s">
        <v>67</v>
      </c>
      <c r="G136" t="s">
        <v>72</v>
      </c>
      <c r="H136" t="s">
        <v>53</v>
      </c>
      <c r="I136" t="s">
        <v>61</v>
      </c>
      <c r="J136" s="1">
        <v>46218</v>
      </c>
      <c r="K136" s="1">
        <v>46218</v>
      </c>
      <c r="L136" s="3">
        <v>78300</v>
      </c>
      <c r="M136" s="4">
        <v>0</v>
      </c>
      <c r="N136" s="4">
        <v>0</v>
      </c>
      <c r="O136" t="s">
        <v>62</v>
      </c>
      <c r="P136">
        <v>3</v>
      </c>
      <c r="Q136" t="str">
        <f>IFERROR(VLOOKUP(E136,Lookups!$A$5:$B$24,2,FALSE),"Other")</f>
        <v>Organic Search</v>
      </c>
      <c r="R136" t="str">
        <f>IFERROR(VLOOKUP(F136,Lookups!$D$5:$F$10,2,FALSE),"Unknown Product")</f>
        <v>Revenue Operations Suite</v>
      </c>
      <c r="S136" t="str">
        <f>IFERROR(VLOOKUP(F136,Lookups!$D$5:$F$10,3,FALSE),"Unknown")</f>
        <v>Revenue Ops</v>
      </c>
      <c r="T136" t="str">
        <f t="shared" si="22"/>
        <v>Enterprise</v>
      </c>
      <c r="U136" t="str">
        <f t="shared" si="23"/>
        <v>Lost</v>
      </c>
      <c r="V136" s="3">
        <f t="shared" si="24"/>
        <v>0</v>
      </c>
      <c r="W136" s="3">
        <f t="shared" si="25"/>
        <v>0</v>
      </c>
      <c r="X136" s="5">
        <f t="shared" si="26"/>
        <v>30</v>
      </c>
      <c r="Y136" s="5">
        <f>IF(U136="Open",Lookups!$B$2-B136,X136)</f>
        <v>30</v>
      </c>
      <c r="Z136" t="str">
        <f t="shared" si="27"/>
        <v>OK</v>
      </c>
      <c r="AA136" t="str">
        <f t="shared" si="28"/>
        <v>2026-06</v>
      </c>
      <c r="AB136" t="str">
        <f t="shared" si="29"/>
        <v>2026-07</v>
      </c>
      <c r="AC136" t="str">
        <f t="shared" si="30"/>
        <v>Q2-2026</v>
      </c>
      <c r="AD136" s="5">
        <f t="shared" si="31"/>
        <v>72</v>
      </c>
      <c r="AE136" t="str">
        <f t="shared" si="32"/>
        <v>Lost</v>
      </c>
    </row>
    <row r="137" spans="1:31">
      <c r="A137" t="s">
        <v>239</v>
      </c>
      <c r="B137" s="1">
        <v>45926</v>
      </c>
      <c r="C137" t="s">
        <v>64</v>
      </c>
      <c r="D137" t="s">
        <v>57</v>
      </c>
      <c r="E137" t="s">
        <v>98</v>
      </c>
      <c r="F137" t="s">
        <v>45</v>
      </c>
      <c r="G137" t="s">
        <v>112</v>
      </c>
      <c r="H137" t="s">
        <v>47</v>
      </c>
      <c r="I137" t="s">
        <v>61</v>
      </c>
      <c r="J137" s="1">
        <v>45968</v>
      </c>
      <c r="K137" s="1">
        <v>45968</v>
      </c>
      <c r="L137" s="3">
        <v>19700</v>
      </c>
      <c r="M137" s="4">
        <v>0</v>
      </c>
      <c r="N137" s="4">
        <v>0</v>
      </c>
      <c r="O137" t="s">
        <v>79</v>
      </c>
      <c r="P137">
        <v>2</v>
      </c>
      <c r="Q137" t="str">
        <f>IFERROR(VLOOKUP(E137,Lookups!$A$5:$B$24,2,FALSE),"Other")</f>
        <v>Outbound</v>
      </c>
      <c r="R137" t="str">
        <f>IFERROR(VLOOKUP(F137,Lookups!$D$5:$F$10,2,FALSE),"Unknown Product")</f>
        <v>Service Cloud</v>
      </c>
      <c r="S137" t="str">
        <f>IFERROR(VLOOKUP(F137,Lookups!$D$5:$F$10,3,FALSE),"Unknown")</f>
        <v>Customer Service</v>
      </c>
      <c r="T137" t="str">
        <f t="shared" si="22"/>
        <v>SMB</v>
      </c>
      <c r="U137" t="str">
        <f t="shared" si="23"/>
        <v>Lost</v>
      </c>
      <c r="V137" s="3">
        <f t="shared" si="24"/>
        <v>0</v>
      </c>
      <c r="W137" s="3">
        <f t="shared" si="25"/>
        <v>0</v>
      </c>
      <c r="X137" s="5">
        <f t="shared" si="26"/>
        <v>42</v>
      </c>
      <c r="Y137" s="5">
        <f>IF(U137="Open",Lookups!$B$2-B137,X137)</f>
        <v>42</v>
      </c>
      <c r="Z137" t="str">
        <f t="shared" si="27"/>
        <v>OK</v>
      </c>
      <c r="AA137" t="str">
        <f t="shared" si="28"/>
        <v>2025-09</v>
      </c>
      <c r="AB137" t="str">
        <f t="shared" si="29"/>
        <v>2025-11</v>
      </c>
      <c r="AC137" t="str">
        <f t="shared" si="30"/>
        <v>Q3-2025</v>
      </c>
      <c r="AD137" s="5">
        <f t="shared" si="31"/>
        <v>48</v>
      </c>
      <c r="AE137" t="str">
        <f t="shared" si="32"/>
        <v>Lost</v>
      </c>
    </row>
    <row r="138" spans="1:31">
      <c r="A138" t="s">
        <v>240</v>
      </c>
      <c r="B138" s="1">
        <v>45979</v>
      </c>
      <c r="C138" t="s">
        <v>148</v>
      </c>
      <c r="D138" t="s">
        <v>43</v>
      </c>
      <c r="E138" t="s">
        <v>146</v>
      </c>
      <c r="F138" t="s">
        <v>133</v>
      </c>
      <c r="G138" t="s">
        <v>94</v>
      </c>
      <c r="H138" t="s">
        <v>84</v>
      </c>
      <c r="I138" t="s">
        <v>61</v>
      </c>
      <c r="J138" s="1">
        <v>46059</v>
      </c>
      <c r="K138" s="1">
        <v>46059</v>
      </c>
      <c r="L138" s="3">
        <v>94100</v>
      </c>
      <c r="M138" s="4">
        <v>0</v>
      </c>
      <c r="N138" s="4">
        <v>0</v>
      </c>
      <c r="O138" t="s">
        <v>62</v>
      </c>
      <c r="P138">
        <v>3</v>
      </c>
      <c r="Q138" t="str">
        <f>IFERROR(VLOOKUP(E138,Lookups!$A$5:$B$24,2,FALSE),"Other")</f>
        <v>LinkedIn</v>
      </c>
      <c r="R138" t="str">
        <f>IFERROR(VLOOKUP(F138,Lookups!$D$5:$F$10,2,FALSE),"Unknown Product")</f>
        <v>Analytics Plus</v>
      </c>
      <c r="S138" t="str">
        <f>IFERROR(VLOOKUP(F138,Lookups!$D$5:$F$10,3,FALSE),"Unknown")</f>
        <v>Analytics</v>
      </c>
      <c r="T138" t="str">
        <f t="shared" si="22"/>
        <v>Enterprise</v>
      </c>
      <c r="U138" t="str">
        <f t="shared" si="23"/>
        <v>Lost</v>
      </c>
      <c r="V138" s="3">
        <f t="shared" si="24"/>
        <v>0</v>
      </c>
      <c r="W138" s="3">
        <f t="shared" si="25"/>
        <v>0</v>
      </c>
      <c r="X138" s="5">
        <f t="shared" si="26"/>
        <v>80</v>
      </c>
      <c r="Y138" s="5">
        <f>IF(U138="Open",Lookups!$B$2-B138,X138)</f>
        <v>80</v>
      </c>
      <c r="Z138" t="str">
        <f t="shared" si="27"/>
        <v>OK</v>
      </c>
      <c r="AA138" t="str">
        <f t="shared" si="28"/>
        <v>2025-11</v>
      </c>
      <c r="AB138" t="str">
        <f t="shared" si="29"/>
        <v>2026-02</v>
      </c>
      <c r="AC138" t="str">
        <f t="shared" si="30"/>
        <v>Q4-2025</v>
      </c>
      <c r="AD138" s="5">
        <f t="shared" si="31"/>
        <v>74</v>
      </c>
      <c r="AE138" t="str">
        <f t="shared" si="32"/>
        <v>Lost</v>
      </c>
    </row>
    <row r="139" spans="1:31">
      <c r="A139" t="s">
        <v>241</v>
      </c>
      <c r="B139" s="1">
        <v>45942</v>
      </c>
      <c r="C139" t="s">
        <v>69</v>
      </c>
      <c r="D139" t="s">
        <v>57</v>
      </c>
      <c r="E139" t="s">
        <v>83</v>
      </c>
      <c r="F139" t="s">
        <v>52</v>
      </c>
      <c r="G139" t="s">
        <v>99</v>
      </c>
      <c r="H139" t="s">
        <v>47</v>
      </c>
      <c r="I139" t="s">
        <v>48</v>
      </c>
      <c r="J139" s="1">
        <v>46217</v>
      </c>
      <c r="K139" s="1"/>
      <c r="L139" s="3">
        <v>5300</v>
      </c>
      <c r="M139" s="4">
        <v>0.05</v>
      </c>
      <c r="N139" s="4">
        <v>0.85</v>
      </c>
      <c r="P139">
        <v>5</v>
      </c>
      <c r="Q139" t="str">
        <f>IFERROR(VLOOKUP(E139,Lookups!$A$5:$B$24,2,FALSE),"Other")</f>
        <v>Organic Search</v>
      </c>
      <c r="R139" t="str">
        <f>IFERROR(VLOOKUP(F139,Lookups!$D$5:$F$10,2,FALSE),"Unknown Product")</f>
        <v>NexaCRM Core</v>
      </c>
      <c r="S139" t="str">
        <f>IFERROR(VLOOKUP(F139,Lookups!$D$5:$F$10,3,FALSE),"Unknown")</f>
        <v>CRM</v>
      </c>
      <c r="T139" t="str">
        <f t="shared" si="22"/>
        <v>SMB</v>
      </c>
      <c r="U139" t="str">
        <f t="shared" si="23"/>
        <v>Open</v>
      </c>
      <c r="V139" s="3">
        <f t="shared" si="24"/>
        <v>0</v>
      </c>
      <c r="W139" s="3">
        <f t="shared" si="25"/>
        <v>4505</v>
      </c>
      <c r="X139" s="5" t="str">
        <f t="shared" si="26"/>
        <v/>
      </c>
      <c r="Y139" s="5">
        <f>IF(U139="Open",Lookups!$B$2-B139,X139)</f>
        <v>324</v>
      </c>
      <c r="Z139" t="str">
        <f t="shared" si="27"/>
        <v>STALE</v>
      </c>
      <c r="AA139" t="str">
        <f t="shared" si="28"/>
        <v>2025-10</v>
      </c>
      <c r="AB139" t="str">
        <f t="shared" si="29"/>
        <v/>
      </c>
      <c r="AC139" t="str">
        <f t="shared" si="30"/>
        <v>Q4-2025</v>
      </c>
      <c r="AD139" s="5">
        <f t="shared" si="31"/>
        <v>49</v>
      </c>
      <c r="AE139" t="str">
        <f t="shared" si="32"/>
        <v>Commit</v>
      </c>
    </row>
    <row r="140" spans="1:31">
      <c r="A140" t="s">
        <v>242</v>
      </c>
      <c r="B140" s="1">
        <v>46140</v>
      </c>
      <c r="C140" t="s">
        <v>42</v>
      </c>
      <c r="D140" t="s">
        <v>43</v>
      </c>
      <c r="E140" t="s">
        <v>44</v>
      </c>
      <c r="F140" t="s">
        <v>67</v>
      </c>
      <c r="G140" t="s">
        <v>46</v>
      </c>
      <c r="H140" t="s">
        <v>47</v>
      </c>
      <c r="I140" t="s">
        <v>61</v>
      </c>
      <c r="J140" s="1">
        <v>46200</v>
      </c>
      <c r="K140" s="1">
        <v>46200</v>
      </c>
      <c r="L140" s="3">
        <v>48100</v>
      </c>
      <c r="M140" s="4">
        <v>0</v>
      </c>
      <c r="N140" s="4">
        <v>0</v>
      </c>
      <c r="O140" t="s">
        <v>62</v>
      </c>
      <c r="P140">
        <v>5</v>
      </c>
      <c r="Q140" t="str">
        <f>IFERROR(VLOOKUP(E140,Lookups!$A$5:$B$24,2,FALSE),"Other")</f>
        <v>Organic Search</v>
      </c>
      <c r="R140" t="str">
        <f>IFERROR(VLOOKUP(F140,Lookups!$D$5:$F$10,2,FALSE),"Unknown Product")</f>
        <v>Revenue Operations Suite</v>
      </c>
      <c r="S140" t="str">
        <f>IFERROR(VLOOKUP(F140,Lookups!$D$5:$F$10,3,FALSE),"Unknown")</f>
        <v>Revenue Ops</v>
      </c>
      <c r="T140" t="str">
        <f t="shared" si="22"/>
        <v>Mid-Market</v>
      </c>
      <c r="U140" t="str">
        <f t="shared" si="23"/>
        <v>Lost</v>
      </c>
      <c r="V140" s="3">
        <f t="shared" si="24"/>
        <v>0</v>
      </c>
      <c r="W140" s="3">
        <f t="shared" si="25"/>
        <v>0</v>
      </c>
      <c r="X140" s="5">
        <f t="shared" si="26"/>
        <v>60</v>
      </c>
      <c r="Y140" s="5">
        <f>IF(U140="Open",Lookups!$B$2-B140,X140)</f>
        <v>60</v>
      </c>
      <c r="Z140" t="str">
        <f t="shared" si="27"/>
        <v>OK</v>
      </c>
      <c r="AA140" t="str">
        <f t="shared" si="28"/>
        <v>2026-04</v>
      </c>
      <c r="AB140" t="str">
        <f t="shared" si="29"/>
        <v>2026-06</v>
      </c>
      <c r="AC140" t="str">
        <f t="shared" si="30"/>
        <v>Q2-2026</v>
      </c>
      <c r="AD140" s="5">
        <f t="shared" si="31"/>
        <v>57</v>
      </c>
      <c r="AE140" t="str">
        <f t="shared" si="32"/>
        <v>Lost</v>
      </c>
    </row>
    <row r="141" spans="1:31">
      <c r="A141" t="s">
        <v>243</v>
      </c>
      <c r="B141" s="1">
        <v>46006</v>
      </c>
      <c r="C141" t="s">
        <v>86</v>
      </c>
      <c r="D141" t="s">
        <v>87</v>
      </c>
      <c r="E141" t="s">
        <v>107</v>
      </c>
      <c r="F141" t="s">
        <v>59</v>
      </c>
      <c r="G141" t="s">
        <v>46</v>
      </c>
      <c r="H141" t="s">
        <v>53</v>
      </c>
      <c r="I141" t="s">
        <v>61</v>
      </c>
      <c r="J141" s="1">
        <v>46050</v>
      </c>
      <c r="K141" s="1">
        <v>46050</v>
      </c>
      <c r="L141" s="3">
        <v>22200</v>
      </c>
      <c r="M141" s="4">
        <v>0</v>
      </c>
      <c r="N141" s="4">
        <v>0</v>
      </c>
      <c r="O141" t="s">
        <v>79</v>
      </c>
      <c r="P141">
        <v>4</v>
      </c>
      <c r="Q141" t="str">
        <f>IFERROR(VLOOKUP(E141,Lookups!$A$5:$B$24,2,FALSE),"Other")</f>
        <v>Referral</v>
      </c>
      <c r="R141" t="str">
        <f>IFERROR(VLOOKUP(F141,Lookups!$D$5:$F$10,2,FALSE),"Unknown Product")</f>
        <v>NexaCRM Pro</v>
      </c>
      <c r="S141" t="str">
        <f>IFERROR(VLOOKUP(F141,Lookups!$D$5:$F$10,3,FALSE),"Unknown")</f>
        <v>CRM</v>
      </c>
      <c r="T141" t="str">
        <f t="shared" si="22"/>
        <v>Mid-Market</v>
      </c>
      <c r="U141" t="str">
        <f t="shared" si="23"/>
        <v>Lost</v>
      </c>
      <c r="V141" s="3">
        <f t="shared" si="24"/>
        <v>0</v>
      </c>
      <c r="W141" s="3">
        <f t="shared" si="25"/>
        <v>0</v>
      </c>
      <c r="X141" s="5">
        <f t="shared" si="26"/>
        <v>44</v>
      </c>
      <c r="Y141" s="5">
        <f>IF(U141="Open",Lookups!$B$2-B141,X141)</f>
        <v>44</v>
      </c>
      <c r="Z141" t="str">
        <f t="shared" si="27"/>
        <v>OK</v>
      </c>
      <c r="AA141" t="str">
        <f t="shared" si="28"/>
        <v>2025-12</v>
      </c>
      <c r="AB141" t="str">
        <f t="shared" si="29"/>
        <v>2026-01</v>
      </c>
      <c r="AC141" t="str">
        <f t="shared" si="30"/>
        <v>Q4-2025</v>
      </c>
      <c r="AD141" s="5">
        <f t="shared" si="31"/>
        <v>70</v>
      </c>
      <c r="AE141" t="str">
        <f t="shared" si="32"/>
        <v>Lost</v>
      </c>
    </row>
    <row r="142" spans="1:31">
      <c r="A142" t="s">
        <v>244</v>
      </c>
      <c r="B142" s="1">
        <v>46055</v>
      </c>
      <c r="C142" t="s">
        <v>69</v>
      </c>
      <c r="D142" t="s">
        <v>57</v>
      </c>
      <c r="E142" t="s">
        <v>65</v>
      </c>
      <c r="F142" t="s">
        <v>45</v>
      </c>
      <c r="G142" t="s">
        <v>99</v>
      </c>
      <c r="H142" t="s">
        <v>53</v>
      </c>
      <c r="I142" t="s">
        <v>48</v>
      </c>
      <c r="J142" s="1">
        <v>46157</v>
      </c>
      <c r="K142" s="1"/>
      <c r="L142" s="3">
        <v>36100</v>
      </c>
      <c r="M142" s="4">
        <v>0.03</v>
      </c>
      <c r="N142" s="4">
        <v>0.85</v>
      </c>
      <c r="P142">
        <v>5</v>
      </c>
      <c r="Q142" t="str">
        <f>IFERROR(VLOOKUP(E142,Lookups!$A$5:$B$24,2,FALSE),"Other")</f>
        <v>Paid Search</v>
      </c>
      <c r="R142" t="str">
        <f>IFERROR(VLOOKUP(F142,Lookups!$D$5:$F$10,2,FALSE),"Unknown Product")</f>
        <v>Service Cloud</v>
      </c>
      <c r="S142" t="str">
        <f>IFERROR(VLOOKUP(F142,Lookups!$D$5:$F$10,3,FALSE),"Unknown")</f>
        <v>Customer Service</v>
      </c>
      <c r="T142" t="str">
        <f t="shared" si="22"/>
        <v>Mid-Market</v>
      </c>
      <c r="U142" t="str">
        <f t="shared" si="23"/>
        <v>Open</v>
      </c>
      <c r="V142" s="3">
        <f t="shared" si="24"/>
        <v>0</v>
      </c>
      <c r="W142" s="3">
        <f t="shared" si="25"/>
        <v>30685</v>
      </c>
      <c r="X142" s="5" t="str">
        <f t="shared" si="26"/>
        <v/>
      </c>
      <c r="Y142" s="5">
        <f>IF(U142="Open",Lookups!$B$2-B142,X142)</f>
        <v>211</v>
      </c>
      <c r="Z142" t="str">
        <f t="shared" si="27"/>
        <v>STALE</v>
      </c>
      <c r="AA142" t="str">
        <f t="shared" si="28"/>
        <v>2026-02</v>
      </c>
      <c r="AB142" t="str">
        <f t="shared" si="29"/>
        <v/>
      </c>
      <c r="AC142" t="str">
        <f t="shared" si="30"/>
        <v>Q1-2026</v>
      </c>
      <c r="AD142" s="5">
        <f t="shared" si="31"/>
        <v>59</v>
      </c>
      <c r="AE142" t="str">
        <f t="shared" si="32"/>
        <v>Commit</v>
      </c>
    </row>
    <row r="143" spans="1:31">
      <c r="A143" t="s">
        <v>245</v>
      </c>
      <c r="B143" s="1">
        <v>45858</v>
      </c>
      <c r="C143" t="s">
        <v>42</v>
      </c>
      <c r="D143" t="s">
        <v>43</v>
      </c>
      <c r="E143" t="s">
        <v>166</v>
      </c>
      <c r="F143" t="s">
        <v>67</v>
      </c>
      <c r="G143" t="s">
        <v>72</v>
      </c>
      <c r="H143" t="s">
        <v>53</v>
      </c>
      <c r="I143" t="s">
        <v>77</v>
      </c>
      <c r="J143" s="1">
        <v>45945</v>
      </c>
      <c r="K143" s="1">
        <v>45945</v>
      </c>
      <c r="L143" s="3">
        <v>63900</v>
      </c>
      <c r="M143" s="4">
        <v>0.12</v>
      </c>
      <c r="N143" s="4">
        <v>1</v>
      </c>
      <c r="P143">
        <v>6</v>
      </c>
      <c r="Q143" t="str">
        <f>IFERROR(VLOOKUP(E143,Lookups!$A$5:$B$24,2,FALSE),"Other")</f>
        <v>Referral</v>
      </c>
      <c r="R143" t="str">
        <f>IFERROR(VLOOKUP(F143,Lookups!$D$5:$F$10,2,FALSE),"Unknown Product")</f>
        <v>Revenue Operations Suite</v>
      </c>
      <c r="S143" t="str">
        <f>IFERROR(VLOOKUP(F143,Lookups!$D$5:$F$10,3,FALSE),"Unknown")</f>
        <v>Revenue Ops</v>
      </c>
      <c r="T143" t="str">
        <f t="shared" si="22"/>
        <v>Enterprise</v>
      </c>
      <c r="U143" t="str">
        <f t="shared" si="23"/>
        <v>Won</v>
      </c>
      <c r="V143" s="3">
        <f t="shared" si="24"/>
        <v>56232</v>
      </c>
      <c r="W143" s="3">
        <f t="shared" si="25"/>
        <v>0</v>
      </c>
      <c r="X143" s="5">
        <f t="shared" si="26"/>
        <v>87</v>
      </c>
      <c r="Y143" s="5">
        <f>IF(U143="Open",Lookups!$B$2-B143,X143)</f>
        <v>87</v>
      </c>
      <c r="Z143" t="str">
        <f t="shared" si="27"/>
        <v>OK</v>
      </c>
      <c r="AA143" t="str">
        <f t="shared" si="28"/>
        <v>2025-07</v>
      </c>
      <c r="AB143" t="str">
        <f t="shared" si="29"/>
        <v>2025-10</v>
      </c>
      <c r="AC143" t="str">
        <f t="shared" si="30"/>
        <v>Q3-2025</v>
      </c>
      <c r="AD143" s="5">
        <f t="shared" si="31"/>
        <v>77</v>
      </c>
      <c r="AE143" t="str">
        <f t="shared" si="32"/>
        <v>Won</v>
      </c>
    </row>
    <row r="144" spans="1:31">
      <c r="A144" t="s">
        <v>246</v>
      </c>
      <c r="B144" s="1">
        <v>46185</v>
      </c>
      <c r="C144" t="s">
        <v>64</v>
      </c>
      <c r="D144" t="s">
        <v>57</v>
      </c>
      <c r="E144" t="s">
        <v>166</v>
      </c>
      <c r="F144" t="s">
        <v>52</v>
      </c>
      <c r="G144" t="s">
        <v>46</v>
      </c>
      <c r="H144" t="s">
        <v>47</v>
      </c>
      <c r="I144" t="s">
        <v>105</v>
      </c>
      <c r="J144" s="1">
        <v>46217</v>
      </c>
      <c r="K144" s="1"/>
      <c r="L144" s="3">
        <v>5700</v>
      </c>
      <c r="M144" s="4">
        <v>0.03</v>
      </c>
      <c r="N144" s="4">
        <v>0.4</v>
      </c>
      <c r="P144">
        <v>3</v>
      </c>
      <c r="Q144" t="str">
        <f>IFERROR(VLOOKUP(E144,Lookups!$A$5:$B$24,2,FALSE),"Other")</f>
        <v>Referral</v>
      </c>
      <c r="R144" t="str">
        <f>IFERROR(VLOOKUP(F144,Lookups!$D$5:$F$10,2,FALSE),"Unknown Product")</f>
        <v>NexaCRM Core</v>
      </c>
      <c r="S144" t="str">
        <f>IFERROR(VLOOKUP(F144,Lookups!$D$5:$F$10,3,FALSE),"Unknown")</f>
        <v>CRM</v>
      </c>
      <c r="T144" t="str">
        <f t="shared" si="22"/>
        <v>SMB</v>
      </c>
      <c r="U144" t="str">
        <f t="shared" si="23"/>
        <v>Open</v>
      </c>
      <c r="V144" s="3">
        <f t="shared" si="24"/>
        <v>0</v>
      </c>
      <c r="W144" s="3">
        <f t="shared" si="25"/>
        <v>2280</v>
      </c>
      <c r="X144" s="5" t="str">
        <f t="shared" si="26"/>
        <v/>
      </c>
      <c r="Y144" s="5">
        <f>IF(U144="Open",Lookups!$B$2-B144,X144)</f>
        <v>81</v>
      </c>
      <c r="Z144" t="str">
        <f t="shared" si="27"/>
        <v>STALE</v>
      </c>
      <c r="AA144" t="str">
        <f t="shared" si="28"/>
        <v>2026-06</v>
      </c>
      <c r="AB144" t="str">
        <f t="shared" si="29"/>
        <v/>
      </c>
      <c r="AC144" t="str">
        <f t="shared" si="30"/>
        <v>Q2-2026</v>
      </c>
      <c r="AD144" s="5">
        <f t="shared" si="31"/>
        <v>54</v>
      </c>
      <c r="AE144" t="str">
        <f t="shared" si="32"/>
        <v>Pipeline</v>
      </c>
    </row>
    <row r="145" spans="1:31">
      <c r="A145" t="s">
        <v>247</v>
      </c>
      <c r="B145" s="1">
        <v>45888</v>
      </c>
      <c r="C145" t="s">
        <v>86</v>
      </c>
      <c r="D145" t="s">
        <v>87</v>
      </c>
      <c r="E145" t="s">
        <v>88</v>
      </c>
      <c r="F145" t="s">
        <v>45</v>
      </c>
      <c r="G145" t="s">
        <v>60</v>
      </c>
      <c r="H145" t="s">
        <v>47</v>
      </c>
      <c r="I145" t="s">
        <v>61</v>
      </c>
      <c r="J145" s="1">
        <v>45957</v>
      </c>
      <c r="K145" s="1">
        <v>45957</v>
      </c>
      <c r="L145" s="3">
        <v>12500</v>
      </c>
      <c r="M145" s="4">
        <v>0</v>
      </c>
      <c r="N145" s="4">
        <v>0</v>
      </c>
      <c r="O145" t="s">
        <v>116</v>
      </c>
      <c r="P145">
        <v>5</v>
      </c>
      <c r="Q145" t="str">
        <f>IFERROR(VLOOKUP(E145,Lookups!$A$5:$B$24,2,FALSE),"Other")</f>
        <v>Other</v>
      </c>
      <c r="R145" t="str">
        <f>IFERROR(VLOOKUP(F145,Lookups!$D$5:$F$10,2,FALSE),"Unknown Product")</f>
        <v>Service Cloud</v>
      </c>
      <c r="S145" t="str">
        <f>IFERROR(VLOOKUP(F145,Lookups!$D$5:$F$10,3,FALSE),"Unknown")</f>
        <v>Customer Service</v>
      </c>
      <c r="T145" t="str">
        <f t="shared" si="22"/>
        <v>SMB</v>
      </c>
      <c r="U145" t="str">
        <f t="shared" si="23"/>
        <v>Lost</v>
      </c>
      <c r="V145" s="3">
        <f t="shared" si="24"/>
        <v>0</v>
      </c>
      <c r="W145" s="3">
        <f t="shared" si="25"/>
        <v>0</v>
      </c>
      <c r="X145" s="5">
        <f t="shared" si="26"/>
        <v>69</v>
      </c>
      <c r="Y145" s="5">
        <f>IF(U145="Open",Lookups!$B$2-B145,X145)</f>
        <v>69</v>
      </c>
      <c r="Z145" t="str">
        <f t="shared" si="27"/>
        <v>OK</v>
      </c>
      <c r="AA145" t="str">
        <f t="shared" si="28"/>
        <v>2025-08</v>
      </c>
      <c r="AB145" t="str">
        <f t="shared" si="29"/>
        <v>2025-10</v>
      </c>
      <c r="AC145" t="str">
        <f t="shared" si="30"/>
        <v>Q3-2025</v>
      </c>
      <c r="AD145" s="5">
        <f t="shared" si="31"/>
        <v>43</v>
      </c>
      <c r="AE145" t="str">
        <f t="shared" si="32"/>
        <v>Lost</v>
      </c>
    </row>
    <row r="146" spans="1:31">
      <c r="A146" t="s">
        <v>248</v>
      </c>
      <c r="B146" s="1">
        <v>46010</v>
      </c>
      <c r="C146" t="s">
        <v>42</v>
      </c>
      <c r="D146" t="s">
        <v>43</v>
      </c>
      <c r="E146" t="s">
        <v>83</v>
      </c>
      <c r="F146" t="s">
        <v>59</v>
      </c>
      <c r="G146" t="s">
        <v>46</v>
      </c>
      <c r="H146" t="s">
        <v>47</v>
      </c>
      <c r="I146" t="s">
        <v>61</v>
      </c>
      <c r="J146" s="1">
        <v>46049</v>
      </c>
      <c r="K146" s="1">
        <v>46049</v>
      </c>
      <c r="L146" s="3">
        <v>21800</v>
      </c>
      <c r="M146" s="4">
        <v>0</v>
      </c>
      <c r="N146" s="4">
        <v>0</v>
      </c>
      <c r="O146" t="s">
        <v>79</v>
      </c>
      <c r="P146">
        <v>3</v>
      </c>
      <c r="Q146" t="str">
        <f>IFERROR(VLOOKUP(E146,Lookups!$A$5:$B$24,2,FALSE),"Other")</f>
        <v>Organic Search</v>
      </c>
      <c r="R146" t="str">
        <f>IFERROR(VLOOKUP(F146,Lookups!$D$5:$F$10,2,FALSE),"Unknown Product")</f>
        <v>NexaCRM Pro</v>
      </c>
      <c r="S146" t="str">
        <f>IFERROR(VLOOKUP(F146,Lookups!$D$5:$F$10,3,FALSE),"Unknown")</f>
        <v>CRM</v>
      </c>
      <c r="T146" t="str">
        <f t="shared" si="22"/>
        <v>Mid-Market</v>
      </c>
      <c r="U146" t="str">
        <f t="shared" si="23"/>
        <v>Lost</v>
      </c>
      <c r="V146" s="3">
        <f t="shared" si="24"/>
        <v>0</v>
      </c>
      <c r="W146" s="3">
        <f t="shared" si="25"/>
        <v>0</v>
      </c>
      <c r="X146" s="5">
        <f t="shared" si="26"/>
        <v>39</v>
      </c>
      <c r="Y146" s="5">
        <f>IF(U146="Open",Lookups!$B$2-B146,X146)</f>
        <v>39</v>
      </c>
      <c r="Z146" t="str">
        <f t="shared" si="27"/>
        <v>OK</v>
      </c>
      <c r="AA146" t="str">
        <f t="shared" si="28"/>
        <v>2025-12</v>
      </c>
      <c r="AB146" t="str">
        <f t="shared" si="29"/>
        <v>2026-01</v>
      </c>
      <c r="AC146" t="str">
        <f t="shared" si="30"/>
        <v>Q4-2025</v>
      </c>
      <c r="AD146" s="5">
        <f t="shared" si="31"/>
        <v>57</v>
      </c>
      <c r="AE146" t="str">
        <f t="shared" si="32"/>
        <v>Lost</v>
      </c>
    </row>
    <row r="147" spans="1:31">
      <c r="A147" t="s">
        <v>249</v>
      </c>
      <c r="B147" s="1">
        <v>46190</v>
      </c>
      <c r="C147" t="s">
        <v>69</v>
      </c>
      <c r="D147" t="s">
        <v>57</v>
      </c>
      <c r="E147" t="s">
        <v>115</v>
      </c>
      <c r="F147" t="s">
        <v>52</v>
      </c>
      <c r="G147" t="s">
        <v>46</v>
      </c>
      <c r="H147" t="s">
        <v>47</v>
      </c>
      <c r="I147" t="s">
        <v>105</v>
      </c>
      <c r="J147" s="1">
        <v>46242</v>
      </c>
      <c r="K147" s="1"/>
      <c r="L147" s="3">
        <v>9300</v>
      </c>
      <c r="M147" s="4">
        <v>0.05</v>
      </c>
      <c r="N147" s="4">
        <v>0.4</v>
      </c>
      <c r="P147">
        <v>3</v>
      </c>
      <c r="Q147" t="str">
        <f>IFERROR(VLOOKUP(E147,Lookups!$A$5:$B$24,2,FALSE),"Other")</f>
        <v>Outbound</v>
      </c>
      <c r="R147" t="str">
        <f>IFERROR(VLOOKUP(F147,Lookups!$D$5:$F$10,2,FALSE),"Unknown Product")</f>
        <v>NexaCRM Core</v>
      </c>
      <c r="S147" t="str">
        <f>IFERROR(VLOOKUP(F147,Lookups!$D$5:$F$10,3,FALSE),"Unknown")</f>
        <v>CRM</v>
      </c>
      <c r="T147" t="str">
        <f t="shared" si="22"/>
        <v>SMB</v>
      </c>
      <c r="U147" t="str">
        <f t="shared" si="23"/>
        <v>Open</v>
      </c>
      <c r="V147" s="3">
        <f t="shared" si="24"/>
        <v>0</v>
      </c>
      <c r="W147" s="3">
        <f t="shared" si="25"/>
        <v>3720</v>
      </c>
      <c r="X147" s="5" t="str">
        <f t="shared" si="26"/>
        <v/>
      </c>
      <c r="Y147" s="5">
        <f>IF(U147="Open",Lookups!$B$2-B147,X147)</f>
        <v>76</v>
      </c>
      <c r="Z147" t="str">
        <f t="shared" si="27"/>
        <v>STALE</v>
      </c>
      <c r="AA147" t="str">
        <f t="shared" si="28"/>
        <v>2026-06</v>
      </c>
      <c r="AB147" t="str">
        <f t="shared" si="29"/>
        <v/>
      </c>
      <c r="AC147" t="str">
        <f t="shared" si="30"/>
        <v>Q2-2026</v>
      </c>
      <c r="AD147" s="5">
        <f t="shared" si="31"/>
        <v>43</v>
      </c>
      <c r="AE147" t="str">
        <f t="shared" si="32"/>
        <v>Pipeline</v>
      </c>
    </row>
    <row r="148" spans="1:31">
      <c r="A148" t="s">
        <v>250</v>
      </c>
      <c r="B148" s="1">
        <v>46206</v>
      </c>
      <c r="C148" t="s">
        <v>50</v>
      </c>
      <c r="D148" t="s">
        <v>43</v>
      </c>
      <c r="E148" t="s">
        <v>109</v>
      </c>
      <c r="F148" t="s">
        <v>67</v>
      </c>
      <c r="G148" t="s">
        <v>99</v>
      </c>
      <c r="H148" t="s">
        <v>47</v>
      </c>
      <c r="I148" t="s">
        <v>73</v>
      </c>
      <c r="J148" s="1">
        <v>46238</v>
      </c>
      <c r="K148" s="1"/>
      <c r="L148" s="3">
        <v>27200</v>
      </c>
      <c r="M148" s="4">
        <v>0</v>
      </c>
      <c r="N148" s="4">
        <v>0.2</v>
      </c>
      <c r="P148">
        <v>2</v>
      </c>
      <c r="Q148" t="str">
        <f>IFERROR(VLOOKUP(E148,Lookups!$A$5:$B$24,2,FALSE),"Other")</f>
        <v>Outbound</v>
      </c>
      <c r="R148" t="str">
        <f>IFERROR(VLOOKUP(F148,Lookups!$D$5:$F$10,2,FALSE),"Unknown Product")</f>
        <v>Revenue Operations Suite</v>
      </c>
      <c r="S148" t="str">
        <f>IFERROR(VLOOKUP(F148,Lookups!$D$5:$F$10,3,FALSE),"Unknown")</f>
        <v>Revenue Ops</v>
      </c>
      <c r="T148" t="str">
        <f t="shared" si="22"/>
        <v>Mid-Market</v>
      </c>
      <c r="U148" t="str">
        <f t="shared" si="23"/>
        <v>Open</v>
      </c>
      <c r="V148" s="3">
        <f t="shared" si="24"/>
        <v>0</v>
      </c>
      <c r="W148" s="3">
        <f t="shared" si="25"/>
        <v>5440</v>
      </c>
      <c r="X148" s="5" t="str">
        <f t="shared" si="26"/>
        <v/>
      </c>
      <c r="Y148" s="5">
        <f>IF(U148="Open",Lookups!$B$2-B148,X148)</f>
        <v>60</v>
      </c>
      <c r="Z148" t="str">
        <f t="shared" si="27"/>
        <v>STALE</v>
      </c>
      <c r="AA148" t="str">
        <f t="shared" si="28"/>
        <v>2026-07</v>
      </c>
      <c r="AB148" t="str">
        <f t="shared" si="29"/>
        <v/>
      </c>
      <c r="AC148" t="str">
        <f t="shared" si="30"/>
        <v>Q3-2026</v>
      </c>
      <c r="AD148" s="5">
        <f t="shared" si="31"/>
        <v>51</v>
      </c>
      <c r="AE148" t="str">
        <f t="shared" si="32"/>
        <v>Pipeline</v>
      </c>
    </row>
    <row r="149" spans="1:31">
      <c r="A149" t="s">
        <v>251</v>
      </c>
      <c r="B149" s="1">
        <v>45785</v>
      </c>
      <c r="C149" t="s">
        <v>50</v>
      </c>
      <c r="D149" t="s">
        <v>43</v>
      </c>
      <c r="E149" t="s">
        <v>65</v>
      </c>
      <c r="F149" t="s">
        <v>52</v>
      </c>
      <c r="G149" t="s">
        <v>72</v>
      </c>
      <c r="H149" t="s">
        <v>84</v>
      </c>
      <c r="I149" t="s">
        <v>61</v>
      </c>
      <c r="J149" s="1">
        <v>45812</v>
      </c>
      <c r="K149" s="1">
        <v>45812</v>
      </c>
      <c r="L149" s="3">
        <v>22500</v>
      </c>
      <c r="M149" s="4">
        <v>0</v>
      </c>
      <c r="N149" s="4">
        <v>0</v>
      </c>
      <c r="O149" t="s">
        <v>62</v>
      </c>
      <c r="P149">
        <v>3</v>
      </c>
      <c r="Q149" t="str">
        <f>IFERROR(VLOOKUP(E149,Lookups!$A$5:$B$24,2,FALSE),"Other")</f>
        <v>Paid Search</v>
      </c>
      <c r="R149" t="str">
        <f>IFERROR(VLOOKUP(F149,Lookups!$D$5:$F$10,2,FALSE),"Unknown Product")</f>
        <v>NexaCRM Core</v>
      </c>
      <c r="S149" t="str">
        <f>IFERROR(VLOOKUP(F149,Lookups!$D$5:$F$10,3,FALSE),"Unknown")</f>
        <v>CRM</v>
      </c>
      <c r="T149" t="str">
        <f t="shared" si="22"/>
        <v>Mid-Market</v>
      </c>
      <c r="U149" t="str">
        <f t="shared" si="23"/>
        <v>Lost</v>
      </c>
      <c r="V149" s="3">
        <f t="shared" si="24"/>
        <v>0</v>
      </c>
      <c r="W149" s="3">
        <f t="shared" si="25"/>
        <v>0</v>
      </c>
      <c r="X149" s="5">
        <f t="shared" si="26"/>
        <v>27</v>
      </c>
      <c r="Y149" s="5">
        <f>IF(U149="Open",Lookups!$B$2-B149,X149)</f>
        <v>27</v>
      </c>
      <c r="Z149" t="str">
        <f t="shared" si="27"/>
        <v>OK</v>
      </c>
      <c r="AA149" t="str">
        <f t="shared" si="28"/>
        <v>2025-05</v>
      </c>
      <c r="AB149" t="str">
        <f t="shared" si="29"/>
        <v>2025-06</v>
      </c>
      <c r="AC149" t="str">
        <f t="shared" si="30"/>
        <v>Q2-2025</v>
      </c>
      <c r="AD149" s="5">
        <f t="shared" si="31"/>
        <v>67</v>
      </c>
      <c r="AE149" t="str">
        <f t="shared" si="32"/>
        <v>Lost</v>
      </c>
    </row>
    <row r="150" spans="1:31">
      <c r="A150" t="s">
        <v>252</v>
      </c>
      <c r="B150" s="1">
        <v>46028</v>
      </c>
      <c r="C150" t="s">
        <v>50</v>
      </c>
      <c r="D150" t="s">
        <v>43</v>
      </c>
      <c r="E150" t="s">
        <v>107</v>
      </c>
      <c r="F150" t="s">
        <v>52</v>
      </c>
      <c r="G150" t="s">
        <v>60</v>
      </c>
      <c r="H150" t="s">
        <v>84</v>
      </c>
      <c r="I150" t="s">
        <v>61</v>
      </c>
      <c r="J150" s="1">
        <v>46060</v>
      </c>
      <c r="K150" s="1">
        <v>46060</v>
      </c>
      <c r="L150" s="3">
        <v>20800</v>
      </c>
      <c r="M150" s="4">
        <v>0</v>
      </c>
      <c r="N150" s="4">
        <v>0</v>
      </c>
      <c r="O150" t="s">
        <v>79</v>
      </c>
      <c r="P150">
        <v>4</v>
      </c>
      <c r="Q150" t="str">
        <f>IFERROR(VLOOKUP(E150,Lookups!$A$5:$B$24,2,FALSE),"Other")</f>
        <v>Referral</v>
      </c>
      <c r="R150" t="str">
        <f>IFERROR(VLOOKUP(F150,Lookups!$D$5:$F$10,2,FALSE),"Unknown Product")</f>
        <v>NexaCRM Core</v>
      </c>
      <c r="S150" t="str">
        <f>IFERROR(VLOOKUP(F150,Lookups!$D$5:$F$10,3,FALSE),"Unknown")</f>
        <v>CRM</v>
      </c>
      <c r="T150" t="str">
        <f t="shared" si="22"/>
        <v>Mid-Market</v>
      </c>
      <c r="U150" t="str">
        <f t="shared" si="23"/>
        <v>Lost</v>
      </c>
      <c r="V150" s="3">
        <f t="shared" si="24"/>
        <v>0</v>
      </c>
      <c r="W150" s="3">
        <f t="shared" si="25"/>
        <v>0</v>
      </c>
      <c r="X150" s="5">
        <f t="shared" si="26"/>
        <v>32</v>
      </c>
      <c r="Y150" s="5">
        <f>IF(U150="Open",Lookups!$B$2-B150,X150)</f>
        <v>32</v>
      </c>
      <c r="Z150" t="str">
        <f t="shared" si="27"/>
        <v>OK</v>
      </c>
      <c r="AA150" t="str">
        <f t="shared" si="28"/>
        <v>2026-01</v>
      </c>
      <c r="AB150" t="str">
        <f t="shared" si="29"/>
        <v>2026-02</v>
      </c>
      <c r="AC150" t="str">
        <f t="shared" si="30"/>
        <v>Q1-2026</v>
      </c>
      <c r="AD150" s="5">
        <f t="shared" si="31"/>
        <v>78</v>
      </c>
      <c r="AE150" t="str">
        <f t="shared" si="32"/>
        <v>Lost</v>
      </c>
    </row>
    <row r="151" spans="1:31">
      <c r="A151" t="s">
        <v>253</v>
      </c>
      <c r="B151" s="1">
        <v>46201</v>
      </c>
      <c r="C151" t="s">
        <v>64</v>
      </c>
      <c r="D151" t="s">
        <v>57</v>
      </c>
      <c r="E151" t="s">
        <v>107</v>
      </c>
      <c r="F151" t="s">
        <v>45</v>
      </c>
      <c r="G151" t="s">
        <v>72</v>
      </c>
      <c r="H151" t="s">
        <v>53</v>
      </c>
      <c r="I151" t="s">
        <v>73</v>
      </c>
      <c r="J151" s="1">
        <v>46237</v>
      </c>
      <c r="K151" s="1"/>
      <c r="L151" s="3">
        <v>45000</v>
      </c>
      <c r="M151" s="4">
        <v>0.05</v>
      </c>
      <c r="N151" s="4">
        <v>0.2</v>
      </c>
      <c r="P151">
        <v>2</v>
      </c>
      <c r="Q151" t="str">
        <f>IFERROR(VLOOKUP(E151,Lookups!$A$5:$B$24,2,FALSE),"Other")</f>
        <v>Referral</v>
      </c>
      <c r="R151" t="str">
        <f>IFERROR(VLOOKUP(F151,Lookups!$D$5:$F$10,2,FALSE),"Unknown Product")</f>
        <v>Service Cloud</v>
      </c>
      <c r="S151" t="str">
        <f>IFERROR(VLOOKUP(F151,Lookups!$D$5:$F$10,3,FALSE),"Unknown")</f>
        <v>Customer Service</v>
      </c>
      <c r="T151" t="str">
        <f t="shared" si="22"/>
        <v>Mid-Market</v>
      </c>
      <c r="U151" t="str">
        <f t="shared" si="23"/>
        <v>Open</v>
      </c>
      <c r="V151" s="3">
        <f t="shared" si="24"/>
        <v>0</v>
      </c>
      <c r="W151" s="3">
        <f t="shared" si="25"/>
        <v>9000</v>
      </c>
      <c r="X151" s="5" t="str">
        <f t="shared" si="26"/>
        <v/>
      </c>
      <c r="Y151" s="5">
        <f>IF(U151="Open",Lookups!$B$2-B151,X151)</f>
        <v>65</v>
      </c>
      <c r="Z151" t="str">
        <f t="shared" si="27"/>
        <v>STALE</v>
      </c>
      <c r="AA151" t="str">
        <f t="shared" si="28"/>
        <v>2026-06</v>
      </c>
      <c r="AB151" t="str">
        <f t="shared" si="29"/>
        <v/>
      </c>
      <c r="AC151" t="str">
        <f t="shared" si="30"/>
        <v>Q2-2026</v>
      </c>
      <c r="AD151" s="5">
        <f t="shared" si="31"/>
        <v>70</v>
      </c>
      <c r="AE151" t="str">
        <f t="shared" si="32"/>
        <v>Pipeline</v>
      </c>
    </row>
    <row r="152" spans="1:31">
      <c r="A152" t="s">
        <v>254</v>
      </c>
      <c r="B152" s="1">
        <v>45747</v>
      </c>
      <c r="C152" t="s">
        <v>86</v>
      </c>
      <c r="D152" t="s">
        <v>87</v>
      </c>
      <c r="E152" t="s">
        <v>123</v>
      </c>
      <c r="F152" t="s">
        <v>52</v>
      </c>
      <c r="G152" t="s">
        <v>76</v>
      </c>
      <c r="H152" t="s">
        <v>47</v>
      </c>
      <c r="I152" t="s">
        <v>77</v>
      </c>
      <c r="J152" s="1">
        <v>45778</v>
      </c>
      <c r="K152" s="1">
        <v>45778</v>
      </c>
      <c r="L152" s="3">
        <v>8400</v>
      </c>
      <c r="M152" s="4">
        <v>0.1</v>
      </c>
      <c r="N152" s="4">
        <v>1</v>
      </c>
      <c r="P152">
        <v>6</v>
      </c>
      <c r="Q152" t="str">
        <f>IFERROR(VLOOKUP(E152,Lookups!$A$5:$B$24,2,FALSE),"Other")</f>
        <v>Email</v>
      </c>
      <c r="R152" t="str">
        <f>IFERROR(VLOOKUP(F152,Lookups!$D$5:$F$10,2,FALSE),"Unknown Product")</f>
        <v>NexaCRM Core</v>
      </c>
      <c r="S152" t="str">
        <f>IFERROR(VLOOKUP(F152,Lookups!$D$5:$F$10,3,FALSE),"Unknown")</f>
        <v>CRM</v>
      </c>
      <c r="T152" t="str">
        <f t="shared" si="22"/>
        <v>SMB</v>
      </c>
      <c r="U152" t="str">
        <f t="shared" si="23"/>
        <v>Won</v>
      </c>
      <c r="V152" s="3">
        <f t="shared" si="24"/>
        <v>7560</v>
      </c>
      <c r="W152" s="3">
        <f t="shared" si="25"/>
        <v>0</v>
      </c>
      <c r="X152" s="5">
        <f t="shared" si="26"/>
        <v>31</v>
      </c>
      <c r="Y152" s="5">
        <f>IF(U152="Open",Lookups!$B$2-B152,X152)</f>
        <v>31</v>
      </c>
      <c r="Z152" t="str">
        <f t="shared" si="27"/>
        <v>OK</v>
      </c>
      <c r="AA152" t="str">
        <f t="shared" si="28"/>
        <v>2025-03</v>
      </c>
      <c r="AB152" t="str">
        <f t="shared" si="29"/>
        <v>2025-05</v>
      </c>
      <c r="AC152" t="str">
        <f t="shared" si="30"/>
        <v>Q1-2025</v>
      </c>
      <c r="AD152" s="5">
        <f t="shared" si="31"/>
        <v>47</v>
      </c>
      <c r="AE152" t="str">
        <f t="shared" si="32"/>
        <v>Won</v>
      </c>
    </row>
    <row r="153" spans="1:31">
      <c r="A153" t="s">
        <v>255</v>
      </c>
      <c r="B153" s="1">
        <v>45835</v>
      </c>
      <c r="C153" t="s">
        <v>42</v>
      </c>
      <c r="D153" t="s">
        <v>43</v>
      </c>
      <c r="E153" t="s">
        <v>107</v>
      </c>
      <c r="F153" t="s">
        <v>59</v>
      </c>
      <c r="G153" t="s">
        <v>76</v>
      </c>
      <c r="H153" t="s">
        <v>47</v>
      </c>
      <c r="I153" t="s">
        <v>61</v>
      </c>
      <c r="J153" s="1">
        <v>45893</v>
      </c>
      <c r="K153" s="1">
        <v>45893</v>
      </c>
      <c r="L153" s="3">
        <v>13900</v>
      </c>
      <c r="M153" s="4">
        <v>0</v>
      </c>
      <c r="N153" s="4">
        <v>0</v>
      </c>
      <c r="O153" t="s">
        <v>81</v>
      </c>
      <c r="P153">
        <v>5</v>
      </c>
      <c r="Q153" t="str">
        <f>IFERROR(VLOOKUP(E153,Lookups!$A$5:$B$24,2,FALSE),"Other")</f>
        <v>Referral</v>
      </c>
      <c r="R153" t="str">
        <f>IFERROR(VLOOKUP(F153,Lookups!$D$5:$F$10,2,FALSE),"Unknown Product")</f>
        <v>NexaCRM Pro</v>
      </c>
      <c r="S153" t="str">
        <f>IFERROR(VLOOKUP(F153,Lookups!$D$5:$F$10,3,FALSE),"Unknown")</f>
        <v>CRM</v>
      </c>
      <c r="T153" t="str">
        <f t="shared" si="22"/>
        <v>SMB</v>
      </c>
      <c r="U153" t="str">
        <f t="shared" si="23"/>
        <v>Lost</v>
      </c>
      <c r="V153" s="3">
        <f t="shared" si="24"/>
        <v>0</v>
      </c>
      <c r="W153" s="3">
        <f t="shared" si="25"/>
        <v>0</v>
      </c>
      <c r="X153" s="5">
        <f t="shared" si="26"/>
        <v>58</v>
      </c>
      <c r="Y153" s="5">
        <f>IF(U153="Open",Lookups!$B$2-B153,X153)</f>
        <v>58</v>
      </c>
      <c r="Z153" t="str">
        <f t="shared" si="27"/>
        <v>OK</v>
      </c>
      <c r="AA153" t="str">
        <f t="shared" si="28"/>
        <v>2025-06</v>
      </c>
      <c r="AB153" t="str">
        <f t="shared" si="29"/>
        <v>2025-08</v>
      </c>
      <c r="AC153" t="str">
        <f t="shared" si="30"/>
        <v>Q2-2025</v>
      </c>
      <c r="AD153" s="5">
        <f t="shared" si="31"/>
        <v>54</v>
      </c>
      <c r="AE153" t="str">
        <f t="shared" si="32"/>
        <v>Lost</v>
      </c>
    </row>
    <row r="154" spans="1:31">
      <c r="A154" t="s">
        <v>256</v>
      </c>
      <c r="B154" s="1">
        <v>46250</v>
      </c>
      <c r="C154" t="s">
        <v>86</v>
      </c>
      <c r="D154" t="s">
        <v>87</v>
      </c>
      <c r="E154" t="s">
        <v>107</v>
      </c>
      <c r="F154" t="s">
        <v>45</v>
      </c>
      <c r="G154" t="s">
        <v>46</v>
      </c>
      <c r="H154" t="s">
        <v>47</v>
      </c>
      <c r="I154" t="s">
        <v>73</v>
      </c>
      <c r="J154" s="1">
        <v>46259</v>
      </c>
      <c r="K154" s="1"/>
      <c r="L154" s="3">
        <v>16500</v>
      </c>
      <c r="M154" s="4">
        <v>0</v>
      </c>
      <c r="N154" s="4">
        <v>0.2</v>
      </c>
      <c r="P154">
        <v>2</v>
      </c>
      <c r="Q154" t="str">
        <f>IFERROR(VLOOKUP(E154,Lookups!$A$5:$B$24,2,FALSE),"Other")</f>
        <v>Referral</v>
      </c>
      <c r="R154" t="str">
        <f>IFERROR(VLOOKUP(F154,Lookups!$D$5:$F$10,2,FALSE),"Unknown Product")</f>
        <v>Service Cloud</v>
      </c>
      <c r="S154" t="str">
        <f>IFERROR(VLOOKUP(F154,Lookups!$D$5:$F$10,3,FALSE),"Unknown")</f>
        <v>Customer Service</v>
      </c>
      <c r="T154" t="str">
        <f t="shared" si="22"/>
        <v>SMB</v>
      </c>
      <c r="U154" t="str">
        <f t="shared" si="23"/>
        <v>Open</v>
      </c>
      <c r="V154" s="3">
        <f t="shared" si="24"/>
        <v>0</v>
      </c>
      <c r="W154" s="3">
        <f t="shared" si="25"/>
        <v>3300</v>
      </c>
      <c r="X154" s="5" t="str">
        <f t="shared" si="26"/>
        <v/>
      </c>
      <c r="Y154" s="5">
        <f>IF(U154="Open",Lookups!$B$2-B154,X154)</f>
        <v>16</v>
      </c>
      <c r="Z154" t="str">
        <f t="shared" si="27"/>
        <v>OK</v>
      </c>
      <c r="AA154" t="str">
        <f t="shared" si="28"/>
        <v>2026-08</v>
      </c>
      <c r="AB154" t="str">
        <f t="shared" si="29"/>
        <v/>
      </c>
      <c r="AC154" t="str">
        <f t="shared" si="30"/>
        <v>Q3-2026</v>
      </c>
      <c r="AD154" s="5">
        <f t="shared" si="31"/>
        <v>54</v>
      </c>
      <c r="AE154" t="str">
        <f t="shared" si="32"/>
        <v>Pipeline</v>
      </c>
    </row>
    <row r="155" spans="1:31">
      <c r="A155" t="s">
        <v>257</v>
      </c>
      <c r="B155" s="1">
        <v>45755</v>
      </c>
      <c r="C155" t="s">
        <v>42</v>
      </c>
      <c r="D155" t="s">
        <v>43</v>
      </c>
      <c r="E155" t="s">
        <v>146</v>
      </c>
      <c r="F155" t="s">
        <v>59</v>
      </c>
      <c r="G155" t="s">
        <v>46</v>
      </c>
      <c r="H155" t="s">
        <v>53</v>
      </c>
      <c r="I155" t="s">
        <v>61</v>
      </c>
      <c r="J155" s="1">
        <v>45817</v>
      </c>
      <c r="K155" s="1">
        <v>45817</v>
      </c>
      <c r="L155" s="3">
        <v>44800</v>
      </c>
      <c r="M155" s="4">
        <v>0</v>
      </c>
      <c r="N155" s="4">
        <v>0</v>
      </c>
      <c r="O155" t="s">
        <v>62</v>
      </c>
      <c r="P155">
        <v>4</v>
      </c>
      <c r="Q155" t="str">
        <f>IFERROR(VLOOKUP(E155,Lookups!$A$5:$B$24,2,FALSE),"Other")</f>
        <v>LinkedIn</v>
      </c>
      <c r="R155" t="str">
        <f>IFERROR(VLOOKUP(F155,Lookups!$D$5:$F$10,2,FALSE),"Unknown Product")</f>
        <v>NexaCRM Pro</v>
      </c>
      <c r="S155" t="str">
        <f>IFERROR(VLOOKUP(F155,Lookups!$D$5:$F$10,3,FALSE),"Unknown")</f>
        <v>CRM</v>
      </c>
      <c r="T155" t="str">
        <f t="shared" si="22"/>
        <v>Mid-Market</v>
      </c>
      <c r="U155" t="str">
        <f t="shared" si="23"/>
        <v>Lost</v>
      </c>
      <c r="V155" s="3">
        <f t="shared" si="24"/>
        <v>0</v>
      </c>
      <c r="W155" s="3">
        <f t="shared" si="25"/>
        <v>0</v>
      </c>
      <c r="X155" s="5">
        <f t="shared" si="26"/>
        <v>62</v>
      </c>
      <c r="Y155" s="5">
        <f>IF(U155="Open",Lookups!$B$2-B155,X155)</f>
        <v>62</v>
      </c>
      <c r="Z155" t="str">
        <f t="shared" si="27"/>
        <v>OK</v>
      </c>
      <c r="AA155" t="str">
        <f t="shared" si="28"/>
        <v>2025-04</v>
      </c>
      <c r="AB155" t="str">
        <f t="shared" si="29"/>
        <v>2025-06</v>
      </c>
      <c r="AC155" t="str">
        <f t="shared" si="30"/>
        <v>Q2-2025</v>
      </c>
      <c r="AD155" s="5">
        <f t="shared" si="31"/>
        <v>59</v>
      </c>
      <c r="AE155" t="str">
        <f t="shared" si="32"/>
        <v>Lost</v>
      </c>
    </row>
    <row r="156" spans="1:31">
      <c r="A156" t="s">
        <v>258</v>
      </c>
      <c r="B156" s="1">
        <v>46027</v>
      </c>
      <c r="C156" t="s">
        <v>86</v>
      </c>
      <c r="D156" t="s">
        <v>87</v>
      </c>
      <c r="E156" t="s">
        <v>119</v>
      </c>
      <c r="F156" t="s">
        <v>59</v>
      </c>
      <c r="G156" t="s">
        <v>76</v>
      </c>
      <c r="H156" t="s">
        <v>47</v>
      </c>
      <c r="I156" t="s">
        <v>61</v>
      </c>
      <c r="J156" s="1">
        <v>46080</v>
      </c>
      <c r="K156" s="1">
        <v>46080</v>
      </c>
      <c r="L156" s="3">
        <v>16400</v>
      </c>
      <c r="M156" s="4">
        <v>0</v>
      </c>
      <c r="N156" s="4">
        <v>0</v>
      </c>
      <c r="O156" t="s">
        <v>116</v>
      </c>
      <c r="P156">
        <v>2</v>
      </c>
      <c r="Q156" t="str">
        <f>IFERROR(VLOOKUP(E156,Lookups!$A$5:$B$24,2,FALSE),"Other")</f>
        <v>Referral</v>
      </c>
      <c r="R156" t="str">
        <f>IFERROR(VLOOKUP(F156,Lookups!$D$5:$F$10,2,FALSE),"Unknown Product")</f>
        <v>NexaCRM Pro</v>
      </c>
      <c r="S156" t="str">
        <f>IFERROR(VLOOKUP(F156,Lookups!$D$5:$F$10,3,FALSE),"Unknown")</f>
        <v>CRM</v>
      </c>
      <c r="T156" t="str">
        <f t="shared" si="22"/>
        <v>SMB</v>
      </c>
      <c r="U156" t="str">
        <f t="shared" si="23"/>
        <v>Lost</v>
      </c>
      <c r="V156" s="3">
        <f t="shared" si="24"/>
        <v>0</v>
      </c>
      <c r="W156" s="3">
        <f t="shared" si="25"/>
        <v>0</v>
      </c>
      <c r="X156" s="5">
        <f t="shared" si="26"/>
        <v>53</v>
      </c>
      <c r="Y156" s="5">
        <f>IF(U156="Open",Lookups!$B$2-B156,X156)</f>
        <v>53</v>
      </c>
      <c r="Z156" t="str">
        <f t="shared" si="27"/>
        <v>OK</v>
      </c>
      <c r="AA156" t="str">
        <f t="shared" si="28"/>
        <v>2026-01</v>
      </c>
      <c r="AB156" t="str">
        <f t="shared" si="29"/>
        <v>2026-02</v>
      </c>
      <c r="AC156" t="str">
        <f t="shared" si="30"/>
        <v>Q1-2026</v>
      </c>
      <c r="AD156" s="5">
        <f t="shared" si="31"/>
        <v>54</v>
      </c>
      <c r="AE156" t="str">
        <f t="shared" si="32"/>
        <v>Lost</v>
      </c>
    </row>
    <row r="157" spans="1:31">
      <c r="A157" t="s">
        <v>259</v>
      </c>
      <c r="B157" s="1">
        <v>45730</v>
      </c>
      <c r="C157" t="s">
        <v>50</v>
      </c>
      <c r="D157" t="s">
        <v>43</v>
      </c>
      <c r="E157" t="s">
        <v>44</v>
      </c>
      <c r="F157" t="s">
        <v>52</v>
      </c>
      <c r="G157" t="s">
        <v>94</v>
      </c>
      <c r="H157" t="s">
        <v>53</v>
      </c>
      <c r="I157" t="s">
        <v>77</v>
      </c>
      <c r="J157" s="1">
        <v>45749</v>
      </c>
      <c r="K157" s="1">
        <v>45749</v>
      </c>
      <c r="L157" s="3">
        <v>16400</v>
      </c>
      <c r="M157" s="4">
        <v>0.1</v>
      </c>
      <c r="N157" s="4">
        <v>1</v>
      </c>
      <c r="P157">
        <v>6</v>
      </c>
      <c r="Q157" t="str">
        <f>IFERROR(VLOOKUP(E157,Lookups!$A$5:$B$24,2,FALSE),"Other")</f>
        <v>Organic Search</v>
      </c>
      <c r="R157" t="str">
        <f>IFERROR(VLOOKUP(F157,Lookups!$D$5:$F$10,2,FALSE),"Unknown Product")</f>
        <v>NexaCRM Core</v>
      </c>
      <c r="S157" t="str">
        <f>IFERROR(VLOOKUP(F157,Lookups!$D$5:$F$10,3,FALSE),"Unknown")</f>
        <v>CRM</v>
      </c>
      <c r="T157" t="str">
        <f t="shared" si="22"/>
        <v>SMB</v>
      </c>
      <c r="U157" t="str">
        <f t="shared" si="23"/>
        <v>Won</v>
      </c>
      <c r="V157" s="3">
        <f t="shared" si="24"/>
        <v>14760</v>
      </c>
      <c r="W157" s="3">
        <f t="shared" si="25"/>
        <v>0</v>
      </c>
      <c r="X157" s="5">
        <f t="shared" si="26"/>
        <v>19</v>
      </c>
      <c r="Y157" s="5">
        <f>IF(U157="Open",Lookups!$B$2-B157,X157)</f>
        <v>19</v>
      </c>
      <c r="Z157" t="str">
        <f t="shared" si="27"/>
        <v>OK</v>
      </c>
      <c r="AA157" t="str">
        <f t="shared" si="28"/>
        <v>2025-03</v>
      </c>
      <c r="AB157" t="str">
        <f t="shared" si="29"/>
        <v>2025-04</v>
      </c>
      <c r="AC157" t="str">
        <f t="shared" si="30"/>
        <v>Q1-2025</v>
      </c>
      <c r="AD157" s="5">
        <f t="shared" si="31"/>
        <v>57</v>
      </c>
      <c r="AE157" t="str">
        <f t="shared" si="32"/>
        <v>Won</v>
      </c>
    </row>
    <row r="158" spans="1:31">
      <c r="A158" t="s">
        <v>260</v>
      </c>
      <c r="B158" s="1">
        <v>45844</v>
      </c>
      <c r="C158" t="s">
        <v>86</v>
      </c>
      <c r="D158" t="s">
        <v>87</v>
      </c>
      <c r="E158" t="s">
        <v>138</v>
      </c>
      <c r="F158" t="s">
        <v>59</v>
      </c>
      <c r="G158" t="s">
        <v>99</v>
      </c>
      <c r="H158" t="s">
        <v>84</v>
      </c>
      <c r="I158" t="s">
        <v>61</v>
      </c>
      <c r="J158" s="1">
        <v>45865</v>
      </c>
      <c r="K158" s="1">
        <v>45865</v>
      </c>
      <c r="L158" s="3">
        <v>68700</v>
      </c>
      <c r="M158" s="4">
        <v>0</v>
      </c>
      <c r="N158" s="4">
        <v>0</v>
      </c>
      <c r="O158" t="s">
        <v>110</v>
      </c>
      <c r="P158">
        <v>4</v>
      </c>
      <c r="Q158" t="str">
        <f>IFERROR(VLOOKUP(E158,Lookups!$A$5:$B$24,2,FALSE),"Other")</f>
        <v>Organic Search</v>
      </c>
      <c r="R158" t="str">
        <f>IFERROR(VLOOKUP(F158,Lookups!$D$5:$F$10,2,FALSE),"Unknown Product")</f>
        <v>NexaCRM Pro</v>
      </c>
      <c r="S158" t="str">
        <f>IFERROR(VLOOKUP(F158,Lookups!$D$5:$F$10,3,FALSE),"Unknown")</f>
        <v>CRM</v>
      </c>
      <c r="T158" t="str">
        <f t="shared" si="22"/>
        <v>Enterprise</v>
      </c>
      <c r="U158" t="str">
        <f t="shared" si="23"/>
        <v>Lost</v>
      </c>
      <c r="V158" s="3">
        <f t="shared" si="24"/>
        <v>0</v>
      </c>
      <c r="W158" s="3">
        <f t="shared" si="25"/>
        <v>0</v>
      </c>
      <c r="X158" s="5">
        <f t="shared" si="26"/>
        <v>21</v>
      </c>
      <c r="Y158" s="5">
        <f>IF(U158="Open",Lookups!$B$2-B158,X158)</f>
        <v>21</v>
      </c>
      <c r="Z158" t="str">
        <f t="shared" si="27"/>
        <v>OK</v>
      </c>
      <c r="AA158" t="str">
        <f t="shared" si="28"/>
        <v>2025-07</v>
      </c>
      <c r="AB158" t="str">
        <f t="shared" si="29"/>
        <v>2025-07</v>
      </c>
      <c r="AC158" t="str">
        <f t="shared" si="30"/>
        <v>Q3-2025</v>
      </c>
      <c r="AD158" s="5">
        <f t="shared" si="31"/>
        <v>80</v>
      </c>
      <c r="AE158" t="str">
        <f t="shared" si="32"/>
        <v>Lost</v>
      </c>
    </row>
    <row r="159" spans="1:31">
      <c r="A159" t="s">
        <v>261</v>
      </c>
      <c r="B159" s="1">
        <v>45847</v>
      </c>
      <c r="C159" t="s">
        <v>90</v>
      </c>
      <c r="D159" t="s">
        <v>57</v>
      </c>
      <c r="E159" t="s">
        <v>160</v>
      </c>
      <c r="F159" t="s">
        <v>59</v>
      </c>
      <c r="G159" t="s">
        <v>76</v>
      </c>
      <c r="H159" t="s">
        <v>47</v>
      </c>
      <c r="I159" t="s">
        <v>61</v>
      </c>
      <c r="J159" s="1">
        <v>45870</v>
      </c>
      <c r="K159" s="1">
        <v>45870</v>
      </c>
      <c r="L159" s="3">
        <v>21800</v>
      </c>
      <c r="M159" s="4">
        <v>0</v>
      </c>
      <c r="N159" s="4">
        <v>0</v>
      </c>
      <c r="O159" t="s">
        <v>116</v>
      </c>
      <c r="P159">
        <v>5</v>
      </c>
      <c r="Q159" t="str">
        <f>IFERROR(VLOOKUP(E159,Lookups!$A$5:$B$24,2,FALSE),"Other")</f>
        <v>Email</v>
      </c>
      <c r="R159" t="str">
        <f>IFERROR(VLOOKUP(F159,Lookups!$D$5:$F$10,2,FALSE),"Unknown Product")</f>
        <v>NexaCRM Pro</v>
      </c>
      <c r="S159" t="str">
        <f>IFERROR(VLOOKUP(F159,Lookups!$D$5:$F$10,3,FALSE),"Unknown")</f>
        <v>CRM</v>
      </c>
      <c r="T159" t="str">
        <f t="shared" si="22"/>
        <v>Mid-Market</v>
      </c>
      <c r="U159" t="str">
        <f t="shared" si="23"/>
        <v>Lost</v>
      </c>
      <c r="V159" s="3">
        <f t="shared" si="24"/>
        <v>0</v>
      </c>
      <c r="W159" s="3">
        <f t="shared" si="25"/>
        <v>0</v>
      </c>
      <c r="X159" s="5">
        <f t="shared" si="26"/>
        <v>23</v>
      </c>
      <c r="Y159" s="5">
        <f>IF(U159="Open",Lookups!$B$2-B159,X159)</f>
        <v>23</v>
      </c>
      <c r="Z159" t="str">
        <f t="shared" si="27"/>
        <v>OK</v>
      </c>
      <c r="AA159" t="str">
        <f t="shared" si="28"/>
        <v>2025-07</v>
      </c>
      <c r="AB159" t="str">
        <f t="shared" si="29"/>
        <v>2025-08</v>
      </c>
      <c r="AC159" t="str">
        <f t="shared" si="30"/>
        <v>Q3-2025</v>
      </c>
      <c r="AD159" s="5">
        <f t="shared" si="31"/>
        <v>55</v>
      </c>
      <c r="AE159" t="str">
        <f t="shared" si="32"/>
        <v>Lost</v>
      </c>
    </row>
    <row r="160" spans="1:31">
      <c r="A160" t="s">
        <v>262</v>
      </c>
      <c r="B160" s="1">
        <v>45791</v>
      </c>
      <c r="C160" t="s">
        <v>86</v>
      </c>
      <c r="D160" t="s">
        <v>87</v>
      </c>
      <c r="E160" t="s">
        <v>127</v>
      </c>
      <c r="F160" t="s">
        <v>45</v>
      </c>
      <c r="G160" t="s">
        <v>76</v>
      </c>
      <c r="H160" t="s">
        <v>53</v>
      </c>
      <c r="I160" t="s">
        <v>61</v>
      </c>
      <c r="J160" s="1">
        <v>45849</v>
      </c>
      <c r="K160" s="1">
        <v>45849</v>
      </c>
      <c r="L160" s="3">
        <v>29300</v>
      </c>
      <c r="M160" s="4">
        <v>0</v>
      </c>
      <c r="N160" s="4">
        <v>0</v>
      </c>
      <c r="O160" t="s">
        <v>81</v>
      </c>
      <c r="P160">
        <v>5</v>
      </c>
      <c r="Q160" t="str">
        <f>IFERROR(VLOOKUP(E160,Lookups!$A$5:$B$24,2,FALSE),"Other")</f>
        <v>Paid Search</v>
      </c>
      <c r="R160" t="str">
        <f>IFERROR(VLOOKUP(F160,Lookups!$D$5:$F$10,2,FALSE),"Unknown Product")</f>
        <v>Service Cloud</v>
      </c>
      <c r="S160" t="str">
        <f>IFERROR(VLOOKUP(F160,Lookups!$D$5:$F$10,3,FALSE),"Unknown")</f>
        <v>Customer Service</v>
      </c>
      <c r="T160" t="str">
        <f t="shared" si="22"/>
        <v>Mid-Market</v>
      </c>
      <c r="U160" t="str">
        <f t="shared" si="23"/>
        <v>Lost</v>
      </c>
      <c r="V160" s="3">
        <f t="shared" si="24"/>
        <v>0</v>
      </c>
      <c r="W160" s="3">
        <f t="shared" si="25"/>
        <v>0</v>
      </c>
      <c r="X160" s="5">
        <f t="shared" si="26"/>
        <v>58</v>
      </c>
      <c r="Y160" s="5">
        <f>IF(U160="Open",Lookups!$B$2-B160,X160)</f>
        <v>58</v>
      </c>
      <c r="Z160" t="str">
        <f t="shared" si="27"/>
        <v>OK</v>
      </c>
      <c r="AA160" t="str">
        <f t="shared" si="28"/>
        <v>2025-05</v>
      </c>
      <c r="AB160" t="str">
        <f t="shared" si="29"/>
        <v>2025-07</v>
      </c>
      <c r="AC160" t="str">
        <f t="shared" si="30"/>
        <v>Q2-2025</v>
      </c>
      <c r="AD160" s="5">
        <f t="shared" si="31"/>
        <v>59</v>
      </c>
      <c r="AE160" t="str">
        <f t="shared" si="32"/>
        <v>Lost</v>
      </c>
    </row>
    <row r="161" spans="1:31">
      <c r="A161" t="s">
        <v>263</v>
      </c>
      <c r="B161" s="1">
        <v>45772</v>
      </c>
      <c r="C161" t="s">
        <v>90</v>
      </c>
      <c r="D161" t="s">
        <v>57</v>
      </c>
      <c r="E161" t="s">
        <v>107</v>
      </c>
      <c r="F161" t="s">
        <v>133</v>
      </c>
      <c r="G161" t="s">
        <v>46</v>
      </c>
      <c r="H161" t="s">
        <v>47</v>
      </c>
      <c r="I161" t="s">
        <v>48</v>
      </c>
      <c r="J161" s="1">
        <v>45957</v>
      </c>
      <c r="K161" s="1"/>
      <c r="L161" s="3">
        <v>26700</v>
      </c>
      <c r="M161" s="4">
        <v>0</v>
      </c>
      <c r="N161" s="4">
        <v>0.85</v>
      </c>
      <c r="P161">
        <v>5</v>
      </c>
      <c r="Q161" t="str">
        <f>IFERROR(VLOOKUP(E161,Lookups!$A$5:$B$24,2,FALSE),"Other")</f>
        <v>Referral</v>
      </c>
      <c r="R161" t="str">
        <f>IFERROR(VLOOKUP(F161,Lookups!$D$5:$F$10,2,FALSE),"Unknown Product")</f>
        <v>Analytics Plus</v>
      </c>
      <c r="S161" t="str">
        <f>IFERROR(VLOOKUP(F161,Lookups!$D$5:$F$10,3,FALSE),"Unknown")</f>
        <v>Analytics</v>
      </c>
      <c r="T161" t="str">
        <f t="shared" si="22"/>
        <v>Mid-Market</v>
      </c>
      <c r="U161" t="str">
        <f t="shared" si="23"/>
        <v>Open</v>
      </c>
      <c r="V161" s="3">
        <f t="shared" si="24"/>
        <v>0</v>
      </c>
      <c r="W161" s="3">
        <f t="shared" si="25"/>
        <v>22695</v>
      </c>
      <c r="X161" s="5" t="str">
        <f t="shared" si="26"/>
        <v/>
      </c>
      <c r="Y161" s="5">
        <f>IF(U161="Open",Lookups!$B$2-B161,X161)</f>
        <v>494</v>
      </c>
      <c r="Z161" t="str">
        <f t="shared" si="27"/>
        <v>STALE</v>
      </c>
      <c r="AA161" t="str">
        <f t="shared" si="28"/>
        <v>2025-04</v>
      </c>
      <c r="AB161" t="str">
        <f t="shared" si="29"/>
        <v/>
      </c>
      <c r="AC161" t="str">
        <f t="shared" si="30"/>
        <v>Q2-2025</v>
      </c>
      <c r="AD161" s="5">
        <f t="shared" si="31"/>
        <v>62</v>
      </c>
      <c r="AE161" t="str">
        <f t="shared" si="32"/>
        <v>Commit</v>
      </c>
    </row>
    <row r="162" spans="1:31">
      <c r="A162" t="s">
        <v>264</v>
      </c>
      <c r="B162" s="1">
        <v>46134</v>
      </c>
      <c r="C162" t="s">
        <v>50</v>
      </c>
      <c r="D162" t="s">
        <v>43</v>
      </c>
      <c r="E162" t="s">
        <v>65</v>
      </c>
      <c r="F162" t="s">
        <v>133</v>
      </c>
      <c r="G162" t="s">
        <v>99</v>
      </c>
      <c r="H162" t="s">
        <v>47</v>
      </c>
      <c r="I162" t="s">
        <v>61</v>
      </c>
      <c r="J162" s="1">
        <v>46171</v>
      </c>
      <c r="K162" s="1">
        <v>46171</v>
      </c>
      <c r="L162" s="3">
        <v>26100</v>
      </c>
      <c r="M162" s="4">
        <v>0</v>
      </c>
      <c r="N162" s="4">
        <v>0</v>
      </c>
      <c r="O162" t="s">
        <v>116</v>
      </c>
      <c r="P162">
        <v>2</v>
      </c>
      <c r="Q162" t="str">
        <f>IFERROR(VLOOKUP(E162,Lookups!$A$5:$B$24,2,FALSE),"Other")</f>
        <v>Paid Search</v>
      </c>
      <c r="R162" t="str">
        <f>IFERROR(VLOOKUP(F162,Lookups!$D$5:$F$10,2,FALSE),"Unknown Product")</f>
        <v>Analytics Plus</v>
      </c>
      <c r="S162" t="str">
        <f>IFERROR(VLOOKUP(F162,Lookups!$D$5:$F$10,3,FALSE),"Unknown")</f>
        <v>Analytics</v>
      </c>
      <c r="T162" t="str">
        <f t="shared" si="22"/>
        <v>Mid-Market</v>
      </c>
      <c r="U162" t="str">
        <f t="shared" si="23"/>
        <v>Lost</v>
      </c>
      <c r="V162" s="3">
        <f t="shared" si="24"/>
        <v>0</v>
      </c>
      <c r="W162" s="3">
        <f t="shared" si="25"/>
        <v>0</v>
      </c>
      <c r="X162" s="5">
        <f t="shared" si="26"/>
        <v>37</v>
      </c>
      <c r="Y162" s="5">
        <f>IF(U162="Open",Lookups!$B$2-B162,X162)</f>
        <v>37</v>
      </c>
      <c r="Z162" t="str">
        <f t="shared" si="27"/>
        <v>OK</v>
      </c>
      <c r="AA162" t="str">
        <f t="shared" si="28"/>
        <v>2026-04</v>
      </c>
      <c r="AB162" t="str">
        <f t="shared" si="29"/>
        <v>2026-05</v>
      </c>
      <c r="AC162" t="str">
        <f t="shared" si="30"/>
        <v>Q2-2026</v>
      </c>
      <c r="AD162" s="5">
        <f t="shared" si="31"/>
        <v>51</v>
      </c>
      <c r="AE162" t="str">
        <f t="shared" si="32"/>
        <v>Lost</v>
      </c>
    </row>
    <row r="163" spans="1:31">
      <c r="A163" t="s">
        <v>265</v>
      </c>
      <c r="B163" s="1">
        <v>45679</v>
      </c>
      <c r="C163" t="s">
        <v>90</v>
      </c>
      <c r="D163" t="s">
        <v>57</v>
      </c>
      <c r="E163" t="s">
        <v>146</v>
      </c>
      <c r="F163" t="s">
        <v>59</v>
      </c>
      <c r="G163" t="s">
        <v>72</v>
      </c>
      <c r="H163" t="s">
        <v>53</v>
      </c>
      <c r="I163" t="s">
        <v>61</v>
      </c>
      <c r="J163" s="1">
        <v>45731</v>
      </c>
      <c r="K163" s="1">
        <v>45731</v>
      </c>
      <c r="L163" s="3">
        <v>42600</v>
      </c>
      <c r="M163" s="4">
        <v>0</v>
      </c>
      <c r="N163" s="4">
        <v>0</v>
      </c>
      <c r="O163" t="s">
        <v>116</v>
      </c>
      <c r="P163">
        <v>5</v>
      </c>
      <c r="Q163" t="str">
        <f>IFERROR(VLOOKUP(E163,Lookups!$A$5:$B$24,2,FALSE),"Other")</f>
        <v>LinkedIn</v>
      </c>
      <c r="R163" t="str">
        <f>IFERROR(VLOOKUP(F163,Lookups!$D$5:$F$10,2,FALSE),"Unknown Product")</f>
        <v>NexaCRM Pro</v>
      </c>
      <c r="S163" t="str">
        <f>IFERROR(VLOOKUP(F163,Lookups!$D$5:$F$10,3,FALSE),"Unknown")</f>
        <v>CRM</v>
      </c>
      <c r="T163" t="str">
        <f t="shared" si="22"/>
        <v>Mid-Market</v>
      </c>
      <c r="U163" t="str">
        <f t="shared" si="23"/>
        <v>Lost</v>
      </c>
      <c r="V163" s="3">
        <f t="shared" si="24"/>
        <v>0</v>
      </c>
      <c r="W163" s="3">
        <f t="shared" si="25"/>
        <v>0</v>
      </c>
      <c r="X163" s="5">
        <f t="shared" si="26"/>
        <v>52</v>
      </c>
      <c r="Y163" s="5">
        <f>IF(U163="Open",Lookups!$B$2-B163,X163)</f>
        <v>52</v>
      </c>
      <c r="Z163" t="str">
        <f t="shared" si="27"/>
        <v>OK</v>
      </c>
      <c r="AA163" t="str">
        <f t="shared" si="28"/>
        <v>2025-01</v>
      </c>
      <c r="AB163" t="str">
        <f t="shared" si="29"/>
        <v>2025-03</v>
      </c>
      <c r="AC163" t="str">
        <f t="shared" si="30"/>
        <v>Q1-2025</v>
      </c>
      <c r="AD163" s="5">
        <f t="shared" si="31"/>
        <v>59</v>
      </c>
      <c r="AE163" t="str">
        <f t="shared" si="32"/>
        <v>Lost</v>
      </c>
    </row>
    <row r="164" spans="1:31">
      <c r="A164" t="s">
        <v>266</v>
      </c>
      <c r="B164" s="1">
        <v>46208</v>
      </c>
      <c r="C164" t="s">
        <v>42</v>
      </c>
      <c r="D164" t="s">
        <v>43</v>
      </c>
      <c r="E164" t="s">
        <v>98</v>
      </c>
      <c r="F164" t="s">
        <v>133</v>
      </c>
      <c r="G164" t="s">
        <v>72</v>
      </c>
      <c r="H164" t="s">
        <v>47</v>
      </c>
      <c r="I164" t="s">
        <v>73</v>
      </c>
      <c r="J164" s="1">
        <v>46245</v>
      </c>
      <c r="K164" s="1"/>
      <c r="L164" s="3">
        <v>13100</v>
      </c>
      <c r="M164" s="4">
        <v>0</v>
      </c>
      <c r="N164" s="4">
        <v>0.2</v>
      </c>
      <c r="P164">
        <v>2</v>
      </c>
      <c r="Q164" t="str">
        <f>IFERROR(VLOOKUP(E164,Lookups!$A$5:$B$24,2,FALSE),"Other")</f>
        <v>Outbound</v>
      </c>
      <c r="R164" t="str">
        <f>IFERROR(VLOOKUP(F164,Lookups!$D$5:$F$10,2,FALSE),"Unknown Product")</f>
        <v>Analytics Plus</v>
      </c>
      <c r="S164" t="str">
        <f>IFERROR(VLOOKUP(F164,Lookups!$D$5:$F$10,3,FALSE),"Unknown")</f>
        <v>Analytics</v>
      </c>
      <c r="T164" t="str">
        <f t="shared" si="22"/>
        <v>SMB</v>
      </c>
      <c r="U164" t="str">
        <f t="shared" si="23"/>
        <v>Open</v>
      </c>
      <c r="V164" s="3">
        <f t="shared" si="24"/>
        <v>0</v>
      </c>
      <c r="W164" s="3">
        <f t="shared" si="25"/>
        <v>2620</v>
      </c>
      <c r="X164" s="5" t="str">
        <f t="shared" si="26"/>
        <v/>
      </c>
      <c r="Y164" s="5">
        <f>IF(U164="Open",Lookups!$B$2-B164,X164)</f>
        <v>58</v>
      </c>
      <c r="Z164" t="str">
        <f t="shared" si="27"/>
        <v>STALE</v>
      </c>
      <c r="AA164" t="str">
        <f t="shared" si="28"/>
        <v>2026-07</v>
      </c>
      <c r="AB164" t="str">
        <f t="shared" si="29"/>
        <v/>
      </c>
      <c r="AC164" t="str">
        <f t="shared" si="30"/>
        <v>Q3-2026</v>
      </c>
      <c r="AD164" s="5">
        <f t="shared" si="31"/>
        <v>43</v>
      </c>
      <c r="AE164" t="str">
        <f t="shared" si="32"/>
        <v>Pipeline</v>
      </c>
    </row>
    <row r="165" spans="1:31">
      <c r="A165" t="s">
        <v>267</v>
      </c>
      <c r="B165" s="1">
        <v>46252</v>
      </c>
      <c r="C165" t="s">
        <v>86</v>
      </c>
      <c r="D165" t="s">
        <v>87</v>
      </c>
      <c r="E165" t="s">
        <v>75</v>
      </c>
      <c r="F165" t="s">
        <v>133</v>
      </c>
      <c r="G165" t="s">
        <v>60</v>
      </c>
      <c r="H165" t="s">
        <v>47</v>
      </c>
      <c r="I165" t="s">
        <v>187</v>
      </c>
      <c r="J165" s="1">
        <v>46258</v>
      </c>
      <c r="K165" s="1"/>
      <c r="L165" s="3">
        <v>20400</v>
      </c>
      <c r="M165" s="4">
        <v>0.05</v>
      </c>
      <c r="N165" s="4">
        <v>0.05</v>
      </c>
      <c r="P165">
        <v>1</v>
      </c>
      <c r="Q165" t="str">
        <f>IFERROR(VLOOKUP(E165,Lookups!$A$5:$B$24,2,FALSE),"Other")</f>
        <v>Webinar</v>
      </c>
      <c r="R165" t="str">
        <f>IFERROR(VLOOKUP(F165,Lookups!$D$5:$F$10,2,FALSE),"Unknown Product")</f>
        <v>Analytics Plus</v>
      </c>
      <c r="S165" t="str">
        <f>IFERROR(VLOOKUP(F165,Lookups!$D$5:$F$10,3,FALSE),"Unknown")</f>
        <v>Analytics</v>
      </c>
      <c r="T165" t="str">
        <f t="shared" si="22"/>
        <v>Mid-Market</v>
      </c>
      <c r="U165" t="str">
        <f t="shared" si="23"/>
        <v>Open</v>
      </c>
      <c r="V165" s="3">
        <f t="shared" si="24"/>
        <v>0</v>
      </c>
      <c r="W165" s="3">
        <f t="shared" si="25"/>
        <v>1020</v>
      </c>
      <c r="X165" s="5" t="str">
        <f t="shared" si="26"/>
        <v/>
      </c>
      <c r="Y165" s="5">
        <f>IF(U165="Open",Lookups!$B$2-B165,X165)</f>
        <v>14</v>
      </c>
      <c r="Z165" t="str">
        <f t="shared" si="27"/>
        <v>OK</v>
      </c>
      <c r="AA165" t="str">
        <f t="shared" si="28"/>
        <v>2026-08</v>
      </c>
      <c r="AB165" t="str">
        <f t="shared" si="29"/>
        <v/>
      </c>
      <c r="AC165" t="str">
        <f t="shared" si="30"/>
        <v>Q3-2026</v>
      </c>
      <c r="AD165" s="5">
        <f t="shared" si="31"/>
        <v>51</v>
      </c>
      <c r="AE165" t="str">
        <f t="shared" si="32"/>
        <v>Pipeline</v>
      </c>
    </row>
    <row r="166" spans="1:31">
      <c r="A166" t="s">
        <v>268</v>
      </c>
      <c r="B166" s="1">
        <v>46176</v>
      </c>
      <c r="C166" t="s">
        <v>50</v>
      </c>
      <c r="D166" t="s">
        <v>43</v>
      </c>
      <c r="E166" t="s">
        <v>51</v>
      </c>
      <c r="F166" t="s">
        <v>59</v>
      </c>
      <c r="G166" t="s">
        <v>112</v>
      </c>
      <c r="H166" t="s">
        <v>47</v>
      </c>
      <c r="I166" t="s">
        <v>61</v>
      </c>
      <c r="J166" s="1">
        <v>46236</v>
      </c>
      <c r="K166" s="1">
        <v>46236</v>
      </c>
      <c r="L166" s="3">
        <v>18700</v>
      </c>
      <c r="M166" s="4">
        <v>0</v>
      </c>
      <c r="N166" s="4">
        <v>0</v>
      </c>
      <c r="O166" t="s">
        <v>81</v>
      </c>
      <c r="P166">
        <v>4</v>
      </c>
      <c r="Q166" t="str">
        <f>IFERROR(VLOOKUP(E166,Lookups!$A$5:$B$24,2,FALSE),"Other")</f>
        <v>Paid Search</v>
      </c>
      <c r="R166" t="str">
        <f>IFERROR(VLOOKUP(F166,Lookups!$D$5:$F$10,2,FALSE),"Unknown Product")</f>
        <v>NexaCRM Pro</v>
      </c>
      <c r="S166" t="str">
        <f>IFERROR(VLOOKUP(F166,Lookups!$D$5:$F$10,3,FALSE),"Unknown")</f>
        <v>CRM</v>
      </c>
      <c r="T166" t="str">
        <f t="shared" si="22"/>
        <v>SMB</v>
      </c>
      <c r="U166" t="str">
        <f t="shared" si="23"/>
        <v>Lost</v>
      </c>
      <c r="V166" s="3">
        <f t="shared" si="24"/>
        <v>0</v>
      </c>
      <c r="W166" s="3">
        <f t="shared" si="25"/>
        <v>0</v>
      </c>
      <c r="X166" s="5">
        <f t="shared" si="26"/>
        <v>60</v>
      </c>
      <c r="Y166" s="5">
        <f>IF(U166="Open",Lookups!$B$2-B166,X166)</f>
        <v>60</v>
      </c>
      <c r="Z166" t="str">
        <f t="shared" si="27"/>
        <v>OK</v>
      </c>
      <c r="AA166" t="str">
        <f t="shared" si="28"/>
        <v>2026-06</v>
      </c>
      <c r="AB166" t="str">
        <f t="shared" si="29"/>
        <v>2026-08</v>
      </c>
      <c r="AC166" t="str">
        <f t="shared" si="30"/>
        <v>Q2-2026</v>
      </c>
      <c r="AD166" s="5">
        <f t="shared" si="31"/>
        <v>48</v>
      </c>
      <c r="AE166" t="str">
        <f t="shared" si="32"/>
        <v>Lost</v>
      </c>
    </row>
    <row r="167" spans="1:31">
      <c r="A167" t="s">
        <v>269</v>
      </c>
      <c r="B167" s="1">
        <v>45924</v>
      </c>
      <c r="C167" t="s">
        <v>42</v>
      </c>
      <c r="D167" t="s">
        <v>43</v>
      </c>
      <c r="E167" t="s">
        <v>75</v>
      </c>
      <c r="F167" t="s">
        <v>52</v>
      </c>
      <c r="G167" t="s">
        <v>76</v>
      </c>
      <c r="H167" t="s">
        <v>47</v>
      </c>
      <c r="I167" t="s">
        <v>48</v>
      </c>
      <c r="J167" s="1">
        <v>46125</v>
      </c>
      <c r="K167" s="1"/>
      <c r="L167" s="3">
        <v>6600</v>
      </c>
      <c r="M167" s="4">
        <v>0.03</v>
      </c>
      <c r="N167" s="4">
        <v>0.85</v>
      </c>
      <c r="P167">
        <v>5</v>
      </c>
      <c r="Q167" t="str">
        <f>IFERROR(VLOOKUP(E167,Lookups!$A$5:$B$24,2,FALSE),"Other")</f>
        <v>Webinar</v>
      </c>
      <c r="R167" t="str">
        <f>IFERROR(VLOOKUP(F167,Lookups!$D$5:$F$10,2,FALSE),"Unknown Product")</f>
        <v>NexaCRM Core</v>
      </c>
      <c r="S167" t="str">
        <f>IFERROR(VLOOKUP(F167,Lookups!$D$5:$F$10,3,FALSE),"Unknown")</f>
        <v>CRM</v>
      </c>
      <c r="T167" t="str">
        <f t="shared" si="22"/>
        <v>SMB</v>
      </c>
      <c r="U167" t="str">
        <f t="shared" si="23"/>
        <v>Open</v>
      </c>
      <c r="V167" s="3">
        <f t="shared" si="24"/>
        <v>0</v>
      </c>
      <c r="W167" s="3">
        <f t="shared" si="25"/>
        <v>5610</v>
      </c>
      <c r="X167" s="5" t="str">
        <f t="shared" si="26"/>
        <v/>
      </c>
      <c r="Y167" s="5">
        <f>IF(U167="Open",Lookups!$B$2-B167,X167)</f>
        <v>342</v>
      </c>
      <c r="Z167" t="str">
        <f t="shared" si="27"/>
        <v>STALE</v>
      </c>
      <c r="AA167" t="str">
        <f t="shared" si="28"/>
        <v>2025-09</v>
      </c>
      <c r="AB167" t="str">
        <f t="shared" si="29"/>
        <v/>
      </c>
      <c r="AC167" t="str">
        <f t="shared" si="30"/>
        <v>Q3-2025</v>
      </c>
      <c r="AD167" s="5">
        <f t="shared" si="31"/>
        <v>43</v>
      </c>
      <c r="AE167" t="str">
        <f t="shared" si="32"/>
        <v>Commit</v>
      </c>
    </row>
    <row r="168" spans="1:31">
      <c r="A168" t="s">
        <v>270</v>
      </c>
      <c r="B168" s="1">
        <v>45993</v>
      </c>
      <c r="C168" t="s">
        <v>90</v>
      </c>
      <c r="D168" t="s">
        <v>57</v>
      </c>
      <c r="E168" t="s">
        <v>65</v>
      </c>
      <c r="F168" t="s">
        <v>52</v>
      </c>
      <c r="G168" t="s">
        <v>72</v>
      </c>
      <c r="H168" t="s">
        <v>53</v>
      </c>
      <c r="I168" t="s">
        <v>48</v>
      </c>
      <c r="J168" s="1">
        <v>46137</v>
      </c>
      <c r="K168" s="1"/>
      <c r="L168" s="3">
        <v>11500</v>
      </c>
      <c r="M168" s="4">
        <v>0</v>
      </c>
      <c r="N168" s="4">
        <v>0.85</v>
      </c>
      <c r="P168">
        <v>5</v>
      </c>
      <c r="Q168" t="str">
        <f>IFERROR(VLOOKUP(E168,Lookups!$A$5:$B$24,2,FALSE),"Other")</f>
        <v>Paid Search</v>
      </c>
      <c r="R168" t="str">
        <f>IFERROR(VLOOKUP(F168,Lookups!$D$5:$F$10,2,FALSE),"Unknown Product")</f>
        <v>NexaCRM Core</v>
      </c>
      <c r="S168" t="str">
        <f>IFERROR(VLOOKUP(F168,Lookups!$D$5:$F$10,3,FALSE),"Unknown")</f>
        <v>CRM</v>
      </c>
      <c r="T168" t="str">
        <f t="shared" si="22"/>
        <v>SMB</v>
      </c>
      <c r="U168" t="str">
        <f t="shared" si="23"/>
        <v>Open</v>
      </c>
      <c r="V168" s="3">
        <f t="shared" si="24"/>
        <v>0</v>
      </c>
      <c r="W168" s="3">
        <f t="shared" si="25"/>
        <v>9775</v>
      </c>
      <c r="X168" s="5" t="str">
        <f t="shared" si="26"/>
        <v/>
      </c>
      <c r="Y168" s="5">
        <f>IF(U168="Open",Lookups!$B$2-B168,X168)</f>
        <v>273</v>
      </c>
      <c r="Z168" t="str">
        <f t="shared" si="27"/>
        <v>STALE</v>
      </c>
      <c r="AA168" t="str">
        <f t="shared" si="28"/>
        <v>2025-12</v>
      </c>
      <c r="AB168" t="str">
        <f t="shared" si="29"/>
        <v/>
      </c>
      <c r="AC168" t="str">
        <f t="shared" si="30"/>
        <v>Q4-2025</v>
      </c>
      <c r="AD168" s="5">
        <f t="shared" si="31"/>
        <v>51</v>
      </c>
      <c r="AE168" t="str">
        <f t="shared" si="32"/>
        <v>Commit</v>
      </c>
    </row>
    <row r="169" spans="1:31">
      <c r="A169" t="s">
        <v>271</v>
      </c>
      <c r="B169" s="1">
        <v>46106</v>
      </c>
      <c r="C169" t="s">
        <v>69</v>
      </c>
      <c r="D169" t="s">
        <v>57</v>
      </c>
      <c r="E169" t="s">
        <v>58</v>
      </c>
      <c r="F169" t="s">
        <v>52</v>
      </c>
      <c r="G169" t="s">
        <v>112</v>
      </c>
      <c r="H169" t="s">
        <v>53</v>
      </c>
      <c r="I169" t="s">
        <v>61</v>
      </c>
      <c r="J169" s="1">
        <v>46151</v>
      </c>
      <c r="K169" s="1">
        <v>46151</v>
      </c>
      <c r="L169" s="3">
        <v>10300</v>
      </c>
      <c r="M169" s="4">
        <v>0</v>
      </c>
      <c r="N169" s="4">
        <v>0</v>
      </c>
      <c r="O169" t="s">
        <v>110</v>
      </c>
      <c r="P169">
        <v>5</v>
      </c>
      <c r="Q169" t="str">
        <f>IFERROR(VLOOKUP(E169,Lookups!$A$5:$B$24,2,FALSE),"Other")</f>
        <v>Email</v>
      </c>
      <c r="R169" t="str">
        <f>IFERROR(VLOOKUP(F169,Lookups!$D$5:$F$10,2,FALSE),"Unknown Product")</f>
        <v>NexaCRM Core</v>
      </c>
      <c r="S169" t="str">
        <f>IFERROR(VLOOKUP(F169,Lookups!$D$5:$F$10,3,FALSE),"Unknown")</f>
        <v>CRM</v>
      </c>
      <c r="T169" t="str">
        <f t="shared" si="22"/>
        <v>SMB</v>
      </c>
      <c r="U169" t="str">
        <f t="shared" si="23"/>
        <v>Lost</v>
      </c>
      <c r="V169" s="3">
        <f t="shared" si="24"/>
        <v>0</v>
      </c>
      <c r="W169" s="3">
        <f t="shared" si="25"/>
        <v>0</v>
      </c>
      <c r="X169" s="5">
        <f t="shared" si="26"/>
        <v>45</v>
      </c>
      <c r="Y169" s="5">
        <f>IF(U169="Open",Lookups!$B$2-B169,X169)</f>
        <v>45</v>
      </c>
      <c r="Z169" t="str">
        <f t="shared" si="27"/>
        <v>OK</v>
      </c>
      <c r="AA169" t="str">
        <f t="shared" si="28"/>
        <v>2026-03</v>
      </c>
      <c r="AB169" t="str">
        <f t="shared" si="29"/>
        <v>2026-05</v>
      </c>
      <c r="AC169" t="str">
        <f t="shared" si="30"/>
        <v>Q1-2026</v>
      </c>
      <c r="AD169" s="5">
        <f t="shared" si="31"/>
        <v>60</v>
      </c>
      <c r="AE169" t="str">
        <f t="shared" si="32"/>
        <v>Lost</v>
      </c>
    </row>
    <row r="170" spans="1:31">
      <c r="A170" t="s">
        <v>272</v>
      </c>
      <c r="B170" s="1">
        <v>45812</v>
      </c>
      <c r="C170" t="s">
        <v>148</v>
      </c>
      <c r="D170" t="s">
        <v>43</v>
      </c>
      <c r="E170" t="s">
        <v>166</v>
      </c>
      <c r="F170" t="s">
        <v>59</v>
      </c>
      <c r="G170" t="s">
        <v>94</v>
      </c>
      <c r="H170" t="s">
        <v>53</v>
      </c>
      <c r="I170" t="s">
        <v>61</v>
      </c>
      <c r="J170" s="1">
        <v>45831</v>
      </c>
      <c r="K170" s="1">
        <v>45831</v>
      </c>
      <c r="L170" s="3">
        <v>40900</v>
      </c>
      <c r="M170" s="4">
        <v>0</v>
      </c>
      <c r="N170" s="4">
        <v>0</v>
      </c>
      <c r="O170" t="s">
        <v>102</v>
      </c>
      <c r="P170">
        <v>5</v>
      </c>
      <c r="Q170" t="str">
        <f>IFERROR(VLOOKUP(E170,Lookups!$A$5:$B$24,2,FALSE),"Other")</f>
        <v>Referral</v>
      </c>
      <c r="R170" t="str">
        <f>IFERROR(VLOOKUP(F170,Lookups!$D$5:$F$10,2,FALSE),"Unknown Product")</f>
        <v>NexaCRM Pro</v>
      </c>
      <c r="S170" t="str">
        <f>IFERROR(VLOOKUP(F170,Lookups!$D$5:$F$10,3,FALSE),"Unknown")</f>
        <v>CRM</v>
      </c>
      <c r="T170" t="str">
        <f t="shared" si="22"/>
        <v>Mid-Market</v>
      </c>
      <c r="U170" t="str">
        <f t="shared" si="23"/>
        <v>Lost</v>
      </c>
      <c r="V170" s="3">
        <f t="shared" si="24"/>
        <v>0</v>
      </c>
      <c r="W170" s="3">
        <f t="shared" si="25"/>
        <v>0</v>
      </c>
      <c r="X170" s="5">
        <f t="shared" si="26"/>
        <v>19</v>
      </c>
      <c r="Y170" s="5">
        <f>IF(U170="Open",Lookups!$B$2-B170,X170)</f>
        <v>19</v>
      </c>
      <c r="Z170" t="str">
        <f t="shared" si="27"/>
        <v>OK</v>
      </c>
      <c r="AA170" t="str">
        <f t="shared" si="28"/>
        <v>2025-06</v>
      </c>
      <c r="AB170" t="str">
        <f t="shared" si="29"/>
        <v>2025-06</v>
      </c>
      <c r="AC170" t="str">
        <f t="shared" si="30"/>
        <v>Q2-2025</v>
      </c>
      <c r="AD170" s="5">
        <f t="shared" si="31"/>
        <v>70</v>
      </c>
      <c r="AE170" t="str">
        <f t="shared" si="32"/>
        <v>Lost</v>
      </c>
    </row>
    <row r="171" spans="1:31">
      <c r="A171" t="s">
        <v>273</v>
      </c>
      <c r="B171" s="1">
        <v>45704</v>
      </c>
      <c r="C171" t="s">
        <v>42</v>
      </c>
      <c r="D171" t="s">
        <v>43</v>
      </c>
      <c r="E171" t="s">
        <v>119</v>
      </c>
      <c r="F171" t="s">
        <v>67</v>
      </c>
      <c r="G171" t="s">
        <v>76</v>
      </c>
      <c r="H171" t="s">
        <v>47</v>
      </c>
      <c r="I171" t="s">
        <v>61</v>
      </c>
      <c r="J171" s="1">
        <v>45755</v>
      </c>
      <c r="K171" s="1">
        <v>45755</v>
      </c>
      <c r="L171" s="3">
        <v>34900</v>
      </c>
      <c r="M171" s="4">
        <v>0</v>
      </c>
      <c r="N171" s="4">
        <v>0</v>
      </c>
      <c r="O171" t="s">
        <v>62</v>
      </c>
      <c r="P171">
        <v>3</v>
      </c>
      <c r="Q171" t="str">
        <f>IFERROR(VLOOKUP(E171,Lookups!$A$5:$B$24,2,FALSE),"Other")</f>
        <v>Referral</v>
      </c>
      <c r="R171" t="str">
        <f>IFERROR(VLOOKUP(F171,Lookups!$D$5:$F$10,2,FALSE),"Unknown Product")</f>
        <v>Revenue Operations Suite</v>
      </c>
      <c r="S171" t="str">
        <f>IFERROR(VLOOKUP(F171,Lookups!$D$5:$F$10,3,FALSE),"Unknown")</f>
        <v>Revenue Ops</v>
      </c>
      <c r="T171" t="str">
        <f t="shared" si="22"/>
        <v>Mid-Market</v>
      </c>
      <c r="U171" t="str">
        <f t="shared" si="23"/>
        <v>Lost</v>
      </c>
      <c r="V171" s="3">
        <f t="shared" si="24"/>
        <v>0</v>
      </c>
      <c r="W171" s="3">
        <f t="shared" si="25"/>
        <v>0</v>
      </c>
      <c r="X171" s="5">
        <f t="shared" si="26"/>
        <v>51</v>
      </c>
      <c r="Y171" s="5">
        <f>IF(U171="Open",Lookups!$B$2-B171,X171)</f>
        <v>51</v>
      </c>
      <c r="Z171" t="str">
        <f t="shared" si="27"/>
        <v>OK</v>
      </c>
      <c r="AA171" t="str">
        <f t="shared" si="28"/>
        <v>2025-02</v>
      </c>
      <c r="AB171" t="str">
        <f t="shared" si="29"/>
        <v>2025-04</v>
      </c>
      <c r="AC171" t="str">
        <f t="shared" si="30"/>
        <v>Q1-2025</v>
      </c>
      <c r="AD171" s="5">
        <f t="shared" si="31"/>
        <v>62</v>
      </c>
      <c r="AE171" t="str">
        <f t="shared" si="32"/>
        <v>Lost</v>
      </c>
    </row>
    <row r="172" spans="1:31">
      <c r="A172" t="s">
        <v>274</v>
      </c>
      <c r="B172" s="1">
        <v>46091</v>
      </c>
      <c r="C172" t="s">
        <v>148</v>
      </c>
      <c r="D172" t="s">
        <v>43</v>
      </c>
      <c r="E172" t="s">
        <v>146</v>
      </c>
      <c r="F172" t="s">
        <v>133</v>
      </c>
      <c r="G172" t="s">
        <v>112</v>
      </c>
      <c r="H172" t="s">
        <v>47</v>
      </c>
      <c r="I172" t="s">
        <v>77</v>
      </c>
      <c r="J172" s="1">
        <v>46124</v>
      </c>
      <c r="K172" s="1">
        <v>46124</v>
      </c>
      <c r="L172" s="3">
        <v>27100</v>
      </c>
      <c r="M172" s="4">
        <v>0.12</v>
      </c>
      <c r="N172" s="4">
        <v>1</v>
      </c>
      <c r="P172">
        <v>6</v>
      </c>
      <c r="Q172" t="str">
        <f>IFERROR(VLOOKUP(E172,Lookups!$A$5:$B$24,2,FALSE),"Other")</f>
        <v>LinkedIn</v>
      </c>
      <c r="R172" t="str">
        <f>IFERROR(VLOOKUP(F172,Lookups!$D$5:$F$10,2,FALSE),"Unknown Product")</f>
        <v>Analytics Plus</v>
      </c>
      <c r="S172" t="str">
        <f>IFERROR(VLOOKUP(F172,Lookups!$D$5:$F$10,3,FALSE),"Unknown")</f>
        <v>Analytics</v>
      </c>
      <c r="T172" t="str">
        <f t="shared" si="22"/>
        <v>Mid-Market</v>
      </c>
      <c r="U172" t="str">
        <f t="shared" si="23"/>
        <v>Won</v>
      </c>
      <c r="V172" s="3">
        <f t="shared" si="24"/>
        <v>23848</v>
      </c>
      <c r="W172" s="3">
        <f t="shared" si="25"/>
        <v>0</v>
      </c>
      <c r="X172" s="5">
        <f t="shared" si="26"/>
        <v>33</v>
      </c>
      <c r="Y172" s="5">
        <f>IF(U172="Open",Lookups!$B$2-B172,X172)</f>
        <v>33</v>
      </c>
      <c r="Z172" t="str">
        <f t="shared" si="27"/>
        <v>OK</v>
      </c>
      <c r="AA172" t="str">
        <f t="shared" si="28"/>
        <v>2026-03</v>
      </c>
      <c r="AB172" t="str">
        <f t="shared" si="29"/>
        <v>2026-04</v>
      </c>
      <c r="AC172" t="str">
        <f t="shared" si="30"/>
        <v>Q1-2026</v>
      </c>
      <c r="AD172" s="5">
        <f t="shared" si="31"/>
        <v>56</v>
      </c>
      <c r="AE172" t="str">
        <f t="shared" si="32"/>
        <v>Won</v>
      </c>
    </row>
    <row r="173" spans="1:31">
      <c r="A173" t="s">
        <v>275</v>
      </c>
      <c r="B173" s="1">
        <v>46087</v>
      </c>
      <c r="C173" t="s">
        <v>50</v>
      </c>
      <c r="D173" t="s">
        <v>43</v>
      </c>
      <c r="E173" t="s">
        <v>83</v>
      </c>
      <c r="F173" t="s">
        <v>45</v>
      </c>
      <c r="G173" t="s">
        <v>94</v>
      </c>
      <c r="H173" t="s">
        <v>47</v>
      </c>
      <c r="I173" t="s">
        <v>61</v>
      </c>
      <c r="J173" s="1">
        <v>46154</v>
      </c>
      <c r="K173" s="1">
        <v>46154</v>
      </c>
      <c r="L173" s="3">
        <v>20900</v>
      </c>
      <c r="M173" s="4">
        <v>0</v>
      </c>
      <c r="N173" s="4">
        <v>0</v>
      </c>
      <c r="O173" t="s">
        <v>102</v>
      </c>
      <c r="P173">
        <v>5</v>
      </c>
      <c r="Q173" t="str">
        <f>IFERROR(VLOOKUP(E173,Lookups!$A$5:$B$24,2,FALSE),"Other")</f>
        <v>Organic Search</v>
      </c>
      <c r="R173" t="str">
        <f>IFERROR(VLOOKUP(F173,Lookups!$D$5:$F$10,2,FALSE),"Unknown Product")</f>
        <v>Service Cloud</v>
      </c>
      <c r="S173" t="str">
        <f>IFERROR(VLOOKUP(F173,Lookups!$D$5:$F$10,3,FALSE),"Unknown")</f>
        <v>Customer Service</v>
      </c>
      <c r="T173" t="str">
        <f t="shared" si="22"/>
        <v>Mid-Market</v>
      </c>
      <c r="U173" t="str">
        <f t="shared" si="23"/>
        <v>Lost</v>
      </c>
      <c r="V173" s="3">
        <f t="shared" si="24"/>
        <v>0</v>
      </c>
      <c r="W173" s="3">
        <f t="shared" si="25"/>
        <v>0</v>
      </c>
      <c r="X173" s="5">
        <f t="shared" si="26"/>
        <v>67</v>
      </c>
      <c r="Y173" s="5">
        <f>IF(U173="Open",Lookups!$B$2-B173,X173)</f>
        <v>67</v>
      </c>
      <c r="Z173" t="str">
        <f t="shared" si="27"/>
        <v>OK</v>
      </c>
      <c r="AA173" t="str">
        <f t="shared" si="28"/>
        <v>2026-03</v>
      </c>
      <c r="AB173" t="str">
        <f t="shared" si="29"/>
        <v>2026-05</v>
      </c>
      <c r="AC173" t="str">
        <f t="shared" si="30"/>
        <v>Q1-2026</v>
      </c>
      <c r="AD173" s="5">
        <f t="shared" si="31"/>
        <v>57</v>
      </c>
      <c r="AE173" t="str">
        <f t="shared" si="32"/>
        <v>Lost</v>
      </c>
    </row>
    <row r="174" spans="1:31">
      <c r="A174" t="s">
        <v>276</v>
      </c>
      <c r="B174" s="1">
        <v>46129</v>
      </c>
      <c r="C174" t="s">
        <v>42</v>
      </c>
      <c r="D174" t="s">
        <v>43</v>
      </c>
      <c r="E174" t="s">
        <v>75</v>
      </c>
      <c r="F174" t="s">
        <v>52</v>
      </c>
      <c r="G174" t="s">
        <v>112</v>
      </c>
      <c r="H174" t="s">
        <v>53</v>
      </c>
      <c r="I174" t="s">
        <v>77</v>
      </c>
      <c r="J174" s="1">
        <v>46196</v>
      </c>
      <c r="K174" s="1">
        <v>46196</v>
      </c>
      <c r="L174" s="3">
        <v>14200</v>
      </c>
      <c r="M174" s="4">
        <v>0.1</v>
      </c>
      <c r="N174" s="4">
        <v>1</v>
      </c>
      <c r="P174">
        <v>6</v>
      </c>
      <c r="Q174" t="str">
        <f>IFERROR(VLOOKUP(E174,Lookups!$A$5:$B$24,2,FALSE),"Other")</f>
        <v>Webinar</v>
      </c>
      <c r="R174" t="str">
        <f>IFERROR(VLOOKUP(F174,Lookups!$D$5:$F$10,2,FALSE),"Unknown Product")</f>
        <v>NexaCRM Core</v>
      </c>
      <c r="S174" t="str">
        <f>IFERROR(VLOOKUP(F174,Lookups!$D$5:$F$10,3,FALSE),"Unknown")</f>
        <v>CRM</v>
      </c>
      <c r="T174" t="str">
        <f t="shared" si="22"/>
        <v>SMB</v>
      </c>
      <c r="U174" t="str">
        <f t="shared" si="23"/>
        <v>Won</v>
      </c>
      <c r="V174" s="3">
        <f t="shared" si="24"/>
        <v>12780</v>
      </c>
      <c r="W174" s="3">
        <f t="shared" si="25"/>
        <v>0</v>
      </c>
      <c r="X174" s="5">
        <f t="shared" si="26"/>
        <v>67</v>
      </c>
      <c r="Y174" s="5">
        <f>IF(U174="Open",Lookups!$B$2-B174,X174)</f>
        <v>67</v>
      </c>
      <c r="Z174" t="str">
        <f t="shared" si="27"/>
        <v>OK</v>
      </c>
      <c r="AA174" t="str">
        <f t="shared" si="28"/>
        <v>2026-04</v>
      </c>
      <c r="AB174" t="str">
        <f t="shared" si="29"/>
        <v>2026-06</v>
      </c>
      <c r="AC174" t="str">
        <f t="shared" si="30"/>
        <v>Q2-2026</v>
      </c>
      <c r="AD174" s="5">
        <f t="shared" si="31"/>
        <v>56</v>
      </c>
      <c r="AE174" t="str">
        <f t="shared" si="32"/>
        <v>Won</v>
      </c>
    </row>
    <row r="175" spans="1:31">
      <c r="A175" t="s">
        <v>277</v>
      </c>
      <c r="B175" s="1">
        <v>45691</v>
      </c>
      <c r="C175" t="s">
        <v>86</v>
      </c>
      <c r="D175" t="s">
        <v>87</v>
      </c>
      <c r="E175" t="s">
        <v>65</v>
      </c>
      <c r="F175" t="s">
        <v>52</v>
      </c>
      <c r="G175" t="s">
        <v>72</v>
      </c>
      <c r="H175" t="s">
        <v>47</v>
      </c>
      <c r="I175" t="s">
        <v>61</v>
      </c>
      <c r="J175" s="1">
        <v>45737</v>
      </c>
      <c r="K175" s="1">
        <v>45737</v>
      </c>
      <c r="L175" s="3">
        <v>5100</v>
      </c>
      <c r="M175" s="4">
        <v>0</v>
      </c>
      <c r="N175" s="4">
        <v>0</v>
      </c>
      <c r="O175" t="s">
        <v>110</v>
      </c>
      <c r="P175">
        <v>5</v>
      </c>
      <c r="Q175" t="str">
        <f>IFERROR(VLOOKUP(E175,Lookups!$A$5:$B$24,2,FALSE),"Other")</f>
        <v>Paid Search</v>
      </c>
      <c r="R175" t="str">
        <f>IFERROR(VLOOKUP(F175,Lookups!$D$5:$F$10,2,FALSE),"Unknown Product")</f>
        <v>NexaCRM Core</v>
      </c>
      <c r="S175" t="str">
        <f>IFERROR(VLOOKUP(F175,Lookups!$D$5:$F$10,3,FALSE),"Unknown")</f>
        <v>CRM</v>
      </c>
      <c r="T175" t="str">
        <f t="shared" si="22"/>
        <v>SMB</v>
      </c>
      <c r="U175" t="str">
        <f t="shared" si="23"/>
        <v>Lost</v>
      </c>
      <c r="V175" s="3">
        <f t="shared" si="24"/>
        <v>0</v>
      </c>
      <c r="W175" s="3">
        <f t="shared" si="25"/>
        <v>0</v>
      </c>
      <c r="X175" s="5">
        <f t="shared" si="26"/>
        <v>46</v>
      </c>
      <c r="Y175" s="5">
        <f>IF(U175="Open",Lookups!$B$2-B175,X175)</f>
        <v>46</v>
      </c>
      <c r="Z175" t="str">
        <f t="shared" si="27"/>
        <v>OK</v>
      </c>
      <c r="AA175" t="str">
        <f t="shared" si="28"/>
        <v>2025-02</v>
      </c>
      <c r="AB175" t="str">
        <f t="shared" si="29"/>
        <v>2025-03</v>
      </c>
      <c r="AC175" t="str">
        <f t="shared" si="30"/>
        <v>Q1-2025</v>
      </c>
      <c r="AD175" s="5">
        <f t="shared" si="31"/>
        <v>43</v>
      </c>
      <c r="AE175" t="str">
        <f t="shared" si="32"/>
        <v>Lost</v>
      </c>
    </row>
    <row r="176" spans="1:31">
      <c r="A176" t="s">
        <v>278</v>
      </c>
      <c r="B176" s="1">
        <v>45709</v>
      </c>
      <c r="C176" t="s">
        <v>42</v>
      </c>
      <c r="D176" t="s">
        <v>43</v>
      </c>
      <c r="E176" t="s">
        <v>75</v>
      </c>
      <c r="F176" t="s">
        <v>71</v>
      </c>
      <c r="G176" t="s">
        <v>76</v>
      </c>
      <c r="H176" t="s">
        <v>84</v>
      </c>
      <c r="I176" t="s">
        <v>61</v>
      </c>
      <c r="J176" s="1">
        <v>45772</v>
      </c>
      <c r="K176" s="1">
        <v>45772</v>
      </c>
      <c r="L176" s="3">
        <v>35400</v>
      </c>
      <c r="M176" s="4">
        <v>0</v>
      </c>
      <c r="N176" s="4">
        <v>0</v>
      </c>
      <c r="O176" t="s">
        <v>116</v>
      </c>
      <c r="P176">
        <v>3</v>
      </c>
      <c r="Q176" t="str">
        <f>IFERROR(VLOOKUP(E176,Lookups!$A$5:$B$24,2,FALSE),"Other")</f>
        <v>Webinar</v>
      </c>
      <c r="R176" t="str">
        <f>IFERROR(VLOOKUP(F176,Lookups!$D$5:$F$10,2,FALSE),"Unknown Product")</f>
        <v>Marketing Automation</v>
      </c>
      <c r="S176" t="str">
        <f>IFERROR(VLOOKUP(F176,Lookups!$D$5:$F$10,3,FALSE),"Unknown")</f>
        <v>Marketing</v>
      </c>
      <c r="T176" t="str">
        <f t="shared" si="22"/>
        <v>Mid-Market</v>
      </c>
      <c r="U176" t="str">
        <f t="shared" si="23"/>
        <v>Lost</v>
      </c>
      <c r="V176" s="3">
        <f t="shared" si="24"/>
        <v>0</v>
      </c>
      <c r="W176" s="3">
        <f t="shared" si="25"/>
        <v>0</v>
      </c>
      <c r="X176" s="5">
        <f t="shared" si="26"/>
        <v>63</v>
      </c>
      <c r="Y176" s="5">
        <f>IF(U176="Open",Lookups!$B$2-B176,X176)</f>
        <v>63</v>
      </c>
      <c r="Z176" t="str">
        <f t="shared" si="27"/>
        <v>OK</v>
      </c>
      <c r="AA176" t="str">
        <f t="shared" si="28"/>
        <v>2025-02</v>
      </c>
      <c r="AB176" t="str">
        <f t="shared" si="29"/>
        <v>2025-04</v>
      </c>
      <c r="AC176" t="str">
        <f t="shared" si="30"/>
        <v>Q1-2025</v>
      </c>
      <c r="AD176" s="5">
        <f t="shared" si="31"/>
        <v>67</v>
      </c>
      <c r="AE176" t="str">
        <f t="shared" si="32"/>
        <v>Lost</v>
      </c>
    </row>
    <row r="177" spans="1:31">
      <c r="A177" t="s">
        <v>279</v>
      </c>
      <c r="B177" s="1">
        <v>45813</v>
      </c>
      <c r="C177" t="s">
        <v>42</v>
      </c>
      <c r="D177" t="s">
        <v>43</v>
      </c>
      <c r="E177" t="s">
        <v>146</v>
      </c>
      <c r="F177" t="s">
        <v>45</v>
      </c>
      <c r="G177" t="s">
        <v>94</v>
      </c>
      <c r="H177" t="s">
        <v>47</v>
      </c>
      <c r="I177" t="s">
        <v>61</v>
      </c>
      <c r="J177" s="1">
        <v>45865</v>
      </c>
      <c r="K177" s="1">
        <v>45865</v>
      </c>
      <c r="L177" s="3">
        <v>25100</v>
      </c>
      <c r="M177" s="4">
        <v>0</v>
      </c>
      <c r="N177" s="4">
        <v>0</v>
      </c>
      <c r="O177" t="s">
        <v>62</v>
      </c>
      <c r="P177">
        <v>3</v>
      </c>
      <c r="Q177" t="str">
        <f>IFERROR(VLOOKUP(E177,Lookups!$A$5:$B$24,2,FALSE),"Other")</f>
        <v>LinkedIn</v>
      </c>
      <c r="R177" t="str">
        <f>IFERROR(VLOOKUP(F177,Lookups!$D$5:$F$10,2,FALSE),"Unknown Product")</f>
        <v>Service Cloud</v>
      </c>
      <c r="S177" t="str">
        <f>IFERROR(VLOOKUP(F177,Lookups!$D$5:$F$10,3,FALSE),"Unknown")</f>
        <v>Customer Service</v>
      </c>
      <c r="T177" t="str">
        <f t="shared" si="22"/>
        <v>Mid-Market</v>
      </c>
      <c r="U177" t="str">
        <f t="shared" si="23"/>
        <v>Lost</v>
      </c>
      <c r="V177" s="3">
        <f t="shared" si="24"/>
        <v>0</v>
      </c>
      <c r="W177" s="3">
        <f t="shared" si="25"/>
        <v>0</v>
      </c>
      <c r="X177" s="5">
        <f t="shared" si="26"/>
        <v>52</v>
      </c>
      <c r="Y177" s="5">
        <f>IF(U177="Open",Lookups!$B$2-B177,X177)</f>
        <v>52</v>
      </c>
      <c r="Z177" t="str">
        <f t="shared" si="27"/>
        <v>OK</v>
      </c>
      <c r="AA177" t="str">
        <f t="shared" si="28"/>
        <v>2025-06</v>
      </c>
      <c r="AB177" t="str">
        <f t="shared" si="29"/>
        <v>2025-07</v>
      </c>
      <c r="AC177" t="str">
        <f t="shared" si="30"/>
        <v>Q2-2025</v>
      </c>
      <c r="AD177" s="5">
        <f t="shared" si="31"/>
        <v>51</v>
      </c>
      <c r="AE177" t="str">
        <f t="shared" si="32"/>
        <v>Lost</v>
      </c>
    </row>
    <row r="178" spans="1:31">
      <c r="A178" t="s">
        <v>280</v>
      </c>
      <c r="B178" s="1">
        <v>45995</v>
      </c>
      <c r="C178" t="s">
        <v>50</v>
      </c>
      <c r="D178" t="s">
        <v>43</v>
      </c>
      <c r="E178" t="s">
        <v>119</v>
      </c>
      <c r="F178" t="s">
        <v>133</v>
      </c>
      <c r="G178" t="s">
        <v>46</v>
      </c>
      <c r="H178" t="s">
        <v>84</v>
      </c>
      <c r="I178" t="s">
        <v>77</v>
      </c>
      <c r="J178" s="1">
        <v>46115</v>
      </c>
      <c r="K178" s="1">
        <v>46115</v>
      </c>
      <c r="L178" s="3">
        <v>104600</v>
      </c>
      <c r="M178" s="4">
        <v>0</v>
      </c>
      <c r="N178" s="4">
        <v>1</v>
      </c>
      <c r="P178">
        <v>6</v>
      </c>
      <c r="Q178" t="str">
        <f>IFERROR(VLOOKUP(E178,Lookups!$A$5:$B$24,2,FALSE),"Other")</f>
        <v>Referral</v>
      </c>
      <c r="R178" t="str">
        <f>IFERROR(VLOOKUP(F178,Lookups!$D$5:$F$10,2,FALSE),"Unknown Product")</f>
        <v>Analytics Plus</v>
      </c>
      <c r="S178" t="str">
        <f>IFERROR(VLOOKUP(F178,Lookups!$D$5:$F$10,3,FALSE),"Unknown")</f>
        <v>Analytics</v>
      </c>
      <c r="T178" t="str">
        <f t="shared" si="22"/>
        <v>Enterprise</v>
      </c>
      <c r="U178" t="str">
        <f t="shared" si="23"/>
        <v>Won</v>
      </c>
      <c r="V178" s="3">
        <f t="shared" si="24"/>
        <v>104600</v>
      </c>
      <c r="W178" s="3">
        <f t="shared" si="25"/>
        <v>0</v>
      </c>
      <c r="X178" s="5">
        <f t="shared" si="26"/>
        <v>120</v>
      </c>
      <c r="Y178" s="5">
        <f>IF(U178="Open",Lookups!$B$2-B178,X178)</f>
        <v>120</v>
      </c>
      <c r="Z178" t="str">
        <f t="shared" si="27"/>
        <v>OK</v>
      </c>
      <c r="AA178" t="str">
        <f t="shared" si="28"/>
        <v>2025-12</v>
      </c>
      <c r="AB178" t="str">
        <f t="shared" si="29"/>
        <v>2026-04</v>
      </c>
      <c r="AC178" t="str">
        <f t="shared" si="30"/>
        <v>Q4-2025</v>
      </c>
      <c r="AD178" s="5">
        <f t="shared" si="31"/>
        <v>85</v>
      </c>
      <c r="AE178" t="str">
        <f t="shared" si="32"/>
        <v>Won</v>
      </c>
    </row>
    <row r="179" spans="1:31">
      <c r="A179" t="s">
        <v>281</v>
      </c>
      <c r="B179" s="1">
        <v>46253</v>
      </c>
      <c r="C179" t="s">
        <v>50</v>
      </c>
      <c r="D179" t="s">
        <v>43</v>
      </c>
      <c r="E179" t="s">
        <v>166</v>
      </c>
      <c r="F179" t="s">
        <v>52</v>
      </c>
      <c r="G179" t="s">
        <v>76</v>
      </c>
      <c r="H179" t="s">
        <v>47</v>
      </c>
      <c r="I179" t="s">
        <v>187</v>
      </c>
      <c r="J179" s="1">
        <v>46259</v>
      </c>
      <c r="K179" s="1"/>
      <c r="L179" s="3">
        <v>6500</v>
      </c>
      <c r="M179" s="4">
        <v>0.05</v>
      </c>
      <c r="N179" s="4">
        <v>0.05</v>
      </c>
      <c r="P179">
        <v>1</v>
      </c>
      <c r="Q179" t="str">
        <f>IFERROR(VLOOKUP(E179,Lookups!$A$5:$B$24,2,FALSE),"Other")</f>
        <v>Referral</v>
      </c>
      <c r="R179" t="str">
        <f>IFERROR(VLOOKUP(F179,Lookups!$D$5:$F$10,2,FALSE),"Unknown Product")</f>
        <v>NexaCRM Core</v>
      </c>
      <c r="S179" t="str">
        <f>IFERROR(VLOOKUP(F179,Lookups!$D$5:$F$10,3,FALSE),"Unknown")</f>
        <v>CRM</v>
      </c>
      <c r="T179" t="str">
        <f t="shared" si="22"/>
        <v>SMB</v>
      </c>
      <c r="U179" t="str">
        <f t="shared" si="23"/>
        <v>Open</v>
      </c>
      <c r="V179" s="3">
        <f t="shared" si="24"/>
        <v>0</v>
      </c>
      <c r="W179" s="3">
        <f t="shared" si="25"/>
        <v>325</v>
      </c>
      <c r="X179" s="5" t="str">
        <f t="shared" si="26"/>
        <v/>
      </c>
      <c r="Y179" s="5">
        <f>IF(U179="Open",Lookups!$B$2-B179,X179)</f>
        <v>13</v>
      </c>
      <c r="Z179" t="str">
        <f t="shared" si="27"/>
        <v>OK</v>
      </c>
      <c r="AA179" t="str">
        <f t="shared" si="28"/>
        <v>2026-08</v>
      </c>
      <c r="AB179" t="str">
        <f t="shared" si="29"/>
        <v/>
      </c>
      <c r="AC179" t="str">
        <f t="shared" si="30"/>
        <v>Q3-2026</v>
      </c>
      <c r="AD179" s="5">
        <f t="shared" si="31"/>
        <v>54</v>
      </c>
      <c r="AE179" t="str">
        <f t="shared" si="32"/>
        <v>Pipeline</v>
      </c>
    </row>
    <row r="180" spans="1:31">
      <c r="A180" t="s">
        <v>282</v>
      </c>
      <c r="B180" s="1">
        <v>45918</v>
      </c>
      <c r="C180" t="s">
        <v>56</v>
      </c>
      <c r="D180" t="s">
        <v>57</v>
      </c>
      <c r="E180" t="s">
        <v>127</v>
      </c>
      <c r="F180" t="s">
        <v>133</v>
      </c>
      <c r="G180" t="s">
        <v>99</v>
      </c>
      <c r="H180" t="s">
        <v>53</v>
      </c>
      <c r="I180" t="s">
        <v>61</v>
      </c>
      <c r="J180" s="1">
        <v>45964</v>
      </c>
      <c r="K180" s="1">
        <v>45964</v>
      </c>
      <c r="L180" s="3">
        <v>27000</v>
      </c>
      <c r="M180" s="4">
        <v>0</v>
      </c>
      <c r="N180" s="4">
        <v>0</v>
      </c>
      <c r="O180" t="s">
        <v>62</v>
      </c>
      <c r="P180">
        <v>5</v>
      </c>
      <c r="Q180" t="str">
        <f>IFERROR(VLOOKUP(E180,Lookups!$A$5:$B$24,2,FALSE),"Other")</f>
        <v>Paid Search</v>
      </c>
      <c r="R180" t="str">
        <f>IFERROR(VLOOKUP(F180,Lookups!$D$5:$F$10,2,FALSE),"Unknown Product")</f>
        <v>Analytics Plus</v>
      </c>
      <c r="S180" t="str">
        <f>IFERROR(VLOOKUP(F180,Lookups!$D$5:$F$10,3,FALSE),"Unknown")</f>
        <v>Analytics</v>
      </c>
      <c r="T180" t="str">
        <f t="shared" si="22"/>
        <v>Mid-Market</v>
      </c>
      <c r="U180" t="str">
        <f t="shared" si="23"/>
        <v>Lost</v>
      </c>
      <c r="V180" s="3">
        <f t="shared" si="24"/>
        <v>0</v>
      </c>
      <c r="W180" s="3">
        <f t="shared" si="25"/>
        <v>0</v>
      </c>
      <c r="X180" s="5">
        <f t="shared" si="26"/>
        <v>46</v>
      </c>
      <c r="Y180" s="5">
        <f>IF(U180="Open",Lookups!$B$2-B180,X180)</f>
        <v>46</v>
      </c>
      <c r="Z180" t="str">
        <f t="shared" si="27"/>
        <v>OK</v>
      </c>
      <c r="AA180" t="str">
        <f t="shared" si="28"/>
        <v>2025-09</v>
      </c>
      <c r="AB180" t="str">
        <f t="shared" si="29"/>
        <v>2025-11</v>
      </c>
      <c r="AC180" t="str">
        <f t="shared" si="30"/>
        <v>Q3-2025</v>
      </c>
      <c r="AD180" s="5">
        <f t="shared" si="31"/>
        <v>59</v>
      </c>
      <c r="AE180" t="str">
        <f t="shared" si="32"/>
        <v>Lost</v>
      </c>
    </row>
    <row r="181" spans="1:31">
      <c r="A181" t="s">
        <v>283</v>
      </c>
      <c r="B181" s="1">
        <v>46261</v>
      </c>
      <c r="C181" t="s">
        <v>148</v>
      </c>
      <c r="D181" t="s">
        <v>43</v>
      </c>
      <c r="E181" t="s">
        <v>146</v>
      </c>
      <c r="F181" t="s">
        <v>133</v>
      </c>
      <c r="G181" t="s">
        <v>94</v>
      </c>
      <c r="H181" t="s">
        <v>47</v>
      </c>
      <c r="I181" t="s">
        <v>61</v>
      </c>
      <c r="J181" s="1">
        <v>46266</v>
      </c>
      <c r="K181" s="1">
        <v>46266</v>
      </c>
      <c r="L181" s="3">
        <v>28100</v>
      </c>
      <c r="M181" s="4">
        <v>0</v>
      </c>
      <c r="N181" s="4">
        <v>0</v>
      </c>
      <c r="O181" t="s">
        <v>79</v>
      </c>
      <c r="P181">
        <v>3</v>
      </c>
      <c r="Q181" t="str">
        <f>IFERROR(VLOOKUP(E181,Lookups!$A$5:$B$24,2,FALSE),"Other")</f>
        <v>LinkedIn</v>
      </c>
      <c r="R181" t="str">
        <f>IFERROR(VLOOKUP(F181,Lookups!$D$5:$F$10,2,FALSE),"Unknown Product")</f>
        <v>Analytics Plus</v>
      </c>
      <c r="S181" t="str">
        <f>IFERROR(VLOOKUP(F181,Lookups!$D$5:$F$10,3,FALSE),"Unknown")</f>
        <v>Analytics</v>
      </c>
      <c r="T181" t="str">
        <f t="shared" si="22"/>
        <v>Mid-Market</v>
      </c>
      <c r="U181" t="str">
        <f t="shared" si="23"/>
        <v>Lost</v>
      </c>
      <c r="V181" s="3">
        <f t="shared" si="24"/>
        <v>0</v>
      </c>
      <c r="W181" s="3">
        <f t="shared" si="25"/>
        <v>0</v>
      </c>
      <c r="X181" s="5">
        <f t="shared" si="26"/>
        <v>5</v>
      </c>
      <c r="Y181" s="5">
        <f>IF(U181="Open",Lookups!$B$2-B181,X181)</f>
        <v>5</v>
      </c>
      <c r="Z181" t="str">
        <f t="shared" si="27"/>
        <v>OK</v>
      </c>
      <c r="AA181" t="str">
        <f t="shared" si="28"/>
        <v>2026-08</v>
      </c>
      <c r="AB181" t="str">
        <f t="shared" si="29"/>
        <v>2026-09</v>
      </c>
      <c r="AC181" t="str">
        <f t="shared" si="30"/>
        <v>Q3-2026</v>
      </c>
      <c r="AD181" s="5">
        <f t="shared" si="31"/>
        <v>51</v>
      </c>
      <c r="AE181" t="str">
        <f t="shared" si="32"/>
        <v>Lost</v>
      </c>
    </row>
    <row r="182" spans="1:31">
      <c r="A182" t="s">
        <v>284</v>
      </c>
      <c r="B182" s="1">
        <v>45754</v>
      </c>
      <c r="C182" t="s">
        <v>50</v>
      </c>
      <c r="D182" t="s">
        <v>43</v>
      </c>
      <c r="E182" t="s">
        <v>98</v>
      </c>
      <c r="F182" t="s">
        <v>71</v>
      </c>
      <c r="G182" t="s">
        <v>94</v>
      </c>
      <c r="H182" t="s">
        <v>53</v>
      </c>
      <c r="I182" t="s">
        <v>48</v>
      </c>
      <c r="J182" s="1">
        <v>45992</v>
      </c>
      <c r="K182" s="1"/>
      <c r="L182" s="3">
        <v>34300</v>
      </c>
      <c r="M182" s="4">
        <v>0.05</v>
      </c>
      <c r="N182" s="4">
        <v>0.85</v>
      </c>
      <c r="P182">
        <v>5</v>
      </c>
      <c r="Q182" t="str">
        <f>IFERROR(VLOOKUP(E182,Lookups!$A$5:$B$24,2,FALSE),"Other")</f>
        <v>Outbound</v>
      </c>
      <c r="R182" t="str">
        <f>IFERROR(VLOOKUP(F182,Lookups!$D$5:$F$10,2,FALSE),"Unknown Product")</f>
        <v>Marketing Automation</v>
      </c>
      <c r="S182" t="str">
        <f>IFERROR(VLOOKUP(F182,Lookups!$D$5:$F$10,3,FALSE),"Unknown")</f>
        <v>Marketing</v>
      </c>
      <c r="T182" t="str">
        <f t="shared" si="22"/>
        <v>Mid-Market</v>
      </c>
      <c r="U182" t="str">
        <f t="shared" si="23"/>
        <v>Open</v>
      </c>
      <c r="V182" s="3">
        <f t="shared" si="24"/>
        <v>0</v>
      </c>
      <c r="W182" s="3">
        <f t="shared" si="25"/>
        <v>29155</v>
      </c>
      <c r="X182" s="5" t="str">
        <f t="shared" si="26"/>
        <v/>
      </c>
      <c r="Y182" s="5">
        <f>IF(U182="Open",Lookups!$B$2-B182,X182)</f>
        <v>512</v>
      </c>
      <c r="Z182" t="str">
        <f t="shared" si="27"/>
        <v>STALE</v>
      </c>
      <c r="AA182" t="str">
        <f t="shared" si="28"/>
        <v>2025-04</v>
      </c>
      <c r="AB182" t="str">
        <f t="shared" si="29"/>
        <v/>
      </c>
      <c r="AC182" t="str">
        <f t="shared" si="30"/>
        <v>Q2-2025</v>
      </c>
      <c r="AD182" s="5">
        <f t="shared" si="31"/>
        <v>59</v>
      </c>
      <c r="AE182" t="str">
        <f t="shared" si="32"/>
        <v>Commit</v>
      </c>
    </row>
    <row r="183" spans="1:31">
      <c r="A183" t="s">
        <v>285</v>
      </c>
      <c r="B183" s="1">
        <v>45933</v>
      </c>
      <c r="C183" t="s">
        <v>64</v>
      </c>
      <c r="D183" t="s">
        <v>57</v>
      </c>
      <c r="E183" t="s">
        <v>160</v>
      </c>
      <c r="F183" t="s">
        <v>59</v>
      </c>
      <c r="G183" t="s">
        <v>76</v>
      </c>
      <c r="H183" t="s">
        <v>47</v>
      </c>
      <c r="I183" t="s">
        <v>61</v>
      </c>
      <c r="J183" s="1">
        <v>45992</v>
      </c>
      <c r="K183" s="1">
        <v>45992</v>
      </c>
      <c r="L183" s="3">
        <v>11400</v>
      </c>
      <c r="M183" s="4">
        <v>0</v>
      </c>
      <c r="N183" s="4">
        <v>0</v>
      </c>
      <c r="O183" t="s">
        <v>102</v>
      </c>
      <c r="P183">
        <v>2</v>
      </c>
      <c r="Q183" t="str">
        <f>IFERROR(VLOOKUP(E183,Lookups!$A$5:$B$24,2,FALSE),"Other")</f>
        <v>Email</v>
      </c>
      <c r="R183" t="str">
        <f>IFERROR(VLOOKUP(F183,Lookups!$D$5:$F$10,2,FALSE),"Unknown Product")</f>
        <v>NexaCRM Pro</v>
      </c>
      <c r="S183" t="str">
        <f>IFERROR(VLOOKUP(F183,Lookups!$D$5:$F$10,3,FALSE),"Unknown")</f>
        <v>CRM</v>
      </c>
      <c r="T183" t="str">
        <f t="shared" si="22"/>
        <v>SMB</v>
      </c>
      <c r="U183" t="str">
        <f t="shared" si="23"/>
        <v>Lost</v>
      </c>
      <c r="V183" s="3">
        <f t="shared" si="24"/>
        <v>0</v>
      </c>
      <c r="W183" s="3">
        <f t="shared" si="25"/>
        <v>0</v>
      </c>
      <c r="X183" s="5">
        <f t="shared" si="26"/>
        <v>59</v>
      </c>
      <c r="Y183" s="5">
        <f>IF(U183="Open",Lookups!$B$2-B183,X183)</f>
        <v>59</v>
      </c>
      <c r="Z183" t="str">
        <f t="shared" si="27"/>
        <v>OK</v>
      </c>
      <c r="AA183" t="str">
        <f t="shared" si="28"/>
        <v>2025-10</v>
      </c>
      <c r="AB183" t="str">
        <f t="shared" si="29"/>
        <v>2025-12</v>
      </c>
      <c r="AC183" t="str">
        <f t="shared" si="30"/>
        <v>Q4-2025</v>
      </c>
      <c r="AD183" s="5">
        <f t="shared" si="31"/>
        <v>47</v>
      </c>
      <c r="AE183" t="str">
        <f t="shared" si="32"/>
        <v>Lost</v>
      </c>
    </row>
    <row r="184" spans="1:31">
      <c r="A184" t="s">
        <v>286</v>
      </c>
      <c r="B184" s="1">
        <v>46200</v>
      </c>
      <c r="C184" t="s">
        <v>148</v>
      </c>
      <c r="D184" t="s">
        <v>43</v>
      </c>
      <c r="E184" t="s">
        <v>123</v>
      </c>
      <c r="F184" t="s">
        <v>71</v>
      </c>
      <c r="G184" t="s">
        <v>112</v>
      </c>
      <c r="H184" t="s">
        <v>84</v>
      </c>
      <c r="I184" t="s">
        <v>105</v>
      </c>
      <c r="J184" s="1">
        <v>46228</v>
      </c>
      <c r="K184" s="1"/>
      <c r="L184" s="3">
        <v>52500</v>
      </c>
      <c r="M184" s="4">
        <v>0.03</v>
      </c>
      <c r="N184" s="4">
        <v>0.4</v>
      </c>
      <c r="P184">
        <v>3</v>
      </c>
      <c r="Q184" t="str">
        <f>IFERROR(VLOOKUP(E184,Lookups!$A$5:$B$24,2,FALSE),"Other")</f>
        <v>Email</v>
      </c>
      <c r="R184" t="str">
        <f>IFERROR(VLOOKUP(F184,Lookups!$D$5:$F$10,2,FALSE),"Unknown Product")</f>
        <v>Marketing Automation</v>
      </c>
      <c r="S184" t="str">
        <f>IFERROR(VLOOKUP(F184,Lookups!$D$5:$F$10,3,FALSE),"Unknown")</f>
        <v>Marketing</v>
      </c>
      <c r="T184" t="str">
        <f t="shared" si="22"/>
        <v>Enterprise</v>
      </c>
      <c r="U184" t="str">
        <f t="shared" si="23"/>
        <v>Open</v>
      </c>
      <c r="V184" s="3">
        <f t="shared" si="24"/>
        <v>0</v>
      </c>
      <c r="W184" s="3">
        <f t="shared" si="25"/>
        <v>21000</v>
      </c>
      <c r="X184" s="5" t="str">
        <f t="shared" si="26"/>
        <v/>
      </c>
      <c r="Y184" s="5">
        <f>IF(U184="Open",Lookups!$B$2-B184,X184)</f>
        <v>66</v>
      </c>
      <c r="Z184" t="str">
        <f t="shared" si="27"/>
        <v>STALE</v>
      </c>
      <c r="AA184" t="str">
        <f t="shared" si="28"/>
        <v>2026-06</v>
      </c>
      <c r="AB184" t="str">
        <f t="shared" si="29"/>
        <v/>
      </c>
      <c r="AC184" t="str">
        <f t="shared" si="30"/>
        <v>Q2-2026</v>
      </c>
      <c r="AD184" s="5">
        <f t="shared" si="31"/>
        <v>83</v>
      </c>
      <c r="AE184" t="str">
        <f t="shared" si="32"/>
        <v>Pipeline</v>
      </c>
    </row>
    <row r="185" spans="1:31">
      <c r="A185" t="s">
        <v>287</v>
      </c>
      <c r="B185" s="1">
        <v>46157</v>
      </c>
      <c r="C185" t="s">
        <v>90</v>
      </c>
      <c r="D185" t="s">
        <v>57</v>
      </c>
      <c r="E185" t="s">
        <v>44</v>
      </c>
      <c r="F185" t="s">
        <v>52</v>
      </c>
      <c r="G185" t="s">
        <v>94</v>
      </c>
      <c r="H185" t="s">
        <v>84</v>
      </c>
      <c r="I185" t="s">
        <v>54</v>
      </c>
      <c r="J185" s="1">
        <v>46251</v>
      </c>
      <c r="K185" s="1"/>
      <c r="L185" s="3">
        <v>23200</v>
      </c>
      <c r="M185" s="4">
        <v>0.03</v>
      </c>
      <c r="N185" s="4">
        <v>0.65</v>
      </c>
      <c r="P185">
        <v>4</v>
      </c>
      <c r="Q185" t="str">
        <f>IFERROR(VLOOKUP(E185,Lookups!$A$5:$B$24,2,FALSE),"Other")</f>
        <v>Organic Search</v>
      </c>
      <c r="R185" t="str">
        <f>IFERROR(VLOOKUP(F185,Lookups!$D$5:$F$10,2,FALSE),"Unknown Product")</f>
        <v>NexaCRM Core</v>
      </c>
      <c r="S185" t="str">
        <f>IFERROR(VLOOKUP(F185,Lookups!$D$5:$F$10,3,FALSE),"Unknown")</f>
        <v>CRM</v>
      </c>
      <c r="T185" t="str">
        <f t="shared" si="22"/>
        <v>Mid-Market</v>
      </c>
      <c r="U185" t="str">
        <f t="shared" si="23"/>
        <v>Open</v>
      </c>
      <c r="V185" s="3">
        <f t="shared" si="24"/>
        <v>0</v>
      </c>
      <c r="W185" s="3">
        <f t="shared" si="25"/>
        <v>15080</v>
      </c>
      <c r="X185" s="5" t="str">
        <f t="shared" si="26"/>
        <v/>
      </c>
      <c r="Y185" s="5">
        <f>IF(U185="Open",Lookups!$B$2-B185,X185)</f>
        <v>109</v>
      </c>
      <c r="Z185" t="str">
        <f t="shared" si="27"/>
        <v>STALE</v>
      </c>
      <c r="AA185" t="str">
        <f t="shared" si="28"/>
        <v>2026-05</v>
      </c>
      <c r="AB185" t="str">
        <f t="shared" si="29"/>
        <v/>
      </c>
      <c r="AC185" t="str">
        <f t="shared" si="30"/>
        <v>Q2-2026</v>
      </c>
      <c r="AD185" s="5">
        <f t="shared" si="31"/>
        <v>73</v>
      </c>
      <c r="AE185" t="str">
        <f t="shared" si="32"/>
        <v>Best Case</v>
      </c>
    </row>
    <row r="186" spans="1:31">
      <c r="A186" t="s">
        <v>288</v>
      </c>
      <c r="B186" s="1">
        <v>45903</v>
      </c>
      <c r="C186" t="s">
        <v>56</v>
      </c>
      <c r="D186" t="s">
        <v>57</v>
      </c>
      <c r="E186" t="s">
        <v>75</v>
      </c>
      <c r="F186" t="s">
        <v>45</v>
      </c>
      <c r="G186" t="s">
        <v>99</v>
      </c>
      <c r="H186" t="s">
        <v>53</v>
      </c>
      <c r="I186" t="s">
        <v>61</v>
      </c>
      <c r="J186" s="1">
        <v>45959</v>
      </c>
      <c r="K186" s="1">
        <v>45959</v>
      </c>
      <c r="L186" s="3">
        <v>49900</v>
      </c>
      <c r="M186" s="4">
        <v>0</v>
      </c>
      <c r="N186" s="4">
        <v>0</v>
      </c>
      <c r="O186" t="s">
        <v>62</v>
      </c>
      <c r="P186">
        <v>4</v>
      </c>
      <c r="Q186" t="str">
        <f>IFERROR(VLOOKUP(E186,Lookups!$A$5:$B$24,2,FALSE),"Other")</f>
        <v>Webinar</v>
      </c>
      <c r="R186" t="str">
        <f>IFERROR(VLOOKUP(F186,Lookups!$D$5:$F$10,2,FALSE),"Unknown Product")</f>
        <v>Service Cloud</v>
      </c>
      <c r="S186" t="str">
        <f>IFERROR(VLOOKUP(F186,Lookups!$D$5:$F$10,3,FALSE),"Unknown")</f>
        <v>Customer Service</v>
      </c>
      <c r="T186" t="str">
        <f t="shared" si="22"/>
        <v>Mid-Market</v>
      </c>
      <c r="U186" t="str">
        <f t="shared" si="23"/>
        <v>Lost</v>
      </c>
      <c r="V186" s="3">
        <f t="shared" si="24"/>
        <v>0</v>
      </c>
      <c r="W186" s="3">
        <f t="shared" si="25"/>
        <v>0</v>
      </c>
      <c r="X186" s="5">
        <f t="shared" si="26"/>
        <v>56</v>
      </c>
      <c r="Y186" s="5">
        <f>IF(U186="Open",Lookups!$B$2-B186,X186)</f>
        <v>56</v>
      </c>
      <c r="Z186" t="str">
        <f t="shared" si="27"/>
        <v>OK</v>
      </c>
      <c r="AA186" t="str">
        <f t="shared" si="28"/>
        <v>2025-09</v>
      </c>
      <c r="AB186" t="str">
        <f t="shared" si="29"/>
        <v>2025-10</v>
      </c>
      <c r="AC186" t="str">
        <f t="shared" si="30"/>
        <v>Q3-2025</v>
      </c>
      <c r="AD186" s="5">
        <f t="shared" si="31"/>
        <v>59</v>
      </c>
      <c r="AE186" t="str">
        <f t="shared" si="32"/>
        <v>Lost</v>
      </c>
    </row>
    <row r="187" spans="1:31">
      <c r="A187" t="s">
        <v>289</v>
      </c>
      <c r="B187" s="1">
        <v>45979</v>
      </c>
      <c r="C187" t="s">
        <v>148</v>
      </c>
      <c r="D187" t="s">
        <v>43</v>
      </c>
      <c r="E187" t="s">
        <v>98</v>
      </c>
      <c r="F187" t="s">
        <v>45</v>
      </c>
      <c r="G187" t="s">
        <v>99</v>
      </c>
      <c r="H187" t="s">
        <v>53</v>
      </c>
      <c r="I187" t="s">
        <v>48</v>
      </c>
      <c r="J187" s="1">
        <v>46187</v>
      </c>
      <c r="K187" s="1"/>
      <c r="L187" s="3">
        <v>47400</v>
      </c>
      <c r="M187" s="4">
        <v>0</v>
      </c>
      <c r="N187" s="4">
        <v>0.85</v>
      </c>
      <c r="P187">
        <v>5</v>
      </c>
      <c r="Q187" t="str">
        <f>IFERROR(VLOOKUP(E187,Lookups!$A$5:$B$24,2,FALSE),"Other")</f>
        <v>Outbound</v>
      </c>
      <c r="R187" t="str">
        <f>IFERROR(VLOOKUP(F187,Lookups!$D$5:$F$10,2,FALSE),"Unknown Product")</f>
        <v>Service Cloud</v>
      </c>
      <c r="S187" t="str">
        <f>IFERROR(VLOOKUP(F187,Lookups!$D$5:$F$10,3,FALSE),"Unknown")</f>
        <v>Customer Service</v>
      </c>
      <c r="T187" t="str">
        <f t="shared" si="22"/>
        <v>Mid-Market</v>
      </c>
      <c r="U187" t="str">
        <f t="shared" si="23"/>
        <v>Open</v>
      </c>
      <c r="V187" s="3">
        <f t="shared" si="24"/>
        <v>0</v>
      </c>
      <c r="W187" s="3">
        <f t="shared" si="25"/>
        <v>40290</v>
      </c>
      <c r="X187" s="5" t="str">
        <f t="shared" si="26"/>
        <v/>
      </c>
      <c r="Y187" s="5">
        <f>IF(U187="Open",Lookups!$B$2-B187,X187)</f>
        <v>287</v>
      </c>
      <c r="Z187" t="str">
        <f t="shared" si="27"/>
        <v>STALE</v>
      </c>
      <c r="AA187" t="str">
        <f t="shared" si="28"/>
        <v>2025-11</v>
      </c>
      <c r="AB187" t="str">
        <f t="shared" si="29"/>
        <v/>
      </c>
      <c r="AC187" t="str">
        <f t="shared" si="30"/>
        <v>Q4-2025</v>
      </c>
      <c r="AD187" s="5">
        <f t="shared" si="31"/>
        <v>59</v>
      </c>
      <c r="AE187" t="str">
        <f t="shared" si="32"/>
        <v>Commit</v>
      </c>
    </row>
    <row r="188" spans="1:31">
      <c r="A188" t="s">
        <v>290</v>
      </c>
      <c r="B188" s="1">
        <v>46025</v>
      </c>
      <c r="C188" t="s">
        <v>90</v>
      </c>
      <c r="D188" t="s">
        <v>57</v>
      </c>
      <c r="E188" t="s">
        <v>138</v>
      </c>
      <c r="F188" t="s">
        <v>59</v>
      </c>
      <c r="G188" t="s">
        <v>60</v>
      </c>
      <c r="H188" t="s">
        <v>84</v>
      </c>
      <c r="I188" t="s">
        <v>77</v>
      </c>
      <c r="J188" s="1">
        <v>46099</v>
      </c>
      <c r="K188" s="1">
        <v>46099</v>
      </c>
      <c r="L188" s="3">
        <v>69100</v>
      </c>
      <c r="M188" s="4">
        <v>0.12</v>
      </c>
      <c r="N188" s="4">
        <v>1</v>
      </c>
      <c r="P188">
        <v>6</v>
      </c>
      <c r="Q188" t="str">
        <f>IFERROR(VLOOKUP(E188,Lookups!$A$5:$B$24,2,FALSE),"Other")</f>
        <v>Organic Search</v>
      </c>
      <c r="R188" t="str">
        <f>IFERROR(VLOOKUP(F188,Lookups!$D$5:$F$10,2,FALSE),"Unknown Product")</f>
        <v>NexaCRM Pro</v>
      </c>
      <c r="S188" t="str">
        <f>IFERROR(VLOOKUP(F188,Lookups!$D$5:$F$10,3,FALSE),"Unknown")</f>
        <v>CRM</v>
      </c>
      <c r="T188" t="str">
        <f t="shared" si="22"/>
        <v>Enterprise</v>
      </c>
      <c r="U188" t="str">
        <f t="shared" si="23"/>
        <v>Won</v>
      </c>
      <c r="V188" s="3">
        <f t="shared" si="24"/>
        <v>60808</v>
      </c>
      <c r="W188" s="3">
        <f t="shared" si="25"/>
        <v>0</v>
      </c>
      <c r="X188" s="5">
        <f t="shared" si="26"/>
        <v>74</v>
      </c>
      <c r="Y188" s="5">
        <f>IF(U188="Open",Lookups!$B$2-B188,X188)</f>
        <v>74</v>
      </c>
      <c r="Z188" t="str">
        <f t="shared" si="27"/>
        <v>OK</v>
      </c>
      <c r="AA188" t="str">
        <f t="shared" si="28"/>
        <v>2026-01</v>
      </c>
      <c r="AB188" t="str">
        <f t="shared" si="29"/>
        <v>2026-03</v>
      </c>
      <c r="AC188" t="str">
        <f t="shared" si="30"/>
        <v>Q1-2026</v>
      </c>
      <c r="AD188" s="5">
        <f t="shared" si="31"/>
        <v>80</v>
      </c>
      <c r="AE188" t="str">
        <f t="shared" si="32"/>
        <v>Won</v>
      </c>
    </row>
    <row r="189" spans="1:31">
      <c r="A189" t="s">
        <v>291</v>
      </c>
      <c r="B189" s="1">
        <v>46038</v>
      </c>
      <c r="C189" t="s">
        <v>56</v>
      </c>
      <c r="D189" t="s">
        <v>57</v>
      </c>
      <c r="E189" t="s">
        <v>96</v>
      </c>
      <c r="F189" t="s">
        <v>133</v>
      </c>
      <c r="G189" t="s">
        <v>46</v>
      </c>
      <c r="H189" t="s">
        <v>47</v>
      </c>
      <c r="I189" t="s">
        <v>61</v>
      </c>
      <c r="J189" s="1">
        <v>46077</v>
      </c>
      <c r="K189" s="1">
        <v>46077</v>
      </c>
      <c r="L189" s="3">
        <v>26600</v>
      </c>
      <c r="M189" s="4">
        <v>0</v>
      </c>
      <c r="N189" s="4">
        <v>0</v>
      </c>
      <c r="O189" t="s">
        <v>116</v>
      </c>
      <c r="P189">
        <v>4</v>
      </c>
      <c r="Q189" t="str">
        <f>IFERROR(VLOOKUP(E189,Lookups!$A$5:$B$24,2,FALSE),"Other")</f>
        <v>LinkedIn</v>
      </c>
      <c r="R189" t="str">
        <f>IFERROR(VLOOKUP(F189,Lookups!$D$5:$F$10,2,FALSE),"Unknown Product")</f>
        <v>Analytics Plus</v>
      </c>
      <c r="S189" t="str">
        <f>IFERROR(VLOOKUP(F189,Lookups!$D$5:$F$10,3,FALSE),"Unknown")</f>
        <v>Analytics</v>
      </c>
      <c r="T189" t="str">
        <f t="shared" si="22"/>
        <v>Mid-Market</v>
      </c>
      <c r="U189" t="str">
        <f t="shared" si="23"/>
        <v>Lost</v>
      </c>
      <c r="V189" s="3">
        <f t="shared" si="24"/>
        <v>0</v>
      </c>
      <c r="W189" s="3">
        <f t="shared" si="25"/>
        <v>0</v>
      </c>
      <c r="X189" s="5">
        <f t="shared" si="26"/>
        <v>39</v>
      </c>
      <c r="Y189" s="5">
        <f>IF(U189="Open",Lookups!$B$2-B189,X189)</f>
        <v>39</v>
      </c>
      <c r="Z189" t="str">
        <f t="shared" si="27"/>
        <v>OK</v>
      </c>
      <c r="AA189" t="str">
        <f t="shared" si="28"/>
        <v>2026-01</v>
      </c>
      <c r="AB189" t="str">
        <f t="shared" si="29"/>
        <v>2026-02</v>
      </c>
      <c r="AC189" t="str">
        <f t="shared" si="30"/>
        <v>Q1-2026</v>
      </c>
      <c r="AD189" s="5">
        <f t="shared" si="31"/>
        <v>51</v>
      </c>
      <c r="AE189" t="str">
        <f t="shared" si="32"/>
        <v>Lost</v>
      </c>
    </row>
    <row r="190" spans="1:31">
      <c r="A190" t="s">
        <v>292</v>
      </c>
      <c r="B190" s="1">
        <v>46014</v>
      </c>
      <c r="C190" t="s">
        <v>56</v>
      </c>
      <c r="D190" t="s">
        <v>57</v>
      </c>
      <c r="E190" t="s">
        <v>138</v>
      </c>
      <c r="F190" t="s">
        <v>133</v>
      </c>
      <c r="G190" t="s">
        <v>60</v>
      </c>
      <c r="H190" t="s">
        <v>47</v>
      </c>
      <c r="I190" t="s">
        <v>61</v>
      </c>
      <c r="J190" s="1">
        <v>46066</v>
      </c>
      <c r="K190" s="1">
        <v>46066</v>
      </c>
      <c r="L190" s="3">
        <v>13300</v>
      </c>
      <c r="M190" s="4">
        <v>0</v>
      </c>
      <c r="N190" s="4">
        <v>0</v>
      </c>
      <c r="O190" t="s">
        <v>102</v>
      </c>
      <c r="P190">
        <v>4</v>
      </c>
      <c r="Q190" t="str">
        <f>IFERROR(VLOOKUP(E190,Lookups!$A$5:$B$24,2,FALSE),"Other")</f>
        <v>Organic Search</v>
      </c>
      <c r="R190" t="str">
        <f>IFERROR(VLOOKUP(F190,Lookups!$D$5:$F$10,2,FALSE),"Unknown Product")</f>
        <v>Analytics Plus</v>
      </c>
      <c r="S190" t="str">
        <f>IFERROR(VLOOKUP(F190,Lookups!$D$5:$F$10,3,FALSE),"Unknown")</f>
        <v>Analytics</v>
      </c>
      <c r="T190" t="str">
        <f t="shared" si="22"/>
        <v>SMB</v>
      </c>
      <c r="U190" t="str">
        <f t="shared" si="23"/>
        <v>Lost</v>
      </c>
      <c r="V190" s="3">
        <f t="shared" si="24"/>
        <v>0</v>
      </c>
      <c r="W190" s="3">
        <f t="shared" si="25"/>
        <v>0</v>
      </c>
      <c r="X190" s="5">
        <f t="shared" si="26"/>
        <v>52</v>
      </c>
      <c r="Y190" s="5">
        <f>IF(U190="Open",Lookups!$B$2-B190,X190)</f>
        <v>52</v>
      </c>
      <c r="Z190" t="str">
        <f t="shared" si="27"/>
        <v>OK</v>
      </c>
      <c r="AA190" t="str">
        <f t="shared" si="28"/>
        <v>2025-12</v>
      </c>
      <c r="AB190" t="str">
        <f t="shared" si="29"/>
        <v>2026-02</v>
      </c>
      <c r="AC190" t="str">
        <f t="shared" si="30"/>
        <v>Q4-2025</v>
      </c>
      <c r="AD190" s="5">
        <f t="shared" si="31"/>
        <v>49</v>
      </c>
      <c r="AE190" t="str">
        <f t="shared" si="32"/>
        <v>Lost</v>
      </c>
    </row>
    <row r="191" spans="1:31">
      <c r="A191" t="s">
        <v>293</v>
      </c>
      <c r="B191" s="1">
        <v>45686</v>
      </c>
      <c r="C191" t="s">
        <v>56</v>
      </c>
      <c r="D191" t="s">
        <v>57</v>
      </c>
      <c r="E191" t="s">
        <v>83</v>
      </c>
      <c r="F191" t="s">
        <v>59</v>
      </c>
      <c r="G191" t="s">
        <v>76</v>
      </c>
      <c r="H191" t="s">
        <v>53</v>
      </c>
      <c r="I191" t="s">
        <v>61</v>
      </c>
      <c r="J191" s="1">
        <v>45738</v>
      </c>
      <c r="K191" s="1">
        <v>45738</v>
      </c>
      <c r="L191" s="3">
        <v>35500</v>
      </c>
      <c r="M191" s="4">
        <v>0</v>
      </c>
      <c r="N191" s="4">
        <v>0</v>
      </c>
      <c r="O191" t="s">
        <v>102</v>
      </c>
      <c r="P191">
        <v>3</v>
      </c>
      <c r="Q191" t="str">
        <f>IFERROR(VLOOKUP(E191,Lookups!$A$5:$B$24,2,FALSE),"Other")</f>
        <v>Organic Search</v>
      </c>
      <c r="R191" t="str">
        <f>IFERROR(VLOOKUP(F191,Lookups!$D$5:$F$10,2,FALSE),"Unknown Product")</f>
        <v>NexaCRM Pro</v>
      </c>
      <c r="S191" t="str">
        <f>IFERROR(VLOOKUP(F191,Lookups!$D$5:$F$10,3,FALSE),"Unknown")</f>
        <v>CRM</v>
      </c>
      <c r="T191" t="str">
        <f t="shared" si="22"/>
        <v>Mid-Market</v>
      </c>
      <c r="U191" t="str">
        <f t="shared" si="23"/>
        <v>Lost</v>
      </c>
      <c r="V191" s="3">
        <f t="shared" si="24"/>
        <v>0</v>
      </c>
      <c r="W191" s="3">
        <f t="shared" si="25"/>
        <v>0</v>
      </c>
      <c r="X191" s="5">
        <f t="shared" si="26"/>
        <v>52</v>
      </c>
      <c r="Y191" s="5">
        <f>IF(U191="Open",Lookups!$B$2-B191,X191)</f>
        <v>52</v>
      </c>
      <c r="Z191" t="str">
        <f t="shared" si="27"/>
        <v>OK</v>
      </c>
      <c r="AA191" t="str">
        <f t="shared" si="28"/>
        <v>2025-01</v>
      </c>
      <c r="AB191" t="str">
        <f t="shared" si="29"/>
        <v>2025-03</v>
      </c>
      <c r="AC191" t="str">
        <f t="shared" si="30"/>
        <v>Q1-2025</v>
      </c>
      <c r="AD191" s="5">
        <f t="shared" si="31"/>
        <v>65</v>
      </c>
      <c r="AE191" t="str">
        <f t="shared" si="32"/>
        <v>Lost</v>
      </c>
    </row>
    <row r="192" spans="1:31">
      <c r="A192" t="s">
        <v>294</v>
      </c>
      <c r="B192" s="1">
        <v>46022</v>
      </c>
      <c r="C192" t="s">
        <v>42</v>
      </c>
      <c r="D192" t="s">
        <v>43</v>
      </c>
      <c r="E192" t="s">
        <v>51</v>
      </c>
      <c r="F192" t="s">
        <v>67</v>
      </c>
      <c r="G192" t="s">
        <v>76</v>
      </c>
      <c r="H192" t="s">
        <v>53</v>
      </c>
      <c r="I192" t="s">
        <v>61</v>
      </c>
      <c r="J192" s="1">
        <v>46063</v>
      </c>
      <c r="K192" s="1">
        <v>46063</v>
      </c>
      <c r="L192" s="3">
        <v>83900</v>
      </c>
      <c r="M192" s="4">
        <v>0</v>
      </c>
      <c r="N192" s="4">
        <v>0</v>
      </c>
      <c r="O192" t="s">
        <v>110</v>
      </c>
      <c r="P192">
        <v>4</v>
      </c>
      <c r="Q192" t="str">
        <f>IFERROR(VLOOKUP(E192,Lookups!$A$5:$B$24,2,FALSE),"Other")</f>
        <v>Paid Search</v>
      </c>
      <c r="R192" t="str">
        <f>IFERROR(VLOOKUP(F192,Lookups!$D$5:$F$10,2,FALSE),"Unknown Product")</f>
        <v>Revenue Operations Suite</v>
      </c>
      <c r="S192" t="str">
        <f>IFERROR(VLOOKUP(F192,Lookups!$D$5:$F$10,3,FALSE),"Unknown")</f>
        <v>Revenue Ops</v>
      </c>
      <c r="T192" t="str">
        <f t="shared" si="22"/>
        <v>Enterprise</v>
      </c>
      <c r="U192" t="str">
        <f t="shared" si="23"/>
        <v>Lost</v>
      </c>
      <c r="V192" s="3">
        <f t="shared" si="24"/>
        <v>0</v>
      </c>
      <c r="W192" s="3">
        <f t="shared" si="25"/>
        <v>0</v>
      </c>
      <c r="X192" s="5">
        <f t="shared" si="26"/>
        <v>41</v>
      </c>
      <c r="Y192" s="5">
        <f>IF(U192="Open",Lookups!$B$2-B192,X192)</f>
        <v>41</v>
      </c>
      <c r="Z192" t="str">
        <f t="shared" si="27"/>
        <v>OK</v>
      </c>
      <c r="AA192" t="str">
        <f t="shared" si="28"/>
        <v>2025-12</v>
      </c>
      <c r="AB192" t="str">
        <f t="shared" si="29"/>
        <v>2026-02</v>
      </c>
      <c r="AC192" t="str">
        <f t="shared" si="30"/>
        <v>Q4-2025</v>
      </c>
      <c r="AD192" s="5">
        <f t="shared" si="31"/>
        <v>66</v>
      </c>
      <c r="AE192" t="str">
        <f t="shared" si="32"/>
        <v>Lost</v>
      </c>
    </row>
    <row r="193" spans="1:31">
      <c r="A193" t="s">
        <v>295</v>
      </c>
      <c r="B193" s="1">
        <v>45837</v>
      </c>
      <c r="C193" t="s">
        <v>86</v>
      </c>
      <c r="D193" t="s">
        <v>87</v>
      </c>
      <c r="E193" t="s">
        <v>138</v>
      </c>
      <c r="F193" t="s">
        <v>67</v>
      </c>
      <c r="G193" t="s">
        <v>94</v>
      </c>
      <c r="H193" t="s">
        <v>47</v>
      </c>
      <c r="I193" t="s">
        <v>61</v>
      </c>
      <c r="J193" s="1">
        <v>45888</v>
      </c>
      <c r="K193" s="1">
        <v>45888</v>
      </c>
      <c r="L193" s="3">
        <v>34900</v>
      </c>
      <c r="M193" s="4">
        <v>0</v>
      </c>
      <c r="N193" s="4">
        <v>0</v>
      </c>
      <c r="O193" t="s">
        <v>116</v>
      </c>
      <c r="P193">
        <v>5</v>
      </c>
      <c r="Q193" t="str">
        <f>IFERROR(VLOOKUP(E193,Lookups!$A$5:$B$24,2,FALSE),"Other")</f>
        <v>Organic Search</v>
      </c>
      <c r="R193" t="str">
        <f>IFERROR(VLOOKUP(F193,Lookups!$D$5:$F$10,2,FALSE),"Unknown Product")</f>
        <v>Revenue Operations Suite</v>
      </c>
      <c r="S193" t="str">
        <f>IFERROR(VLOOKUP(F193,Lookups!$D$5:$F$10,3,FALSE),"Unknown")</f>
        <v>Revenue Ops</v>
      </c>
      <c r="T193" t="str">
        <f t="shared" si="22"/>
        <v>Mid-Market</v>
      </c>
      <c r="U193" t="str">
        <f t="shared" si="23"/>
        <v>Lost</v>
      </c>
      <c r="V193" s="3">
        <f t="shared" si="24"/>
        <v>0</v>
      </c>
      <c r="W193" s="3">
        <f t="shared" si="25"/>
        <v>0</v>
      </c>
      <c r="X193" s="5">
        <f t="shared" si="26"/>
        <v>51</v>
      </c>
      <c r="Y193" s="5">
        <f>IF(U193="Open",Lookups!$B$2-B193,X193)</f>
        <v>51</v>
      </c>
      <c r="Z193" t="str">
        <f t="shared" si="27"/>
        <v>OK</v>
      </c>
      <c r="AA193" t="str">
        <f t="shared" si="28"/>
        <v>2025-06</v>
      </c>
      <c r="AB193" t="str">
        <f t="shared" si="29"/>
        <v>2025-08</v>
      </c>
      <c r="AC193" t="str">
        <f t="shared" si="30"/>
        <v>Q2-2025</v>
      </c>
      <c r="AD193" s="5">
        <f t="shared" si="31"/>
        <v>57</v>
      </c>
      <c r="AE193" t="str">
        <f t="shared" si="32"/>
        <v>Lost</v>
      </c>
    </row>
    <row r="194" spans="1:31">
      <c r="A194" t="s">
        <v>296</v>
      </c>
      <c r="B194" s="1">
        <v>45993</v>
      </c>
      <c r="C194" t="s">
        <v>90</v>
      </c>
      <c r="D194" t="s">
        <v>57</v>
      </c>
      <c r="E194" t="s">
        <v>70</v>
      </c>
      <c r="F194" t="s">
        <v>71</v>
      </c>
      <c r="G194" t="s">
        <v>112</v>
      </c>
      <c r="H194" t="s">
        <v>53</v>
      </c>
      <c r="I194" t="s">
        <v>61</v>
      </c>
      <c r="J194" s="1">
        <v>46031</v>
      </c>
      <c r="K194" s="1">
        <v>46031</v>
      </c>
      <c r="L194" s="3">
        <v>16200</v>
      </c>
      <c r="M194" s="4">
        <v>0</v>
      </c>
      <c r="N194" s="4">
        <v>0</v>
      </c>
      <c r="O194" t="s">
        <v>116</v>
      </c>
      <c r="P194">
        <v>2</v>
      </c>
      <c r="Q194" t="str">
        <f>IFERROR(VLOOKUP(E194,Lookups!$A$5:$B$24,2,FALSE),"Other")</f>
        <v>LinkedIn</v>
      </c>
      <c r="R194" t="str">
        <f>IFERROR(VLOOKUP(F194,Lookups!$D$5:$F$10,2,FALSE),"Unknown Product")</f>
        <v>Marketing Automation</v>
      </c>
      <c r="S194" t="str">
        <f>IFERROR(VLOOKUP(F194,Lookups!$D$5:$F$10,3,FALSE),"Unknown")</f>
        <v>Marketing</v>
      </c>
      <c r="T194" t="str">
        <f t="shared" ref="T194:T257" si="33">IF(L194&gt;=50000,"Enterprise",IF(L194&gt;=20000,"Mid-Market","SMB"))</f>
        <v>SMB</v>
      </c>
      <c r="U194" t="str">
        <f t="shared" ref="U194:U257" si="34">IF(I194="Closed Won","Won",IF(I194="Closed Lost","Lost","Open"))</f>
        <v>Lost</v>
      </c>
      <c r="V194" s="3">
        <f t="shared" ref="V194:V257" si="35">IF(U194="Won",L194*(1-M194),0)</f>
        <v>0</v>
      </c>
      <c r="W194" s="3">
        <f t="shared" ref="W194:W257" si="36">IF(U194="Open",L194*N194,0)</f>
        <v>0</v>
      </c>
      <c r="X194" s="5">
        <f t="shared" ref="X194:X257" si="37">IF(U194="Open","",IFERROR(K194-B194,""))</f>
        <v>38</v>
      </c>
      <c r="Y194" s="5">
        <f>IF(U194="Open",Lookups!$B$2-B194,X194)</f>
        <v>38</v>
      </c>
      <c r="Z194" t="str">
        <f t="shared" ref="Z194:Z257" si="38">IF(AND(U194="Open",Y194&gt;30),"STALE","OK")</f>
        <v>OK</v>
      </c>
      <c r="AA194" t="str">
        <f t="shared" ref="AA194:AA257" si="39">TEXT(B194,"yyyy-mm")</f>
        <v>2025-12</v>
      </c>
      <c r="AB194" t="str">
        <f t="shared" ref="AB194:AB257" si="40">IF(K194="","",TEXT(K194,"yyyy-mm"))</f>
        <v>2026-01</v>
      </c>
      <c r="AC194" t="str">
        <f t="shared" ref="AC194:AC257" si="41">"Q"&amp;ROUNDUP(MONTH(B194)/3,0)&amp;"-"&amp;YEAR(B194)</f>
        <v>Q4-2025</v>
      </c>
      <c r="AD194" s="5">
        <f t="shared" ref="AD194:AD257" si="42">MIN(100,IF(H194="Enterprise",30,IF(H194="Mid-Market",22,14))+IF(T194="Enterprise",25,IF(T194="Mid-Market",18,10))+IF(Q194="Referral",25,IF(Q194="Organic Search",20,IF(Q194="Email",18,14)))+IF(G194="Technology",10,5))</f>
        <v>56</v>
      </c>
      <c r="AE194" t="str">
        <f t="shared" ref="AE194:AE257" si="43">IF(U194&lt;&gt;"Open",U194,IF(N194&gt;=0.8,"Commit",IF(N194&gt;=0.5,"Best Case","Pipeline")))</f>
        <v>Lost</v>
      </c>
    </row>
    <row r="195" spans="1:31">
      <c r="A195" t="s">
        <v>297</v>
      </c>
      <c r="B195" s="1">
        <v>46226</v>
      </c>
      <c r="C195" t="s">
        <v>69</v>
      </c>
      <c r="D195" t="s">
        <v>57</v>
      </c>
      <c r="E195" t="s">
        <v>160</v>
      </c>
      <c r="F195" t="s">
        <v>52</v>
      </c>
      <c r="G195" t="s">
        <v>99</v>
      </c>
      <c r="H195" t="s">
        <v>84</v>
      </c>
      <c r="I195" t="s">
        <v>77</v>
      </c>
      <c r="J195" s="1">
        <v>46266</v>
      </c>
      <c r="K195" s="1">
        <v>46266</v>
      </c>
      <c r="L195" s="3">
        <v>17800</v>
      </c>
      <c r="M195" s="4">
        <v>0.1</v>
      </c>
      <c r="N195" s="4">
        <v>1</v>
      </c>
      <c r="P195">
        <v>6</v>
      </c>
      <c r="Q195" t="str">
        <f>IFERROR(VLOOKUP(E195,Lookups!$A$5:$B$24,2,FALSE),"Other")</f>
        <v>Email</v>
      </c>
      <c r="R195" t="str">
        <f>IFERROR(VLOOKUP(F195,Lookups!$D$5:$F$10,2,FALSE),"Unknown Product")</f>
        <v>NexaCRM Core</v>
      </c>
      <c r="S195" t="str">
        <f>IFERROR(VLOOKUP(F195,Lookups!$D$5:$F$10,3,FALSE),"Unknown")</f>
        <v>CRM</v>
      </c>
      <c r="T195" t="str">
        <f t="shared" si="33"/>
        <v>SMB</v>
      </c>
      <c r="U195" t="str">
        <f t="shared" si="34"/>
        <v>Won</v>
      </c>
      <c r="V195" s="3">
        <f t="shared" si="35"/>
        <v>16020</v>
      </c>
      <c r="W195" s="3">
        <f t="shared" si="36"/>
        <v>0</v>
      </c>
      <c r="X195" s="5">
        <f t="shared" si="37"/>
        <v>40</v>
      </c>
      <c r="Y195" s="5">
        <f>IF(U195="Open",Lookups!$B$2-B195,X195)</f>
        <v>40</v>
      </c>
      <c r="Z195" t="str">
        <f t="shared" si="38"/>
        <v>OK</v>
      </c>
      <c r="AA195" t="str">
        <f t="shared" si="39"/>
        <v>2026-07</v>
      </c>
      <c r="AB195" t="str">
        <f t="shared" si="40"/>
        <v>2026-09</v>
      </c>
      <c r="AC195" t="str">
        <f t="shared" si="41"/>
        <v>Q3-2026</v>
      </c>
      <c r="AD195" s="5">
        <f t="shared" si="42"/>
        <v>63</v>
      </c>
      <c r="AE195" t="str">
        <f t="shared" si="43"/>
        <v>Won</v>
      </c>
    </row>
    <row r="196" spans="1:31">
      <c r="A196" t="s">
        <v>298</v>
      </c>
      <c r="B196" s="1">
        <v>46170</v>
      </c>
      <c r="C196" t="s">
        <v>42</v>
      </c>
      <c r="D196" t="s">
        <v>43</v>
      </c>
      <c r="E196" t="s">
        <v>127</v>
      </c>
      <c r="F196" t="s">
        <v>52</v>
      </c>
      <c r="G196" t="s">
        <v>76</v>
      </c>
      <c r="H196" t="s">
        <v>47</v>
      </c>
      <c r="I196" t="s">
        <v>54</v>
      </c>
      <c r="J196" s="1">
        <v>46233</v>
      </c>
      <c r="K196" s="1"/>
      <c r="L196" s="3">
        <v>5000</v>
      </c>
      <c r="M196" s="4">
        <v>0</v>
      </c>
      <c r="N196" s="4">
        <v>0.65</v>
      </c>
      <c r="P196">
        <v>4</v>
      </c>
      <c r="Q196" t="str">
        <f>IFERROR(VLOOKUP(E196,Lookups!$A$5:$B$24,2,FALSE),"Other")</f>
        <v>Paid Search</v>
      </c>
      <c r="R196" t="str">
        <f>IFERROR(VLOOKUP(F196,Lookups!$D$5:$F$10,2,FALSE),"Unknown Product")</f>
        <v>NexaCRM Core</v>
      </c>
      <c r="S196" t="str">
        <f>IFERROR(VLOOKUP(F196,Lookups!$D$5:$F$10,3,FALSE),"Unknown")</f>
        <v>CRM</v>
      </c>
      <c r="T196" t="str">
        <f t="shared" si="33"/>
        <v>SMB</v>
      </c>
      <c r="U196" t="str">
        <f t="shared" si="34"/>
        <v>Open</v>
      </c>
      <c r="V196" s="3">
        <f t="shared" si="35"/>
        <v>0</v>
      </c>
      <c r="W196" s="3">
        <f t="shared" si="36"/>
        <v>3250</v>
      </c>
      <c r="X196" s="5" t="str">
        <f t="shared" si="37"/>
        <v/>
      </c>
      <c r="Y196" s="5">
        <f>IF(U196="Open",Lookups!$B$2-B196,X196)</f>
        <v>96</v>
      </c>
      <c r="Z196" t="str">
        <f t="shared" si="38"/>
        <v>STALE</v>
      </c>
      <c r="AA196" t="str">
        <f t="shared" si="39"/>
        <v>2026-05</v>
      </c>
      <c r="AB196" t="str">
        <f t="shared" si="40"/>
        <v/>
      </c>
      <c r="AC196" t="str">
        <f t="shared" si="41"/>
        <v>Q2-2026</v>
      </c>
      <c r="AD196" s="5">
        <f t="shared" si="42"/>
        <v>43</v>
      </c>
      <c r="AE196" t="str">
        <f t="shared" si="43"/>
        <v>Best Case</v>
      </c>
    </row>
    <row r="197" spans="1:31">
      <c r="A197" t="s">
        <v>299</v>
      </c>
      <c r="B197" s="1">
        <v>46124</v>
      </c>
      <c r="C197" t="s">
        <v>64</v>
      </c>
      <c r="D197" t="s">
        <v>57</v>
      </c>
      <c r="E197" t="s">
        <v>44</v>
      </c>
      <c r="F197" t="s">
        <v>52</v>
      </c>
      <c r="G197" t="s">
        <v>46</v>
      </c>
      <c r="H197" t="s">
        <v>53</v>
      </c>
      <c r="I197" t="s">
        <v>77</v>
      </c>
      <c r="J197" s="1">
        <v>46149</v>
      </c>
      <c r="K197" s="1">
        <v>46149</v>
      </c>
      <c r="L197" s="3">
        <v>16900</v>
      </c>
      <c r="M197" s="4">
        <v>0.12</v>
      </c>
      <c r="N197" s="4">
        <v>1</v>
      </c>
      <c r="P197">
        <v>6</v>
      </c>
      <c r="Q197" t="str">
        <f>IFERROR(VLOOKUP(E197,Lookups!$A$5:$B$24,2,FALSE),"Other")</f>
        <v>Organic Search</v>
      </c>
      <c r="R197" t="str">
        <f>IFERROR(VLOOKUP(F197,Lookups!$D$5:$F$10,2,FALSE),"Unknown Product")</f>
        <v>NexaCRM Core</v>
      </c>
      <c r="S197" t="str">
        <f>IFERROR(VLOOKUP(F197,Lookups!$D$5:$F$10,3,FALSE),"Unknown")</f>
        <v>CRM</v>
      </c>
      <c r="T197" t="str">
        <f t="shared" si="33"/>
        <v>SMB</v>
      </c>
      <c r="U197" t="str">
        <f t="shared" si="34"/>
        <v>Won</v>
      </c>
      <c r="V197" s="3">
        <f t="shared" si="35"/>
        <v>14872</v>
      </c>
      <c r="W197" s="3">
        <f t="shared" si="36"/>
        <v>0</v>
      </c>
      <c r="X197" s="5">
        <f t="shared" si="37"/>
        <v>25</v>
      </c>
      <c r="Y197" s="5">
        <f>IF(U197="Open",Lookups!$B$2-B197,X197)</f>
        <v>25</v>
      </c>
      <c r="Z197" t="str">
        <f t="shared" si="38"/>
        <v>OK</v>
      </c>
      <c r="AA197" t="str">
        <f t="shared" si="39"/>
        <v>2026-04</v>
      </c>
      <c r="AB197" t="str">
        <f t="shared" si="40"/>
        <v>2026-05</v>
      </c>
      <c r="AC197" t="str">
        <f t="shared" si="41"/>
        <v>Q2-2026</v>
      </c>
      <c r="AD197" s="5">
        <f t="shared" si="42"/>
        <v>57</v>
      </c>
      <c r="AE197" t="str">
        <f t="shared" si="43"/>
        <v>Won</v>
      </c>
    </row>
    <row r="198" spans="1:31">
      <c r="A198" t="s">
        <v>300</v>
      </c>
      <c r="B198" s="1">
        <v>45915</v>
      </c>
      <c r="C198" t="s">
        <v>50</v>
      </c>
      <c r="D198" t="s">
        <v>43</v>
      </c>
      <c r="E198" t="s">
        <v>92</v>
      </c>
      <c r="F198" t="s">
        <v>52</v>
      </c>
      <c r="G198" t="s">
        <v>46</v>
      </c>
      <c r="H198" t="s">
        <v>47</v>
      </c>
      <c r="I198" t="s">
        <v>48</v>
      </c>
      <c r="J198" s="1">
        <v>46190</v>
      </c>
      <c r="K198" s="1"/>
      <c r="L198" s="3">
        <v>4800</v>
      </c>
      <c r="M198" s="4">
        <v>0.03</v>
      </c>
      <c r="N198" s="4">
        <v>0.85</v>
      </c>
      <c r="P198">
        <v>5</v>
      </c>
      <c r="Q198" t="str">
        <f>IFERROR(VLOOKUP(E198,Lookups!$A$5:$B$24,2,FALSE),"Other")</f>
        <v>Webinar</v>
      </c>
      <c r="R198" t="str">
        <f>IFERROR(VLOOKUP(F198,Lookups!$D$5:$F$10,2,FALSE),"Unknown Product")</f>
        <v>NexaCRM Core</v>
      </c>
      <c r="S198" t="str">
        <f>IFERROR(VLOOKUP(F198,Lookups!$D$5:$F$10,3,FALSE),"Unknown")</f>
        <v>CRM</v>
      </c>
      <c r="T198" t="str">
        <f t="shared" si="33"/>
        <v>SMB</v>
      </c>
      <c r="U198" t="str">
        <f t="shared" si="34"/>
        <v>Open</v>
      </c>
      <c r="V198" s="3">
        <f t="shared" si="35"/>
        <v>0</v>
      </c>
      <c r="W198" s="3">
        <f t="shared" si="36"/>
        <v>4080</v>
      </c>
      <c r="X198" s="5" t="str">
        <f t="shared" si="37"/>
        <v/>
      </c>
      <c r="Y198" s="5">
        <f>IF(U198="Open",Lookups!$B$2-B198,X198)</f>
        <v>351</v>
      </c>
      <c r="Z198" t="str">
        <f t="shared" si="38"/>
        <v>STALE</v>
      </c>
      <c r="AA198" t="str">
        <f t="shared" si="39"/>
        <v>2025-09</v>
      </c>
      <c r="AB198" t="str">
        <f t="shared" si="40"/>
        <v/>
      </c>
      <c r="AC198" t="str">
        <f t="shared" si="41"/>
        <v>Q3-2025</v>
      </c>
      <c r="AD198" s="5">
        <f t="shared" si="42"/>
        <v>43</v>
      </c>
      <c r="AE198" t="str">
        <f t="shared" si="43"/>
        <v>Commit</v>
      </c>
    </row>
    <row r="199" spans="1:31">
      <c r="A199" t="s">
        <v>301</v>
      </c>
      <c r="B199" s="1">
        <v>45916</v>
      </c>
      <c r="C199" t="s">
        <v>69</v>
      </c>
      <c r="D199" t="s">
        <v>57</v>
      </c>
      <c r="E199" t="s">
        <v>160</v>
      </c>
      <c r="F199" t="s">
        <v>45</v>
      </c>
      <c r="G199" t="s">
        <v>60</v>
      </c>
      <c r="H199" t="s">
        <v>47</v>
      </c>
      <c r="I199" t="s">
        <v>48</v>
      </c>
      <c r="J199" s="1">
        <v>46148</v>
      </c>
      <c r="K199" s="1"/>
      <c r="L199" s="3">
        <v>22600</v>
      </c>
      <c r="M199" s="4">
        <v>0.05</v>
      </c>
      <c r="N199" s="4">
        <v>0.85</v>
      </c>
      <c r="P199">
        <v>5</v>
      </c>
      <c r="Q199" t="str">
        <f>IFERROR(VLOOKUP(E199,Lookups!$A$5:$B$24,2,FALSE),"Other")</f>
        <v>Email</v>
      </c>
      <c r="R199" t="str">
        <f>IFERROR(VLOOKUP(F199,Lookups!$D$5:$F$10,2,FALSE),"Unknown Product")</f>
        <v>Service Cloud</v>
      </c>
      <c r="S199" t="str">
        <f>IFERROR(VLOOKUP(F199,Lookups!$D$5:$F$10,3,FALSE),"Unknown")</f>
        <v>Customer Service</v>
      </c>
      <c r="T199" t="str">
        <f t="shared" si="33"/>
        <v>Mid-Market</v>
      </c>
      <c r="U199" t="str">
        <f t="shared" si="34"/>
        <v>Open</v>
      </c>
      <c r="V199" s="3">
        <f t="shared" si="35"/>
        <v>0</v>
      </c>
      <c r="W199" s="3">
        <f t="shared" si="36"/>
        <v>19210</v>
      </c>
      <c r="X199" s="5" t="str">
        <f t="shared" si="37"/>
        <v/>
      </c>
      <c r="Y199" s="5">
        <f>IF(U199="Open",Lookups!$B$2-B199,X199)</f>
        <v>350</v>
      </c>
      <c r="Z199" t="str">
        <f t="shared" si="38"/>
        <v>STALE</v>
      </c>
      <c r="AA199" t="str">
        <f t="shared" si="39"/>
        <v>2025-09</v>
      </c>
      <c r="AB199" t="str">
        <f t="shared" si="40"/>
        <v/>
      </c>
      <c r="AC199" t="str">
        <f t="shared" si="41"/>
        <v>Q3-2025</v>
      </c>
      <c r="AD199" s="5">
        <f t="shared" si="42"/>
        <v>55</v>
      </c>
      <c r="AE199" t="str">
        <f t="shared" si="43"/>
        <v>Commit</v>
      </c>
    </row>
    <row r="200" spans="1:31">
      <c r="A200" t="s">
        <v>302</v>
      </c>
      <c r="B200" s="1">
        <v>46200</v>
      </c>
      <c r="C200" t="s">
        <v>64</v>
      </c>
      <c r="D200" t="s">
        <v>57</v>
      </c>
      <c r="E200" t="s">
        <v>70</v>
      </c>
      <c r="F200" t="s">
        <v>45</v>
      </c>
      <c r="G200" t="s">
        <v>99</v>
      </c>
      <c r="H200" t="s">
        <v>84</v>
      </c>
      <c r="I200" t="s">
        <v>61</v>
      </c>
      <c r="J200" s="1">
        <v>46254</v>
      </c>
      <c r="K200" s="1">
        <v>46254</v>
      </c>
      <c r="L200" s="3">
        <v>80800</v>
      </c>
      <c r="M200" s="4">
        <v>0</v>
      </c>
      <c r="N200" s="4">
        <v>0</v>
      </c>
      <c r="O200" t="s">
        <v>79</v>
      </c>
      <c r="P200">
        <v>3</v>
      </c>
      <c r="Q200" t="str">
        <f>IFERROR(VLOOKUP(E200,Lookups!$A$5:$B$24,2,FALSE),"Other")</f>
        <v>LinkedIn</v>
      </c>
      <c r="R200" t="str">
        <f>IFERROR(VLOOKUP(F200,Lookups!$D$5:$F$10,2,FALSE),"Unknown Product")</f>
        <v>Service Cloud</v>
      </c>
      <c r="S200" t="str">
        <f>IFERROR(VLOOKUP(F200,Lookups!$D$5:$F$10,3,FALSE),"Unknown")</f>
        <v>Customer Service</v>
      </c>
      <c r="T200" t="str">
        <f t="shared" si="33"/>
        <v>Enterprise</v>
      </c>
      <c r="U200" t="str">
        <f t="shared" si="34"/>
        <v>Lost</v>
      </c>
      <c r="V200" s="3">
        <f t="shared" si="35"/>
        <v>0</v>
      </c>
      <c r="W200" s="3">
        <f t="shared" si="36"/>
        <v>0</v>
      </c>
      <c r="X200" s="5">
        <f t="shared" si="37"/>
        <v>54</v>
      </c>
      <c r="Y200" s="5">
        <f>IF(U200="Open",Lookups!$B$2-B200,X200)</f>
        <v>54</v>
      </c>
      <c r="Z200" t="str">
        <f t="shared" si="38"/>
        <v>OK</v>
      </c>
      <c r="AA200" t="str">
        <f t="shared" si="39"/>
        <v>2026-06</v>
      </c>
      <c r="AB200" t="str">
        <f t="shared" si="40"/>
        <v>2026-08</v>
      </c>
      <c r="AC200" t="str">
        <f t="shared" si="41"/>
        <v>Q2-2026</v>
      </c>
      <c r="AD200" s="5">
        <f t="shared" si="42"/>
        <v>74</v>
      </c>
      <c r="AE200" t="str">
        <f t="shared" si="43"/>
        <v>Lost</v>
      </c>
    </row>
    <row r="201" spans="1:31">
      <c r="A201" t="s">
        <v>303</v>
      </c>
      <c r="B201" s="1">
        <v>45939</v>
      </c>
      <c r="C201" t="s">
        <v>64</v>
      </c>
      <c r="D201" t="s">
        <v>57</v>
      </c>
      <c r="E201" t="s">
        <v>127</v>
      </c>
      <c r="F201" t="s">
        <v>45</v>
      </c>
      <c r="G201" t="s">
        <v>76</v>
      </c>
      <c r="H201" t="s">
        <v>47</v>
      </c>
      <c r="I201" t="s">
        <v>61</v>
      </c>
      <c r="J201" s="1">
        <v>45995</v>
      </c>
      <c r="K201" s="1">
        <v>45995</v>
      </c>
      <c r="L201" s="3">
        <v>13300</v>
      </c>
      <c r="M201" s="4">
        <v>0</v>
      </c>
      <c r="N201" s="4">
        <v>0</v>
      </c>
      <c r="O201" t="s">
        <v>102</v>
      </c>
      <c r="P201">
        <v>4</v>
      </c>
      <c r="Q201" t="str">
        <f>IFERROR(VLOOKUP(E201,Lookups!$A$5:$B$24,2,FALSE),"Other")</f>
        <v>Paid Search</v>
      </c>
      <c r="R201" t="str">
        <f>IFERROR(VLOOKUP(F201,Lookups!$D$5:$F$10,2,FALSE),"Unknown Product")</f>
        <v>Service Cloud</v>
      </c>
      <c r="S201" t="str">
        <f>IFERROR(VLOOKUP(F201,Lookups!$D$5:$F$10,3,FALSE),"Unknown")</f>
        <v>Customer Service</v>
      </c>
      <c r="T201" t="str">
        <f t="shared" si="33"/>
        <v>SMB</v>
      </c>
      <c r="U201" t="str">
        <f t="shared" si="34"/>
        <v>Lost</v>
      </c>
      <c r="V201" s="3">
        <f t="shared" si="35"/>
        <v>0</v>
      </c>
      <c r="W201" s="3">
        <f t="shared" si="36"/>
        <v>0</v>
      </c>
      <c r="X201" s="5">
        <f t="shared" si="37"/>
        <v>56</v>
      </c>
      <c r="Y201" s="5">
        <f>IF(U201="Open",Lookups!$B$2-B201,X201)</f>
        <v>56</v>
      </c>
      <c r="Z201" t="str">
        <f t="shared" si="38"/>
        <v>OK</v>
      </c>
      <c r="AA201" t="str">
        <f t="shared" si="39"/>
        <v>2025-10</v>
      </c>
      <c r="AB201" t="str">
        <f t="shared" si="40"/>
        <v>2025-12</v>
      </c>
      <c r="AC201" t="str">
        <f t="shared" si="41"/>
        <v>Q4-2025</v>
      </c>
      <c r="AD201" s="5">
        <f t="shared" si="42"/>
        <v>43</v>
      </c>
      <c r="AE201" t="str">
        <f t="shared" si="43"/>
        <v>Lost</v>
      </c>
    </row>
    <row r="202" spans="1:31">
      <c r="A202" t="s">
        <v>304</v>
      </c>
      <c r="B202" s="1">
        <v>46076</v>
      </c>
      <c r="C202" t="s">
        <v>42</v>
      </c>
      <c r="D202" t="s">
        <v>43</v>
      </c>
      <c r="E202" t="s">
        <v>51</v>
      </c>
      <c r="F202" t="s">
        <v>52</v>
      </c>
      <c r="G202" t="s">
        <v>99</v>
      </c>
      <c r="H202" t="s">
        <v>47</v>
      </c>
      <c r="I202" t="s">
        <v>77</v>
      </c>
      <c r="J202" s="1">
        <v>46134</v>
      </c>
      <c r="K202" s="1">
        <v>46134</v>
      </c>
      <c r="L202" s="3">
        <v>7900</v>
      </c>
      <c r="M202" s="4">
        <v>0.12</v>
      </c>
      <c r="N202" s="4">
        <v>1</v>
      </c>
      <c r="P202">
        <v>6</v>
      </c>
      <c r="Q202" t="str">
        <f>IFERROR(VLOOKUP(E202,Lookups!$A$5:$B$24,2,FALSE),"Other")</f>
        <v>Paid Search</v>
      </c>
      <c r="R202" t="str">
        <f>IFERROR(VLOOKUP(F202,Lookups!$D$5:$F$10,2,FALSE),"Unknown Product")</f>
        <v>NexaCRM Core</v>
      </c>
      <c r="S202" t="str">
        <f>IFERROR(VLOOKUP(F202,Lookups!$D$5:$F$10,3,FALSE),"Unknown")</f>
        <v>CRM</v>
      </c>
      <c r="T202" t="str">
        <f t="shared" si="33"/>
        <v>SMB</v>
      </c>
      <c r="U202" t="str">
        <f t="shared" si="34"/>
        <v>Won</v>
      </c>
      <c r="V202" s="3">
        <f t="shared" si="35"/>
        <v>6952</v>
      </c>
      <c r="W202" s="3">
        <f t="shared" si="36"/>
        <v>0</v>
      </c>
      <c r="X202" s="5">
        <f t="shared" si="37"/>
        <v>58</v>
      </c>
      <c r="Y202" s="5">
        <f>IF(U202="Open",Lookups!$B$2-B202,X202)</f>
        <v>58</v>
      </c>
      <c r="Z202" t="str">
        <f t="shared" si="38"/>
        <v>OK</v>
      </c>
      <c r="AA202" t="str">
        <f t="shared" si="39"/>
        <v>2026-02</v>
      </c>
      <c r="AB202" t="str">
        <f t="shared" si="40"/>
        <v>2026-04</v>
      </c>
      <c r="AC202" t="str">
        <f t="shared" si="41"/>
        <v>Q1-2026</v>
      </c>
      <c r="AD202" s="5">
        <f t="shared" si="42"/>
        <v>43</v>
      </c>
      <c r="AE202" t="str">
        <f t="shared" si="43"/>
        <v>Won</v>
      </c>
    </row>
    <row r="203" spans="1:31">
      <c r="A203" t="s">
        <v>305</v>
      </c>
      <c r="B203" s="1">
        <v>45855</v>
      </c>
      <c r="C203" t="s">
        <v>148</v>
      </c>
      <c r="D203" t="s">
        <v>43</v>
      </c>
      <c r="E203" t="s">
        <v>109</v>
      </c>
      <c r="F203" t="s">
        <v>133</v>
      </c>
      <c r="G203" t="s">
        <v>46</v>
      </c>
      <c r="H203" t="s">
        <v>53</v>
      </c>
      <c r="I203" t="s">
        <v>48</v>
      </c>
      <c r="J203" s="1">
        <v>46072</v>
      </c>
      <c r="K203" s="1"/>
      <c r="L203" s="3">
        <v>37300</v>
      </c>
      <c r="M203" s="4">
        <v>0.03</v>
      </c>
      <c r="N203" s="4">
        <v>0.85</v>
      </c>
      <c r="P203">
        <v>5</v>
      </c>
      <c r="Q203" t="str">
        <f>IFERROR(VLOOKUP(E203,Lookups!$A$5:$B$24,2,FALSE),"Other")</f>
        <v>Outbound</v>
      </c>
      <c r="R203" t="str">
        <f>IFERROR(VLOOKUP(F203,Lookups!$D$5:$F$10,2,FALSE),"Unknown Product")</f>
        <v>Analytics Plus</v>
      </c>
      <c r="S203" t="str">
        <f>IFERROR(VLOOKUP(F203,Lookups!$D$5:$F$10,3,FALSE),"Unknown")</f>
        <v>Analytics</v>
      </c>
      <c r="T203" t="str">
        <f t="shared" si="33"/>
        <v>Mid-Market</v>
      </c>
      <c r="U203" t="str">
        <f t="shared" si="34"/>
        <v>Open</v>
      </c>
      <c r="V203" s="3">
        <f t="shared" si="35"/>
        <v>0</v>
      </c>
      <c r="W203" s="3">
        <f t="shared" si="36"/>
        <v>31705</v>
      </c>
      <c r="X203" s="5" t="str">
        <f t="shared" si="37"/>
        <v/>
      </c>
      <c r="Y203" s="5">
        <f>IF(U203="Open",Lookups!$B$2-B203,X203)</f>
        <v>411</v>
      </c>
      <c r="Z203" t="str">
        <f t="shared" si="38"/>
        <v>STALE</v>
      </c>
      <c r="AA203" t="str">
        <f t="shared" si="39"/>
        <v>2025-07</v>
      </c>
      <c r="AB203" t="str">
        <f t="shared" si="40"/>
        <v/>
      </c>
      <c r="AC203" t="str">
        <f t="shared" si="41"/>
        <v>Q3-2025</v>
      </c>
      <c r="AD203" s="5">
        <f t="shared" si="42"/>
        <v>59</v>
      </c>
      <c r="AE203" t="str">
        <f t="shared" si="43"/>
        <v>Commit</v>
      </c>
    </row>
    <row r="204" spans="1:31">
      <c r="A204" t="s">
        <v>306</v>
      </c>
      <c r="B204" s="1">
        <v>45735</v>
      </c>
      <c r="C204" t="s">
        <v>90</v>
      </c>
      <c r="D204" t="s">
        <v>57</v>
      </c>
      <c r="E204" t="s">
        <v>160</v>
      </c>
      <c r="F204" t="s">
        <v>71</v>
      </c>
      <c r="G204" t="s">
        <v>76</v>
      </c>
      <c r="H204" t="s">
        <v>47</v>
      </c>
      <c r="I204" t="s">
        <v>48</v>
      </c>
      <c r="J204" s="1">
        <v>46170</v>
      </c>
      <c r="K204" s="1"/>
      <c r="L204" s="3">
        <v>18900</v>
      </c>
      <c r="M204" s="4">
        <v>0.03</v>
      </c>
      <c r="N204" s="4">
        <v>0.85</v>
      </c>
      <c r="P204">
        <v>5</v>
      </c>
      <c r="Q204" t="str">
        <f>IFERROR(VLOOKUP(E204,Lookups!$A$5:$B$24,2,FALSE),"Other")</f>
        <v>Email</v>
      </c>
      <c r="R204" t="str">
        <f>IFERROR(VLOOKUP(F204,Lookups!$D$5:$F$10,2,FALSE),"Unknown Product")</f>
        <v>Marketing Automation</v>
      </c>
      <c r="S204" t="str">
        <f>IFERROR(VLOOKUP(F204,Lookups!$D$5:$F$10,3,FALSE),"Unknown")</f>
        <v>Marketing</v>
      </c>
      <c r="T204" t="str">
        <f t="shared" si="33"/>
        <v>SMB</v>
      </c>
      <c r="U204" t="str">
        <f t="shared" si="34"/>
        <v>Open</v>
      </c>
      <c r="V204" s="3">
        <f t="shared" si="35"/>
        <v>0</v>
      </c>
      <c r="W204" s="3">
        <f t="shared" si="36"/>
        <v>16065</v>
      </c>
      <c r="X204" s="5" t="str">
        <f t="shared" si="37"/>
        <v/>
      </c>
      <c r="Y204" s="5">
        <f>IF(U204="Open",Lookups!$B$2-B204,X204)</f>
        <v>531</v>
      </c>
      <c r="Z204" t="str">
        <f t="shared" si="38"/>
        <v>STALE</v>
      </c>
      <c r="AA204" t="str">
        <f t="shared" si="39"/>
        <v>2025-03</v>
      </c>
      <c r="AB204" t="str">
        <f t="shared" si="40"/>
        <v/>
      </c>
      <c r="AC204" t="str">
        <f t="shared" si="41"/>
        <v>Q1-2025</v>
      </c>
      <c r="AD204" s="5">
        <f t="shared" si="42"/>
        <v>47</v>
      </c>
      <c r="AE204" t="str">
        <f t="shared" si="43"/>
        <v>Commit</v>
      </c>
    </row>
    <row r="205" spans="1:31">
      <c r="A205" t="s">
        <v>307</v>
      </c>
      <c r="B205" s="1">
        <v>45696</v>
      </c>
      <c r="C205" t="s">
        <v>64</v>
      </c>
      <c r="D205" t="s">
        <v>57</v>
      </c>
      <c r="E205" t="s">
        <v>160</v>
      </c>
      <c r="F205" t="s">
        <v>59</v>
      </c>
      <c r="G205" t="s">
        <v>46</v>
      </c>
      <c r="H205" t="s">
        <v>47</v>
      </c>
      <c r="I205" t="s">
        <v>61</v>
      </c>
      <c r="J205" s="1">
        <v>45717</v>
      </c>
      <c r="K205" s="1">
        <v>45717</v>
      </c>
      <c r="L205" s="3">
        <v>14800</v>
      </c>
      <c r="M205" s="4">
        <v>0</v>
      </c>
      <c r="N205" s="4">
        <v>0</v>
      </c>
      <c r="O205" t="s">
        <v>81</v>
      </c>
      <c r="P205">
        <v>2</v>
      </c>
      <c r="Q205" t="str">
        <f>IFERROR(VLOOKUP(E205,Lookups!$A$5:$B$24,2,FALSE),"Other")</f>
        <v>Email</v>
      </c>
      <c r="R205" t="str">
        <f>IFERROR(VLOOKUP(F205,Lookups!$D$5:$F$10,2,FALSE),"Unknown Product")</f>
        <v>NexaCRM Pro</v>
      </c>
      <c r="S205" t="str">
        <f>IFERROR(VLOOKUP(F205,Lookups!$D$5:$F$10,3,FALSE),"Unknown")</f>
        <v>CRM</v>
      </c>
      <c r="T205" t="str">
        <f t="shared" si="33"/>
        <v>SMB</v>
      </c>
      <c r="U205" t="str">
        <f t="shared" si="34"/>
        <v>Lost</v>
      </c>
      <c r="V205" s="3">
        <f t="shared" si="35"/>
        <v>0</v>
      </c>
      <c r="W205" s="3">
        <f t="shared" si="36"/>
        <v>0</v>
      </c>
      <c r="X205" s="5">
        <f t="shared" si="37"/>
        <v>21</v>
      </c>
      <c r="Y205" s="5">
        <f>IF(U205="Open",Lookups!$B$2-B205,X205)</f>
        <v>21</v>
      </c>
      <c r="Z205" t="str">
        <f t="shared" si="38"/>
        <v>OK</v>
      </c>
      <c r="AA205" t="str">
        <f t="shared" si="39"/>
        <v>2025-02</v>
      </c>
      <c r="AB205" t="str">
        <f t="shared" si="40"/>
        <v>2025-03</v>
      </c>
      <c r="AC205" t="str">
        <f t="shared" si="41"/>
        <v>Q1-2025</v>
      </c>
      <c r="AD205" s="5">
        <f t="shared" si="42"/>
        <v>47</v>
      </c>
      <c r="AE205" t="str">
        <f t="shared" si="43"/>
        <v>Lost</v>
      </c>
    </row>
    <row r="206" spans="1:31">
      <c r="A206" t="s">
        <v>308</v>
      </c>
      <c r="B206" s="1">
        <v>45857</v>
      </c>
      <c r="C206" t="s">
        <v>64</v>
      </c>
      <c r="D206" t="s">
        <v>57</v>
      </c>
      <c r="E206" t="s">
        <v>119</v>
      </c>
      <c r="F206" t="s">
        <v>52</v>
      </c>
      <c r="G206" t="s">
        <v>99</v>
      </c>
      <c r="H206" t="s">
        <v>53</v>
      </c>
      <c r="I206" t="s">
        <v>77</v>
      </c>
      <c r="J206" s="1">
        <v>45913</v>
      </c>
      <c r="K206" s="1">
        <v>45913</v>
      </c>
      <c r="L206" s="3">
        <v>14500</v>
      </c>
      <c r="M206" s="4">
        <v>0</v>
      </c>
      <c r="N206" s="4">
        <v>1</v>
      </c>
      <c r="P206">
        <v>6</v>
      </c>
      <c r="Q206" t="str">
        <f>IFERROR(VLOOKUP(E206,Lookups!$A$5:$B$24,2,FALSE),"Other")</f>
        <v>Referral</v>
      </c>
      <c r="R206" t="str">
        <f>IFERROR(VLOOKUP(F206,Lookups!$D$5:$F$10,2,FALSE),"Unknown Product")</f>
        <v>NexaCRM Core</v>
      </c>
      <c r="S206" t="str">
        <f>IFERROR(VLOOKUP(F206,Lookups!$D$5:$F$10,3,FALSE),"Unknown")</f>
        <v>CRM</v>
      </c>
      <c r="T206" t="str">
        <f t="shared" si="33"/>
        <v>SMB</v>
      </c>
      <c r="U206" t="str">
        <f t="shared" si="34"/>
        <v>Won</v>
      </c>
      <c r="V206" s="3">
        <f t="shared" si="35"/>
        <v>14500</v>
      </c>
      <c r="W206" s="3">
        <f t="shared" si="36"/>
        <v>0</v>
      </c>
      <c r="X206" s="5">
        <f t="shared" si="37"/>
        <v>56</v>
      </c>
      <c r="Y206" s="5">
        <f>IF(U206="Open",Lookups!$B$2-B206,X206)</f>
        <v>56</v>
      </c>
      <c r="Z206" t="str">
        <f t="shared" si="38"/>
        <v>OK</v>
      </c>
      <c r="AA206" t="str">
        <f t="shared" si="39"/>
        <v>2025-07</v>
      </c>
      <c r="AB206" t="str">
        <f t="shared" si="40"/>
        <v>2025-09</v>
      </c>
      <c r="AC206" t="str">
        <f t="shared" si="41"/>
        <v>Q3-2025</v>
      </c>
      <c r="AD206" s="5">
        <f t="shared" si="42"/>
        <v>62</v>
      </c>
      <c r="AE206" t="str">
        <f t="shared" si="43"/>
        <v>Won</v>
      </c>
    </row>
    <row r="207" spans="1:31">
      <c r="A207" t="s">
        <v>309</v>
      </c>
      <c r="B207" s="1">
        <v>46201</v>
      </c>
      <c r="C207" t="s">
        <v>148</v>
      </c>
      <c r="D207" t="s">
        <v>43</v>
      </c>
      <c r="E207" t="s">
        <v>83</v>
      </c>
      <c r="F207" t="s">
        <v>59</v>
      </c>
      <c r="G207" t="s">
        <v>60</v>
      </c>
      <c r="H207" t="s">
        <v>84</v>
      </c>
      <c r="I207" t="s">
        <v>73</v>
      </c>
      <c r="J207" s="1">
        <v>46230</v>
      </c>
      <c r="K207" s="1"/>
      <c r="L207" s="3">
        <v>83600</v>
      </c>
      <c r="M207" s="4">
        <v>0</v>
      </c>
      <c r="N207" s="4">
        <v>0.2</v>
      </c>
      <c r="P207">
        <v>2</v>
      </c>
      <c r="Q207" t="str">
        <f>IFERROR(VLOOKUP(E207,Lookups!$A$5:$B$24,2,FALSE),"Other")</f>
        <v>Organic Search</v>
      </c>
      <c r="R207" t="str">
        <f>IFERROR(VLOOKUP(F207,Lookups!$D$5:$F$10,2,FALSE),"Unknown Product")</f>
        <v>NexaCRM Pro</v>
      </c>
      <c r="S207" t="str">
        <f>IFERROR(VLOOKUP(F207,Lookups!$D$5:$F$10,3,FALSE),"Unknown")</f>
        <v>CRM</v>
      </c>
      <c r="T207" t="str">
        <f t="shared" si="33"/>
        <v>Enterprise</v>
      </c>
      <c r="U207" t="str">
        <f t="shared" si="34"/>
        <v>Open</v>
      </c>
      <c r="V207" s="3">
        <f t="shared" si="35"/>
        <v>0</v>
      </c>
      <c r="W207" s="3">
        <f t="shared" si="36"/>
        <v>16720</v>
      </c>
      <c r="X207" s="5" t="str">
        <f t="shared" si="37"/>
        <v/>
      </c>
      <c r="Y207" s="5">
        <f>IF(U207="Open",Lookups!$B$2-B207,X207)</f>
        <v>65</v>
      </c>
      <c r="Z207" t="str">
        <f t="shared" si="38"/>
        <v>STALE</v>
      </c>
      <c r="AA207" t="str">
        <f t="shared" si="39"/>
        <v>2026-06</v>
      </c>
      <c r="AB207" t="str">
        <f t="shared" si="40"/>
        <v/>
      </c>
      <c r="AC207" t="str">
        <f t="shared" si="41"/>
        <v>Q2-2026</v>
      </c>
      <c r="AD207" s="5">
        <f t="shared" si="42"/>
        <v>80</v>
      </c>
      <c r="AE207" t="str">
        <f t="shared" si="43"/>
        <v>Pipeline</v>
      </c>
    </row>
    <row r="208" spans="1:31">
      <c r="A208" t="s">
        <v>310</v>
      </c>
      <c r="B208" s="1">
        <v>46247</v>
      </c>
      <c r="C208" t="s">
        <v>69</v>
      </c>
      <c r="D208" t="s">
        <v>57</v>
      </c>
      <c r="E208" t="s">
        <v>115</v>
      </c>
      <c r="F208" t="s">
        <v>52</v>
      </c>
      <c r="G208" t="s">
        <v>94</v>
      </c>
      <c r="H208" t="s">
        <v>47</v>
      </c>
      <c r="I208" t="s">
        <v>187</v>
      </c>
      <c r="J208" s="1">
        <v>46261</v>
      </c>
      <c r="K208" s="1"/>
      <c r="L208" s="3">
        <v>7600</v>
      </c>
      <c r="M208" s="4">
        <v>0</v>
      </c>
      <c r="N208" s="4">
        <v>0.05</v>
      </c>
      <c r="P208">
        <v>1</v>
      </c>
      <c r="Q208" t="str">
        <f>IFERROR(VLOOKUP(E208,Lookups!$A$5:$B$24,2,FALSE),"Other")</f>
        <v>Outbound</v>
      </c>
      <c r="R208" t="str">
        <f>IFERROR(VLOOKUP(F208,Lookups!$D$5:$F$10,2,FALSE),"Unknown Product")</f>
        <v>NexaCRM Core</v>
      </c>
      <c r="S208" t="str">
        <f>IFERROR(VLOOKUP(F208,Lookups!$D$5:$F$10,3,FALSE),"Unknown")</f>
        <v>CRM</v>
      </c>
      <c r="T208" t="str">
        <f t="shared" si="33"/>
        <v>SMB</v>
      </c>
      <c r="U208" t="str">
        <f t="shared" si="34"/>
        <v>Open</v>
      </c>
      <c r="V208" s="3">
        <f t="shared" si="35"/>
        <v>0</v>
      </c>
      <c r="W208" s="3">
        <f t="shared" si="36"/>
        <v>380</v>
      </c>
      <c r="X208" s="5" t="str">
        <f t="shared" si="37"/>
        <v/>
      </c>
      <c r="Y208" s="5">
        <f>IF(U208="Open",Lookups!$B$2-B208,X208)</f>
        <v>19</v>
      </c>
      <c r="Z208" t="str">
        <f t="shared" si="38"/>
        <v>OK</v>
      </c>
      <c r="AA208" t="str">
        <f t="shared" si="39"/>
        <v>2026-08</v>
      </c>
      <c r="AB208" t="str">
        <f t="shared" si="40"/>
        <v/>
      </c>
      <c r="AC208" t="str">
        <f t="shared" si="41"/>
        <v>Q3-2026</v>
      </c>
      <c r="AD208" s="5">
        <f t="shared" si="42"/>
        <v>43</v>
      </c>
      <c r="AE208" t="str">
        <f t="shared" si="43"/>
        <v>Pipeline</v>
      </c>
    </row>
    <row r="209" spans="1:31">
      <c r="A209" t="s">
        <v>311</v>
      </c>
      <c r="B209" s="1">
        <v>45736</v>
      </c>
      <c r="C209" t="s">
        <v>86</v>
      </c>
      <c r="D209" t="s">
        <v>87</v>
      </c>
      <c r="E209" t="s">
        <v>123</v>
      </c>
      <c r="F209" t="s">
        <v>133</v>
      </c>
      <c r="G209" t="s">
        <v>94</v>
      </c>
      <c r="H209" t="s">
        <v>53</v>
      </c>
      <c r="I209" t="s">
        <v>61</v>
      </c>
      <c r="J209" s="1">
        <v>45812</v>
      </c>
      <c r="K209" s="1">
        <v>45812</v>
      </c>
      <c r="L209" s="3">
        <v>44200</v>
      </c>
      <c r="M209" s="4">
        <v>0</v>
      </c>
      <c r="N209" s="4">
        <v>0</v>
      </c>
      <c r="O209" t="s">
        <v>79</v>
      </c>
      <c r="P209">
        <v>2</v>
      </c>
      <c r="Q209" t="str">
        <f>IFERROR(VLOOKUP(E209,Lookups!$A$5:$B$24,2,FALSE),"Other")</f>
        <v>Email</v>
      </c>
      <c r="R209" t="str">
        <f>IFERROR(VLOOKUP(F209,Lookups!$D$5:$F$10,2,FALSE),"Unknown Product")</f>
        <v>Analytics Plus</v>
      </c>
      <c r="S209" t="str">
        <f>IFERROR(VLOOKUP(F209,Lookups!$D$5:$F$10,3,FALSE),"Unknown")</f>
        <v>Analytics</v>
      </c>
      <c r="T209" t="str">
        <f t="shared" si="33"/>
        <v>Mid-Market</v>
      </c>
      <c r="U209" t="str">
        <f t="shared" si="34"/>
        <v>Lost</v>
      </c>
      <c r="V209" s="3">
        <f t="shared" si="35"/>
        <v>0</v>
      </c>
      <c r="W209" s="3">
        <f t="shared" si="36"/>
        <v>0</v>
      </c>
      <c r="X209" s="5">
        <f t="shared" si="37"/>
        <v>76</v>
      </c>
      <c r="Y209" s="5">
        <f>IF(U209="Open",Lookups!$B$2-B209,X209)</f>
        <v>76</v>
      </c>
      <c r="Z209" t="str">
        <f t="shared" si="38"/>
        <v>OK</v>
      </c>
      <c r="AA209" t="str">
        <f t="shared" si="39"/>
        <v>2025-03</v>
      </c>
      <c r="AB209" t="str">
        <f t="shared" si="40"/>
        <v>2025-06</v>
      </c>
      <c r="AC209" t="str">
        <f t="shared" si="41"/>
        <v>Q1-2025</v>
      </c>
      <c r="AD209" s="5">
        <f t="shared" si="42"/>
        <v>63</v>
      </c>
      <c r="AE209" t="str">
        <f t="shared" si="43"/>
        <v>Lost</v>
      </c>
    </row>
    <row r="210" spans="1:31">
      <c r="A210" t="s">
        <v>312</v>
      </c>
      <c r="B210" s="1">
        <v>45891</v>
      </c>
      <c r="C210" t="s">
        <v>50</v>
      </c>
      <c r="D210" t="s">
        <v>43</v>
      </c>
      <c r="E210" t="s">
        <v>109</v>
      </c>
      <c r="F210" t="s">
        <v>45</v>
      </c>
      <c r="G210" t="s">
        <v>99</v>
      </c>
      <c r="H210" t="s">
        <v>47</v>
      </c>
      <c r="I210" t="s">
        <v>61</v>
      </c>
      <c r="J210" s="1">
        <v>45927</v>
      </c>
      <c r="K210" s="1">
        <v>45927</v>
      </c>
      <c r="L210" s="3">
        <v>12800</v>
      </c>
      <c r="M210" s="4">
        <v>0</v>
      </c>
      <c r="N210" s="4">
        <v>0</v>
      </c>
      <c r="O210" t="s">
        <v>116</v>
      </c>
      <c r="P210">
        <v>4</v>
      </c>
      <c r="Q210" t="str">
        <f>IFERROR(VLOOKUP(E210,Lookups!$A$5:$B$24,2,FALSE),"Other")</f>
        <v>Outbound</v>
      </c>
      <c r="R210" t="str">
        <f>IFERROR(VLOOKUP(F210,Lookups!$D$5:$F$10,2,FALSE),"Unknown Product")</f>
        <v>Service Cloud</v>
      </c>
      <c r="S210" t="str">
        <f>IFERROR(VLOOKUP(F210,Lookups!$D$5:$F$10,3,FALSE),"Unknown")</f>
        <v>Customer Service</v>
      </c>
      <c r="T210" t="str">
        <f t="shared" si="33"/>
        <v>SMB</v>
      </c>
      <c r="U210" t="str">
        <f t="shared" si="34"/>
        <v>Lost</v>
      </c>
      <c r="V210" s="3">
        <f t="shared" si="35"/>
        <v>0</v>
      </c>
      <c r="W210" s="3">
        <f t="shared" si="36"/>
        <v>0</v>
      </c>
      <c r="X210" s="5">
        <f t="shared" si="37"/>
        <v>36</v>
      </c>
      <c r="Y210" s="5">
        <f>IF(U210="Open",Lookups!$B$2-B210,X210)</f>
        <v>36</v>
      </c>
      <c r="Z210" t="str">
        <f t="shared" si="38"/>
        <v>OK</v>
      </c>
      <c r="AA210" t="str">
        <f t="shared" si="39"/>
        <v>2025-08</v>
      </c>
      <c r="AB210" t="str">
        <f t="shared" si="40"/>
        <v>2025-09</v>
      </c>
      <c r="AC210" t="str">
        <f t="shared" si="41"/>
        <v>Q3-2025</v>
      </c>
      <c r="AD210" s="5">
        <f t="shared" si="42"/>
        <v>43</v>
      </c>
      <c r="AE210" t="str">
        <f t="shared" si="43"/>
        <v>Lost</v>
      </c>
    </row>
    <row r="211" spans="1:31">
      <c r="A211" t="s">
        <v>313</v>
      </c>
      <c r="B211" s="1">
        <v>45922</v>
      </c>
      <c r="C211" t="s">
        <v>69</v>
      </c>
      <c r="D211" t="s">
        <v>57</v>
      </c>
      <c r="E211" t="s">
        <v>138</v>
      </c>
      <c r="F211" t="s">
        <v>59</v>
      </c>
      <c r="G211" t="s">
        <v>72</v>
      </c>
      <c r="H211" t="s">
        <v>84</v>
      </c>
      <c r="I211" t="s">
        <v>61</v>
      </c>
      <c r="J211" s="1">
        <v>45978</v>
      </c>
      <c r="K211" s="1">
        <v>45978</v>
      </c>
      <c r="L211" s="3">
        <v>81400</v>
      </c>
      <c r="M211" s="4">
        <v>0</v>
      </c>
      <c r="N211" s="4">
        <v>0</v>
      </c>
      <c r="O211" t="s">
        <v>79</v>
      </c>
      <c r="P211">
        <v>4</v>
      </c>
      <c r="Q211" t="str">
        <f>IFERROR(VLOOKUP(E211,Lookups!$A$5:$B$24,2,FALSE),"Other")</f>
        <v>Organic Search</v>
      </c>
      <c r="R211" t="str">
        <f>IFERROR(VLOOKUP(F211,Lookups!$D$5:$F$10,2,FALSE),"Unknown Product")</f>
        <v>NexaCRM Pro</v>
      </c>
      <c r="S211" t="str">
        <f>IFERROR(VLOOKUP(F211,Lookups!$D$5:$F$10,3,FALSE),"Unknown")</f>
        <v>CRM</v>
      </c>
      <c r="T211" t="str">
        <f t="shared" si="33"/>
        <v>Enterprise</v>
      </c>
      <c r="U211" t="str">
        <f t="shared" si="34"/>
        <v>Lost</v>
      </c>
      <c r="V211" s="3">
        <f t="shared" si="35"/>
        <v>0</v>
      </c>
      <c r="W211" s="3">
        <f t="shared" si="36"/>
        <v>0</v>
      </c>
      <c r="X211" s="5">
        <f t="shared" si="37"/>
        <v>56</v>
      </c>
      <c r="Y211" s="5">
        <f>IF(U211="Open",Lookups!$B$2-B211,X211)</f>
        <v>56</v>
      </c>
      <c r="Z211" t="str">
        <f t="shared" si="38"/>
        <v>OK</v>
      </c>
      <c r="AA211" t="str">
        <f t="shared" si="39"/>
        <v>2025-09</v>
      </c>
      <c r="AB211" t="str">
        <f t="shared" si="40"/>
        <v>2025-11</v>
      </c>
      <c r="AC211" t="str">
        <f t="shared" si="41"/>
        <v>Q3-2025</v>
      </c>
      <c r="AD211" s="5">
        <f t="shared" si="42"/>
        <v>80</v>
      </c>
      <c r="AE211" t="str">
        <f t="shared" si="43"/>
        <v>Lost</v>
      </c>
    </row>
    <row r="212" spans="1:31">
      <c r="A212" t="s">
        <v>314</v>
      </c>
      <c r="B212" s="1">
        <v>46199</v>
      </c>
      <c r="C212" t="s">
        <v>64</v>
      </c>
      <c r="D212" t="s">
        <v>57</v>
      </c>
      <c r="E212" t="s">
        <v>83</v>
      </c>
      <c r="F212" t="s">
        <v>52</v>
      </c>
      <c r="G212" t="s">
        <v>60</v>
      </c>
      <c r="H212" t="s">
        <v>53</v>
      </c>
      <c r="I212" t="s">
        <v>61</v>
      </c>
      <c r="J212" s="1">
        <v>46265</v>
      </c>
      <c r="K212" s="1">
        <v>46265</v>
      </c>
      <c r="L212" s="3">
        <v>17500</v>
      </c>
      <c r="M212" s="4">
        <v>0</v>
      </c>
      <c r="N212" s="4">
        <v>0</v>
      </c>
      <c r="O212" t="s">
        <v>81</v>
      </c>
      <c r="P212">
        <v>2</v>
      </c>
      <c r="Q212" t="str">
        <f>IFERROR(VLOOKUP(E212,Lookups!$A$5:$B$24,2,FALSE),"Other")</f>
        <v>Organic Search</v>
      </c>
      <c r="R212" t="str">
        <f>IFERROR(VLOOKUP(F212,Lookups!$D$5:$F$10,2,FALSE),"Unknown Product")</f>
        <v>NexaCRM Core</v>
      </c>
      <c r="S212" t="str">
        <f>IFERROR(VLOOKUP(F212,Lookups!$D$5:$F$10,3,FALSE),"Unknown")</f>
        <v>CRM</v>
      </c>
      <c r="T212" t="str">
        <f t="shared" si="33"/>
        <v>SMB</v>
      </c>
      <c r="U212" t="str">
        <f t="shared" si="34"/>
        <v>Lost</v>
      </c>
      <c r="V212" s="3">
        <f t="shared" si="35"/>
        <v>0</v>
      </c>
      <c r="W212" s="3">
        <f t="shared" si="36"/>
        <v>0</v>
      </c>
      <c r="X212" s="5">
        <f t="shared" si="37"/>
        <v>66</v>
      </c>
      <c r="Y212" s="5">
        <f>IF(U212="Open",Lookups!$B$2-B212,X212)</f>
        <v>66</v>
      </c>
      <c r="Z212" t="str">
        <f t="shared" si="38"/>
        <v>OK</v>
      </c>
      <c r="AA212" t="str">
        <f t="shared" si="39"/>
        <v>2026-06</v>
      </c>
      <c r="AB212" t="str">
        <f t="shared" si="40"/>
        <v>2026-08</v>
      </c>
      <c r="AC212" t="str">
        <f t="shared" si="41"/>
        <v>Q2-2026</v>
      </c>
      <c r="AD212" s="5">
        <f t="shared" si="42"/>
        <v>57</v>
      </c>
      <c r="AE212" t="str">
        <f t="shared" si="43"/>
        <v>Lost</v>
      </c>
    </row>
    <row r="213" spans="1:31">
      <c r="A213" t="s">
        <v>315</v>
      </c>
      <c r="B213" s="1">
        <v>46204</v>
      </c>
      <c r="C213" t="s">
        <v>69</v>
      </c>
      <c r="D213" t="s">
        <v>57</v>
      </c>
      <c r="E213" t="s">
        <v>127</v>
      </c>
      <c r="F213" t="s">
        <v>59</v>
      </c>
      <c r="G213" t="s">
        <v>46</v>
      </c>
      <c r="H213" t="s">
        <v>47</v>
      </c>
      <c r="I213" t="s">
        <v>73</v>
      </c>
      <c r="J213" s="1">
        <v>46254</v>
      </c>
      <c r="K213" s="1"/>
      <c r="L213" s="3">
        <v>23700</v>
      </c>
      <c r="M213" s="4">
        <v>0</v>
      </c>
      <c r="N213" s="4">
        <v>0.2</v>
      </c>
      <c r="P213">
        <v>2</v>
      </c>
      <c r="Q213" t="str">
        <f>IFERROR(VLOOKUP(E213,Lookups!$A$5:$B$24,2,FALSE),"Other")</f>
        <v>Paid Search</v>
      </c>
      <c r="R213" t="str">
        <f>IFERROR(VLOOKUP(F213,Lookups!$D$5:$F$10,2,FALSE),"Unknown Product")</f>
        <v>NexaCRM Pro</v>
      </c>
      <c r="S213" t="str">
        <f>IFERROR(VLOOKUP(F213,Lookups!$D$5:$F$10,3,FALSE),"Unknown")</f>
        <v>CRM</v>
      </c>
      <c r="T213" t="str">
        <f t="shared" si="33"/>
        <v>Mid-Market</v>
      </c>
      <c r="U213" t="str">
        <f t="shared" si="34"/>
        <v>Open</v>
      </c>
      <c r="V213" s="3">
        <f t="shared" si="35"/>
        <v>0</v>
      </c>
      <c r="W213" s="3">
        <f t="shared" si="36"/>
        <v>4740</v>
      </c>
      <c r="X213" s="5" t="str">
        <f t="shared" si="37"/>
        <v/>
      </c>
      <c r="Y213" s="5">
        <f>IF(U213="Open",Lookups!$B$2-B213,X213)</f>
        <v>62</v>
      </c>
      <c r="Z213" t="str">
        <f t="shared" si="38"/>
        <v>STALE</v>
      </c>
      <c r="AA213" t="str">
        <f t="shared" si="39"/>
        <v>2026-07</v>
      </c>
      <c r="AB213" t="str">
        <f t="shared" si="40"/>
        <v/>
      </c>
      <c r="AC213" t="str">
        <f t="shared" si="41"/>
        <v>Q3-2026</v>
      </c>
      <c r="AD213" s="5">
        <f t="shared" si="42"/>
        <v>51</v>
      </c>
      <c r="AE213" t="str">
        <f t="shared" si="43"/>
        <v>Pipeline</v>
      </c>
    </row>
    <row r="214" spans="1:31">
      <c r="A214" t="s">
        <v>316</v>
      </c>
      <c r="B214" s="1">
        <v>46207</v>
      </c>
      <c r="C214" t="s">
        <v>90</v>
      </c>
      <c r="D214" t="s">
        <v>57</v>
      </c>
      <c r="E214" t="s">
        <v>107</v>
      </c>
      <c r="F214" t="s">
        <v>133</v>
      </c>
      <c r="G214" t="s">
        <v>46</v>
      </c>
      <c r="H214" t="s">
        <v>53</v>
      </c>
      <c r="I214" t="s">
        <v>77</v>
      </c>
      <c r="J214" s="1">
        <v>46266</v>
      </c>
      <c r="K214" s="1">
        <v>46266</v>
      </c>
      <c r="L214" s="3">
        <v>30200</v>
      </c>
      <c r="M214" s="4">
        <v>0.08</v>
      </c>
      <c r="N214" s="4">
        <v>1</v>
      </c>
      <c r="P214">
        <v>6</v>
      </c>
      <c r="Q214" t="str">
        <f>IFERROR(VLOOKUP(E214,Lookups!$A$5:$B$24,2,FALSE),"Other")</f>
        <v>Referral</v>
      </c>
      <c r="R214" t="str">
        <f>IFERROR(VLOOKUP(F214,Lookups!$D$5:$F$10,2,FALSE),"Unknown Product")</f>
        <v>Analytics Plus</v>
      </c>
      <c r="S214" t="str">
        <f>IFERROR(VLOOKUP(F214,Lookups!$D$5:$F$10,3,FALSE),"Unknown")</f>
        <v>Analytics</v>
      </c>
      <c r="T214" t="str">
        <f t="shared" si="33"/>
        <v>Mid-Market</v>
      </c>
      <c r="U214" t="str">
        <f t="shared" si="34"/>
        <v>Won</v>
      </c>
      <c r="V214" s="3">
        <f t="shared" si="35"/>
        <v>27784</v>
      </c>
      <c r="W214" s="3">
        <f t="shared" si="36"/>
        <v>0</v>
      </c>
      <c r="X214" s="5">
        <f t="shared" si="37"/>
        <v>59</v>
      </c>
      <c r="Y214" s="5">
        <f>IF(U214="Open",Lookups!$B$2-B214,X214)</f>
        <v>59</v>
      </c>
      <c r="Z214" t="str">
        <f t="shared" si="38"/>
        <v>OK</v>
      </c>
      <c r="AA214" t="str">
        <f t="shared" si="39"/>
        <v>2026-07</v>
      </c>
      <c r="AB214" t="str">
        <f t="shared" si="40"/>
        <v>2026-09</v>
      </c>
      <c r="AC214" t="str">
        <f t="shared" si="41"/>
        <v>Q3-2026</v>
      </c>
      <c r="AD214" s="5">
        <f t="shared" si="42"/>
        <v>70</v>
      </c>
      <c r="AE214" t="str">
        <f t="shared" si="43"/>
        <v>Won</v>
      </c>
    </row>
    <row r="215" spans="1:31">
      <c r="A215" t="s">
        <v>317</v>
      </c>
      <c r="B215" s="1">
        <v>45911</v>
      </c>
      <c r="C215" t="s">
        <v>64</v>
      </c>
      <c r="D215" t="s">
        <v>57</v>
      </c>
      <c r="E215" t="s">
        <v>98</v>
      </c>
      <c r="F215" t="s">
        <v>67</v>
      </c>
      <c r="G215" t="s">
        <v>72</v>
      </c>
      <c r="H215" t="s">
        <v>53</v>
      </c>
      <c r="I215" t="s">
        <v>61</v>
      </c>
      <c r="J215" s="1">
        <v>45953</v>
      </c>
      <c r="K215" s="1">
        <v>45953</v>
      </c>
      <c r="L215" s="3">
        <v>46500</v>
      </c>
      <c r="M215" s="4">
        <v>0</v>
      </c>
      <c r="N215" s="4">
        <v>0</v>
      </c>
      <c r="O215" t="s">
        <v>79</v>
      </c>
      <c r="P215">
        <v>5</v>
      </c>
      <c r="Q215" t="str">
        <f>IFERROR(VLOOKUP(E215,Lookups!$A$5:$B$24,2,FALSE),"Other")</f>
        <v>Outbound</v>
      </c>
      <c r="R215" t="str">
        <f>IFERROR(VLOOKUP(F215,Lookups!$D$5:$F$10,2,FALSE),"Unknown Product")</f>
        <v>Revenue Operations Suite</v>
      </c>
      <c r="S215" t="str">
        <f>IFERROR(VLOOKUP(F215,Lookups!$D$5:$F$10,3,FALSE),"Unknown")</f>
        <v>Revenue Ops</v>
      </c>
      <c r="T215" t="str">
        <f t="shared" si="33"/>
        <v>Mid-Market</v>
      </c>
      <c r="U215" t="str">
        <f t="shared" si="34"/>
        <v>Lost</v>
      </c>
      <c r="V215" s="3">
        <f t="shared" si="35"/>
        <v>0</v>
      </c>
      <c r="W215" s="3">
        <f t="shared" si="36"/>
        <v>0</v>
      </c>
      <c r="X215" s="5">
        <f t="shared" si="37"/>
        <v>42</v>
      </c>
      <c r="Y215" s="5">
        <f>IF(U215="Open",Lookups!$B$2-B215,X215)</f>
        <v>42</v>
      </c>
      <c r="Z215" t="str">
        <f t="shared" si="38"/>
        <v>OK</v>
      </c>
      <c r="AA215" t="str">
        <f t="shared" si="39"/>
        <v>2025-09</v>
      </c>
      <c r="AB215" t="str">
        <f t="shared" si="40"/>
        <v>2025-10</v>
      </c>
      <c r="AC215" t="str">
        <f t="shared" si="41"/>
        <v>Q3-2025</v>
      </c>
      <c r="AD215" s="5">
        <f t="shared" si="42"/>
        <v>59</v>
      </c>
      <c r="AE215" t="str">
        <f t="shared" si="43"/>
        <v>Lost</v>
      </c>
    </row>
    <row r="216" spans="1:31">
      <c r="A216" t="s">
        <v>318</v>
      </c>
      <c r="B216" s="1">
        <v>46084</v>
      </c>
      <c r="C216" t="s">
        <v>50</v>
      </c>
      <c r="D216" t="s">
        <v>43</v>
      </c>
      <c r="E216" t="s">
        <v>65</v>
      </c>
      <c r="F216" t="s">
        <v>71</v>
      </c>
      <c r="G216" t="s">
        <v>72</v>
      </c>
      <c r="H216" t="s">
        <v>53</v>
      </c>
      <c r="I216" t="s">
        <v>61</v>
      </c>
      <c r="J216" s="1">
        <v>46111</v>
      </c>
      <c r="K216" s="1">
        <v>46111</v>
      </c>
      <c r="L216" s="3">
        <v>21800</v>
      </c>
      <c r="M216" s="4">
        <v>0</v>
      </c>
      <c r="N216" s="4">
        <v>0</v>
      </c>
      <c r="O216" t="s">
        <v>116</v>
      </c>
      <c r="P216">
        <v>4</v>
      </c>
      <c r="Q216" t="str">
        <f>IFERROR(VLOOKUP(E216,Lookups!$A$5:$B$24,2,FALSE),"Other")</f>
        <v>Paid Search</v>
      </c>
      <c r="R216" t="str">
        <f>IFERROR(VLOOKUP(F216,Lookups!$D$5:$F$10,2,FALSE),"Unknown Product")</f>
        <v>Marketing Automation</v>
      </c>
      <c r="S216" t="str">
        <f>IFERROR(VLOOKUP(F216,Lookups!$D$5:$F$10,3,FALSE),"Unknown")</f>
        <v>Marketing</v>
      </c>
      <c r="T216" t="str">
        <f t="shared" si="33"/>
        <v>Mid-Market</v>
      </c>
      <c r="U216" t="str">
        <f t="shared" si="34"/>
        <v>Lost</v>
      </c>
      <c r="V216" s="3">
        <f t="shared" si="35"/>
        <v>0</v>
      </c>
      <c r="W216" s="3">
        <f t="shared" si="36"/>
        <v>0</v>
      </c>
      <c r="X216" s="5">
        <f t="shared" si="37"/>
        <v>27</v>
      </c>
      <c r="Y216" s="5">
        <f>IF(U216="Open",Lookups!$B$2-B216,X216)</f>
        <v>27</v>
      </c>
      <c r="Z216" t="str">
        <f t="shared" si="38"/>
        <v>OK</v>
      </c>
      <c r="AA216" t="str">
        <f t="shared" si="39"/>
        <v>2026-03</v>
      </c>
      <c r="AB216" t="str">
        <f t="shared" si="40"/>
        <v>2026-03</v>
      </c>
      <c r="AC216" t="str">
        <f t="shared" si="41"/>
        <v>Q1-2026</v>
      </c>
      <c r="AD216" s="5">
        <f t="shared" si="42"/>
        <v>59</v>
      </c>
      <c r="AE216" t="str">
        <f t="shared" si="43"/>
        <v>Lost</v>
      </c>
    </row>
    <row r="217" spans="1:31">
      <c r="A217" t="s">
        <v>319</v>
      </c>
      <c r="B217" s="1">
        <v>46167</v>
      </c>
      <c r="C217" t="s">
        <v>86</v>
      </c>
      <c r="D217" t="s">
        <v>87</v>
      </c>
      <c r="E217" t="s">
        <v>119</v>
      </c>
      <c r="F217" t="s">
        <v>67</v>
      </c>
      <c r="G217" t="s">
        <v>99</v>
      </c>
      <c r="H217" t="s">
        <v>47</v>
      </c>
      <c r="I217" t="s">
        <v>77</v>
      </c>
      <c r="J217" s="1">
        <v>46223</v>
      </c>
      <c r="K217" s="1">
        <v>46223</v>
      </c>
      <c r="L217" s="3">
        <v>20500</v>
      </c>
      <c r="M217" s="4">
        <v>0.05</v>
      </c>
      <c r="N217" s="4">
        <v>1</v>
      </c>
      <c r="P217">
        <v>6</v>
      </c>
      <c r="Q217" t="str">
        <f>IFERROR(VLOOKUP(E217,Lookups!$A$5:$B$24,2,FALSE),"Other")</f>
        <v>Referral</v>
      </c>
      <c r="R217" t="str">
        <f>IFERROR(VLOOKUP(F217,Lookups!$D$5:$F$10,2,FALSE),"Unknown Product")</f>
        <v>Revenue Operations Suite</v>
      </c>
      <c r="S217" t="str">
        <f>IFERROR(VLOOKUP(F217,Lookups!$D$5:$F$10,3,FALSE),"Unknown")</f>
        <v>Revenue Ops</v>
      </c>
      <c r="T217" t="str">
        <f t="shared" si="33"/>
        <v>Mid-Market</v>
      </c>
      <c r="U217" t="str">
        <f t="shared" si="34"/>
        <v>Won</v>
      </c>
      <c r="V217" s="3">
        <f t="shared" si="35"/>
        <v>19475</v>
      </c>
      <c r="W217" s="3">
        <f t="shared" si="36"/>
        <v>0</v>
      </c>
      <c r="X217" s="5">
        <f t="shared" si="37"/>
        <v>56</v>
      </c>
      <c r="Y217" s="5">
        <f>IF(U217="Open",Lookups!$B$2-B217,X217)</f>
        <v>56</v>
      </c>
      <c r="Z217" t="str">
        <f t="shared" si="38"/>
        <v>OK</v>
      </c>
      <c r="AA217" t="str">
        <f t="shared" si="39"/>
        <v>2026-05</v>
      </c>
      <c r="AB217" t="str">
        <f t="shared" si="40"/>
        <v>2026-07</v>
      </c>
      <c r="AC217" t="str">
        <f t="shared" si="41"/>
        <v>Q2-2026</v>
      </c>
      <c r="AD217" s="5">
        <f t="shared" si="42"/>
        <v>62</v>
      </c>
      <c r="AE217" t="str">
        <f t="shared" si="43"/>
        <v>Won</v>
      </c>
    </row>
    <row r="218" spans="1:31">
      <c r="A218" t="s">
        <v>320</v>
      </c>
      <c r="B218" s="1">
        <v>45898</v>
      </c>
      <c r="C218" t="s">
        <v>56</v>
      </c>
      <c r="D218" t="s">
        <v>57</v>
      </c>
      <c r="E218" t="s">
        <v>109</v>
      </c>
      <c r="F218" t="s">
        <v>59</v>
      </c>
      <c r="G218" t="s">
        <v>46</v>
      </c>
      <c r="H218" t="s">
        <v>84</v>
      </c>
      <c r="I218" t="s">
        <v>77</v>
      </c>
      <c r="J218" s="1">
        <v>45970</v>
      </c>
      <c r="K218" s="1">
        <v>45970</v>
      </c>
      <c r="L218" s="3">
        <v>78300</v>
      </c>
      <c r="M218" s="4">
        <v>0</v>
      </c>
      <c r="N218" s="4">
        <v>1</v>
      </c>
      <c r="P218">
        <v>6</v>
      </c>
      <c r="Q218" t="str">
        <f>IFERROR(VLOOKUP(E218,Lookups!$A$5:$B$24,2,FALSE),"Other")</f>
        <v>Outbound</v>
      </c>
      <c r="R218" t="str">
        <f>IFERROR(VLOOKUP(F218,Lookups!$D$5:$F$10,2,FALSE),"Unknown Product")</f>
        <v>NexaCRM Pro</v>
      </c>
      <c r="S218" t="str">
        <f>IFERROR(VLOOKUP(F218,Lookups!$D$5:$F$10,3,FALSE),"Unknown")</f>
        <v>CRM</v>
      </c>
      <c r="T218" t="str">
        <f t="shared" si="33"/>
        <v>Enterprise</v>
      </c>
      <c r="U218" t="str">
        <f t="shared" si="34"/>
        <v>Won</v>
      </c>
      <c r="V218" s="3">
        <f t="shared" si="35"/>
        <v>78300</v>
      </c>
      <c r="W218" s="3">
        <f t="shared" si="36"/>
        <v>0</v>
      </c>
      <c r="X218" s="5">
        <f t="shared" si="37"/>
        <v>72</v>
      </c>
      <c r="Y218" s="5">
        <f>IF(U218="Open",Lookups!$B$2-B218,X218)</f>
        <v>72</v>
      </c>
      <c r="Z218" t="str">
        <f t="shared" si="38"/>
        <v>OK</v>
      </c>
      <c r="AA218" t="str">
        <f t="shared" si="39"/>
        <v>2025-08</v>
      </c>
      <c r="AB218" t="str">
        <f t="shared" si="40"/>
        <v>2025-11</v>
      </c>
      <c r="AC218" t="str">
        <f t="shared" si="41"/>
        <v>Q3-2025</v>
      </c>
      <c r="AD218" s="5">
        <f t="shared" si="42"/>
        <v>74</v>
      </c>
      <c r="AE218" t="str">
        <f t="shared" si="43"/>
        <v>Won</v>
      </c>
    </row>
    <row r="219" spans="1:31">
      <c r="A219" t="s">
        <v>321</v>
      </c>
      <c r="B219" s="1">
        <v>45794</v>
      </c>
      <c r="C219" t="s">
        <v>64</v>
      </c>
      <c r="D219" t="s">
        <v>57</v>
      </c>
      <c r="E219" t="s">
        <v>115</v>
      </c>
      <c r="F219" t="s">
        <v>45</v>
      </c>
      <c r="G219" t="s">
        <v>60</v>
      </c>
      <c r="H219" t="s">
        <v>47</v>
      </c>
      <c r="I219" t="s">
        <v>61</v>
      </c>
      <c r="J219" s="1">
        <v>45824</v>
      </c>
      <c r="K219" s="1">
        <v>45824</v>
      </c>
      <c r="L219" s="3">
        <v>24300</v>
      </c>
      <c r="M219" s="4">
        <v>0</v>
      </c>
      <c r="N219" s="4">
        <v>0</v>
      </c>
      <c r="O219" t="s">
        <v>79</v>
      </c>
      <c r="P219">
        <v>2</v>
      </c>
      <c r="Q219" t="str">
        <f>IFERROR(VLOOKUP(E219,Lookups!$A$5:$B$24,2,FALSE),"Other")</f>
        <v>Outbound</v>
      </c>
      <c r="R219" t="str">
        <f>IFERROR(VLOOKUP(F219,Lookups!$D$5:$F$10,2,FALSE),"Unknown Product")</f>
        <v>Service Cloud</v>
      </c>
      <c r="S219" t="str">
        <f>IFERROR(VLOOKUP(F219,Lookups!$D$5:$F$10,3,FALSE),"Unknown")</f>
        <v>Customer Service</v>
      </c>
      <c r="T219" t="str">
        <f t="shared" si="33"/>
        <v>Mid-Market</v>
      </c>
      <c r="U219" t="str">
        <f t="shared" si="34"/>
        <v>Lost</v>
      </c>
      <c r="V219" s="3">
        <f t="shared" si="35"/>
        <v>0</v>
      </c>
      <c r="W219" s="3">
        <f t="shared" si="36"/>
        <v>0</v>
      </c>
      <c r="X219" s="5">
        <f t="shared" si="37"/>
        <v>30</v>
      </c>
      <c r="Y219" s="5">
        <f>IF(U219="Open",Lookups!$B$2-B219,X219)</f>
        <v>30</v>
      </c>
      <c r="Z219" t="str">
        <f t="shared" si="38"/>
        <v>OK</v>
      </c>
      <c r="AA219" t="str">
        <f t="shared" si="39"/>
        <v>2025-05</v>
      </c>
      <c r="AB219" t="str">
        <f t="shared" si="40"/>
        <v>2025-06</v>
      </c>
      <c r="AC219" t="str">
        <f t="shared" si="41"/>
        <v>Q2-2025</v>
      </c>
      <c r="AD219" s="5">
        <f t="shared" si="42"/>
        <v>51</v>
      </c>
      <c r="AE219" t="str">
        <f t="shared" si="43"/>
        <v>Lost</v>
      </c>
    </row>
    <row r="220" spans="1:31">
      <c r="A220" t="s">
        <v>322</v>
      </c>
      <c r="B220" s="1">
        <v>45858</v>
      </c>
      <c r="C220" t="s">
        <v>90</v>
      </c>
      <c r="D220" t="s">
        <v>57</v>
      </c>
      <c r="E220" t="s">
        <v>115</v>
      </c>
      <c r="F220" t="s">
        <v>71</v>
      </c>
      <c r="G220" t="s">
        <v>112</v>
      </c>
      <c r="H220" t="s">
        <v>47</v>
      </c>
      <c r="I220" t="s">
        <v>48</v>
      </c>
      <c r="J220" s="1">
        <v>46125</v>
      </c>
      <c r="K220" s="1"/>
      <c r="L220" s="3">
        <v>17900</v>
      </c>
      <c r="M220" s="4">
        <v>0</v>
      </c>
      <c r="N220" s="4">
        <v>0.85</v>
      </c>
      <c r="P220">
        <v>5</v>
      </c>
      <c r="Q220" t="str">
        <f>IFERROR(VLOOKUP(E220,Lookups!$A$5:$B$24,2,FALSE),"Other")</f>
        <v>Outbound</v>
      </c>
      <c r="R220" t="str">
        <f>IFERROR(VLOOKUP(F220,Lookups!$D$5:$F$10,2,FALSE),"Unknown Product")</f>
        <v>Marketing Automation</v>
      </c>
      <c r="S220" t="str">
        <f>IFERROR(VLOOKUP(F220,Lookups!$D$5:$F$10,3,FALSE),"Unknown")</f>
        <v>Marketing</v>
      </c>
      <c r="T220" t="str">
        <f t="shared" si="33"/>
        <v>SMB</v>
      </c>
      <c r="U220" t="str">
        <f t="shared" si="34"/>
        <v>Open</v>
      </c>
      <c r="V220" s="3">
        <f t="shared" si="35"/>
        <v>0</v>
      </c>
      <c r="W220" s="3">
        <f t="shared" si="36"/>
        <v>15215</v>
      </c>
      <c r="X220" s="5" t="str">
        <f t="shared" si="37"/>
        <v/>
      </c>
      <c r="Y220" s="5">
        <f>IF(U220="Open",Lookups!$B$2-B220,X220)</f>
        <v>408</v>
      </c>
      <c r="Z220" t="str">
        <f t="shared" si="38"/>
        <v>STALE</v>
      </c>
      <c r="AA220" t="str">
        <f t="shared" si="39"/>
        <v>2025-07</v>
      </c>
      <c r="AB220" t="str">
        <f t="shared" si="40"/>
        <v/>
      </c>
      <c r="AC220" t="str">
        <f t="shared" si="41"/>
        <v>Q3-2025</v>
      </c>
      <c r="AD220" s="5">
        <f t="shared" si="42"/>
        <v>48</v>
      </c>
      <c r="AE220" t="str">
        <f t="shared" si="43"/>
        <v>Commit</v>
      </c>
    </row>
    <row r="221" spans="1:31">
      <c r="A221" t="s">
        <v>323</v>
      </c>
      <c r="B221" s="1">
        <v>46018</v>
      </c>
      <c r="C221" t="s">
        <v>64</v>
      </c>
      <c r="D221" t="s">
        <v>57</v>
      </c>
      <c r="E221" t="s">
        <v>65</v>
      </c>
      <c r="F221" t="s">
        <v>52</v>
      </c>
      <c r="G221" t="s">
        <v>94</v>
      </c>
      <c r="H221" t="s">
        <v>53</v>
      </c>
      <c r="I221" t="s">
        <v>61</v>
      </c>
      <c r="J221" s="1">
        <v>46057</v>
      </c>
      <c r="K221" s="1">
        <v>46057</v>
      </c>
      <c r="L221" s="3">
        <v>11500</v>
      </c>
      <c r="M221" s="4">
        <v>0</v>
      </c>
      <c r="N221" s="4">
        <v>0</v>
      </c>
      <c r="O221" t="s">
        <v>79</v>
      </c>
      <c r="P221">
        <v>2</v>
      </c>
      <c r="Q221" t="str">
        <f>IFERROR(VLOOKUP(E221,Lookups!$A$5:$B$24,2,FALSE),"Other")</f>
        <v>Paid Search</v>
      </c>
      <c r="R221" t="str">
        <f>IFERROR(VLOOKUP(F221,Lookups!$D$5:$F$10,2,FALSE),"Unknown Product")</f>
        <v>NexaCRM Core</v>
      </c>
      <c r="S221" t="str">
        <f>IFERROR(VLOOKUP(F221,Lookups!$D$5:$F$10,3,FALSE),"Unknown")</f>
        <v>CRM</v>
      </c>
      <c r="T221" t="str">
        <f t="shared" si="33"/>
        <v>SMB</v>
      </c>
      <c r="U221" t="str">
        <f t="shared" si="34"/>
        <v>Lost</v>
      </c>
      <c r="V221" s="3">
        <f t="shared" si="35"/>
        <v>0</v>
      </c>
      <c r="W221" s="3">
        <f t="shared" si="36"/>
        <v>0</v>
      </c>
      <c r="X221" s="5">
        <f t="shared" si="37"/>
        <v>39</v>
      </c>
      <c r="Y221" s="5">
        <f>IF(U221="Open",Lookups!$B$2-B221,X221)</f>
        <v>39</v>
      </c>
      <c r="Z221" t="str">
        <f t="shared" si="38"/>
        <v>OK</v>
      </c>
      <c r="AA221" t="str">
        <f t="shared" si="39"/>
        <v>2025-12</v>
      </c>
      <c r="AB221" t="str">
        <f t="shared" si="40"/>
        <v>2026-02</v>
      </c>
      <c r="AC221" t="str">
        <f t="shared" si="41"/>
        <v>Q4-2025</v>
      </c>
      <c r="AD221" s="5">
        <f t="shared" si="42"/>
        <v>51</v>
      </c>
      <c r="AE221" t="str">
        <f t="shared" si="43"/>
        <v>Lost</v>
      </c>
    </row>
    <row r="222" spans="1:31">
      <c r="A222" t="s">
        <v>324</v>
      </c>
      <c r="B222" s="1">
        <v>45734</v>
      </c>
      <c r="C222" t="s">
        <v>86</v>
      </c>
      <c r="D222" t="s">
        <v>87</v>
      </c>
      <c r="E222" t="s">
        <v>107</v>
      </c>
      <c r="F222" t="s">
        <v>52</v>
      </c>
      <c r="G222" t="s">
        <v>76</v>
      </c>
      <c r="H222" t="s">
        <v>47</v>
      </c>
      <c r="I222" t="s">
        <v>61</v>
      </c>
      <c r="J222" s="1">
        <v>45766</v>
      </c>
      <c r="K222" s="1">
        <v>45766</v>
      </c>
      <c r="L222" s="3">
        <v>5600</v>
      </c>
      <c r="M222" s="4">
        <v>0</v>
      </c>
      <c r="N222" s="4">
        <v>0</v>
      </c>
      <c r="O222" t="s">
        <v>79</v>
      </c>
      <c r="P222">
        <v>3</v>
      </c>
      <c r="Q222" t="str">
        <f>IFERROR(VLOOKUP(E222,Lookups!$A$5:$B$24,2,FALSE),"Other")</f>
        <v>Referral</v>
      </c>
      <c r="R222" t="str">
        <f>IFERROR(VLOOKUP(F222,Lookups!$D$5:$F$10,2,FALSE),"Unknown Product")</f>
        <v>NexaCRM Core</v>
      </c>
      <c r="S222" t="str">
        <f>IFERROR(VLOOKUP(F222,Lookups!$D$5:$F$10,3,FALSE),"Unknown")</f>
        <v>CRM</v>
      </c>
      <c r="T222" t="str">
        <f t="shared" si="33"/>
        <v>SMB</v>
      </c>
      <c r="U222" t="str">
        <f t="shared" si="34"/>
        <v>Lost</v>
      </c>
      <c r="V222" s="3">
        <f t="shared" si="35"/>
        <v>0</v>
      </c>
      <c r="W222" s="3">
        <f t="shared" si="36"/>
        <v>0</v>
      </c>
      <c r="X222" s="5">
        <f t="shared" si="37"/>
        <v>32</v>
      </c>
      <c r="Y222" s="5">
        <f>IF(U222="Open",Lookups!$B$2-B222,X222)</f>
        <v>32</v>
      </c>
      <c r="Z222" t="str">
        <f t="shared" si="38"/>
        <v>OK</v>
      </c>
      <c r="AA222" t="str">
        <f t="shared" si="39"/>
        <v>2025-03</v>
      </c>
      <c r="AB222" t="str">
        <f t="shared" si="40"/>
        <v>2025-04</v>
      </c>
      <c r="AC222" t="str">
        <f t="shared" si="41"/>
        <v>Q1-2025</v>
      </c>
      <c r="AD222" s="5">
        <f t="shared" si="42"/>
        <v>54</v>
      </c>
      <c r="AE222" t="str">
        <f t="shared" si="43"/>
        <v>Lost</v>
      </c>
    </row>
    <row r="223" spans="1:31">
      <c r="A223" t="s">
        <v>325</v>
      </c>
      <c r="B223" s="1">
        <v>46103</v>
      </c>
      <c r="C223" t="s">
        <v>148</v>
      </c>
      <c r="D223" t="s">
        <v>43</v>
      </c>
      <c r="E223" t="s">
        <v>115</v>
      </c>
      <c r="F223" t="s">
        <v>59</v>
      </c>
      <c r="G223" t="s">
        <v>94</v>
      </c>
      <c r="H223" t="s">
        <v>47</v>
      </c>
      <c r="I223" t="s">
        <v>54</v>
      </c>
      <c r="J223" s="1">
        <v>46247</v>
      </c>
      <c r="K223" s="1"/>
      <c r="L223" s="3">
        <v>16200</v>
      </c>
      <c r="M223" s="4">
        <v>0</v>
      </c>
      <c r="N223" s="4">
        <v>0.65</v>
      </c>
      <c r="P223">
        <v>4</v>
      </c>
      <c r="Q223" t="str">
        <f>IFERROR(VLOOKUP(E223,Lookups!$A$5:$B$24,2,FALSE),"Other")</f>
        <v>Outbound</v>
      </c>
      <c r="R223" t="str">
        <f>IFERROR(VLOOKUP(F223,Lookups!$D$5:$F$10,2,FALSE),"Unknown Product")</f>
        <v>NexaCRM Pro</v>
      </c>
      <c r="S223" t="str">
        <f>IFERROR(VLOOKUP(F223,Lookups!$D$5:$F$10,3,FALSE),"Unknown")</f>
        <v>CRM</v>
      </c>
      <c r="T223" t="str">
        <f t="shared" si="33"/>
        <v>SMB</v>
      </c>
      <c r="U223" t="str">
        <f t="shared" si="34"/>
        <v>Open</v>
      </c>
      <c r="V223" s="3">
        <f t="shared" si="35"/>
        <v>0</v>
      </c>
      <c r="W223" s="3">
        <f t="shared" si="36"/>
        <v>10530</v>
      </c>
      <c r="X223" s="5" t="str">
        <f t="shared" si="37"/>
        <v/>
      </c>
      <c r="Y223" s="5">
        <f>IF(U223="Open",Lookups!$B$2-B223,X223)</f>
        <v>163</v>
      </c>
      <c r="Z223" t="str">
        <f t="shared" si="38"/>
        <v>STALE</v>
      </c>
      <c r="AA223" t="str">
        <f t="shared" si="39"/>
        <v>2026-03</v>
      </c>
      <c r="AB223" t="str">
        <f t="shared" si="40"/>
        <v/>
      </c>
      <c r="AC223" t="str">
        <f t="shared" si="41"/>
        <v>Q1-2026</v>
      </c>
      <c r="AD223" s="5">
        <f t="shared" si="42"/>
        <v>43</v>
      </c>
      <c r="AE223" t="str">
        <f t="shared" si="43"/>
        <v>Best Case</v>
      </c>
    </row>
    <row r="224" spans="1:31">
      <c r="A224" t="s">
        <v>326</v>
      </c>
      <c r="B224" s="1">
        <v>45974</v>
      </c>
      <c r="C224" t="s">
        <v>50</v>
      </c>
      <c r="D224" t="s">
        <v>43</v>
      </c>
      <c r="E224" t="s">
        <v>115</v>
      </c>
      <c r="F224" t="s">
        <v>52</v>
      </c>
      <c r="G224" t="s">
        <v>112</v>
      </c>
      <c r="H224" t="s">
        <v>84</v>
      </c>
      <c r="I224" t="s">
        <v>48</v>
      </c>
      <c r="J224" s="1">
        <v>46216</v>
      </c>
      <c r="K224" s="1"/>
      <c r="L224" s="3">
        <v>28100</v>
      </c>
      <c r="M224" s="4">
        <v>0.05</v>
      </c>
      <c r="N224" s="4">
        <v>0.85</v>
      </c>
      <c r="P224">
        <v>5</v>
      </c>
      <c r="Q224" t="str">
        <f>IFERROR(VLOOKUP(E224,Lookups!$A$5:$B$24,2,FALSE),"Other")</f>
        <v>Outbound</v>
      </c>
      <c r="R224" t="str">
        <f>IFERROR(VLOOKUP(F224,Lookups!$D$5:$F$10,2,FALSE),"Unknown Product")</f>
        <v>NexaCRM Core</v>
      </c>
      <c r="S224" t="str">
        <f>IFERROR(VLOOKUP(F224,Lookups!$D$5:$F$10,3,FALSE),"Unknown")</f>
        <v>CRM</v>
      </c>
      <c r="T224" t="str">
        <f t="shared" si="33"/>
        <v>Mid-Market</v>
      </c>
      <c r="U224" t="str">
        <f t="shared" si="34"/>
        <v>Open</v>
      </c>
      <c r="V224" s="3">
        <f t="shared" si="35"/>
        <v>0</v>
      </c>
      <c r="W224" s="3">
        <f t="shared" si="36"/>
        <v>23885</v>
      </c>
      <c r="X224" s="5" t="str">
        <f t="shared" si="37"/>
        <v/>
      </c>
      <c r="Y224" s="5">
        <f>IF(U224="Open",Lookups!$B$2-B224,X224)</f>
        <v>292</v>
      </c>
      <c r="Z224" t="str">
        <f t="shared" si="38"/>
        <v>STALE</v>
      </c>
      <c r="AA224" t="str">
        <f t="shared" si="39"/>
        <v>2025-11</v>
      </c>
      <c r="AB224" t="str">
        <f t="shared" si="40"/>
        <v/>
      </c>
      <c r="AC224" t="str">
        <f t="shared" si="41"/>
        <v>Q4-2025</v>
      </c>
      <c r="AD224" s="5">
        <f t="shared" si="42"/>
        <v>72</v>
      </c>
      <c r="AE224" t="str">
        <f t="shared" si="43"/>
        <v>Commit</v>
      </c>
    </row>
    <row r="225" spans="1:31">
      <c r="A225" t="s">
        <v>327</v>
      </c>
      <c r="B225" s="1">
        <v>45996</v>
      </c>
      <c r="C225" t="s">
        <v>56</v>
      </c>
      <c r="D225" t="s">
        <v>57</v>
      </c>
      <c r="E225" t="s">
        <v>51</v>
      </c>
      <c r="F225" t="s">
        <v>59</v>
      </c>
      <c r="G225" t="s">
        <v>60</v>
      </c>
      <c r="H225" t="s">
        <v>47</v>
      </c>
      <c r="I225" t="s">
        <v>61</v>
      </c>
      <c r="J225" s="1">
        <v>46045</v>
      </c>
      <c r="K225" s="1">
        <v>46045</v>
      </c>
      <c r="L225" s="3">
        <v>23200</v>
      </c>
      <c r="M225" s="4">
        <v>0</v>
      </c>
      <c r="N225" s="4">
        <v>0</v>
      </c>
      <c r="O225" t="s">
        <v>79</v>
      </c>
      <c r="P225">
        <v>2</v>
      </c>
      <c r="Q225" t="str">
        <f>IFERROR(VLOOKUP(E225,Lookups!$A$5:$B$24,2,FALSE),"Other")</f>
        <v>Paid Search</v>
      </c>
      <c r="R225" t="str">
        <f>IFERROR(VLOOKUP(F225,Lookups!$D$5:$F$10,2,FALSE),"Unknown Product")</f>
        <v>NexaCRM Pro</v>
      </c>
      <c r="S225" t="str">
        <f>IFERROR(VLOOKUP(F225,Lookups!$D$5:$F$10,3,FALSE),"Unknown")</f>
        <v>CRM</v>
      </c>
      <c r="T225" t="str">
        <f t="shared" si="33"/>
        <v>Mid-Market</v>
      </c>
      <c r="U225" t="str">
        <f t="shared" si="34"/>
        <v>Lost</v>
      </c>
      <c r="V225" s="3">
        <f t="shared" si="35"/>
        <v>0</v>
      </c>
      <c r="W225" s="3">
        <f t="shared" si="36"/>
        <v>0</v>
      </c>
      <c r="X225" s="5">
        <f t="shared" si="37"/>
        <v>49</v>
      </c>
      <c r="Y225" s="5">
        <f>IF(U225="Open",Lookups!$B$2-B225,X225)</f>
        <v>49</v>
      </c>
      <c r="Z225" t="str">
        <f t="shared" si="38"/>
        <v>OK</v>
      </c>
      <c r="AA225" t="str">
        <f t="shared" si="39"/>
        <v>2025-12</v>
      </c>
      <c r="AB225" t="str">
        <f t="shared" si="40"/>
        <v>2026-01</v>
      </c>
      <c r="AC225" t="str">
        <f t="shared" si="41"/>
        <v>Q4-2025</v>
      </c>
      <c r="AD225" s="5">
        <f t="shared" si="42"/>
        <v>51</v>
      </c>
      <c r="AE225" t="str">
        <f t="shared" si="43"/>
        <v>Lost</v>
      </c>
    </row>
    <row r="226" spans="1:31">
      <c r="A226" t="s">
        <v>328</v>
      </c>
      <c r="B226" s="1">
        <v>45713</v>
      </c>
      <c r="C226" t="s">
        <v>86</v>
      </c>
      <c r="D226" t="s">
        <v>87</v>
      </c>
      <c r="E226" t="s">
        <v>146</v>
      </c>
      <c r="F226" t="s">
        <v>133</v>
      </c>
      <c r="G226" t="s">
        <v>46</v>
      </c>
      <c r="H226" t="s">
        <v>53</v>
      </c>
      <c r="I226" t="s">
        <v>61</v>
      </c>
      <c r="J226" s="1">
        <v>45757</v>
      </c>
      <c r="K226" s="1">
        <v>45757</v>
      </c>
      <c r="L226" s="3">
        <v>48000</v>
      </c>
      <c r="M226" s="4">
        <v>0</v>
      </c>
      <c r="N226" s="4">
        <v>0</v>
      </c>
      <c r="O226" t="s">
        <v>62</v>
      </c>
      <c r="P226">
        <v>2</v>
      </c>
      <c r="Q226" t="str">
        <f>IFERROR(VLOOKUP(E226,Lookups!$A$5:$B$24,2,FALSE),"Other")</f>
        <v>LinkedIn</v>
      </c>
      <c r="R226" t="str">
        <f>IFERROR(VLOOKUP(F226,Lookups!$D$5:$F$10,2,FALSE),"Unknown Product")</f>
        <v>Analytics Plus</v>
      </c>
      <c r="S226" t="str">
        <f>IFERROR(VLOOKUP(F226,Lookups!$D$5:$F$10,3,FALSE),"Unknown")</f>
        <v>Analytics</v>
      </c>
      <c r="T226" t="str">
        <f t="shared" si="33"/>
        <v>Mid-Market</v>
      </c>
      <c r="U226" t="str">
        <f t="shared" si="34"/>
        <v>Lost</v>
      </c>
      <c r="V226" s="3">
        <f t="shared" si="35"/>
        <v>0</v>
      </c>
      <c r="W226" s="3">
        <f t="shared" si="36"/>
        <v>0</v>
      </c>
      <c r="X226" s="5">
        <f t="shared" si="37"/>
        <v>44</v>
      </c>
      <c r="Y226" s="5">
        <f>IF(U226="Open",Lookups!$B$2-B226,X226)</f>
        <v>44</v>
      </c>
      <c r="Z226" t="str">
        <f t="shared" si="38"/>
        <v>OK</v>
      </c>
      <c r="AA226" t="str">
        <f t="shared" si="39"/>
        <v>2025-02</v>
      </c>
      <c r="AB226" t="str">
        <f t="shared" si="40"/>
        <v>2025-04</v>
      </c>
      <c r="AC226" t="str">
        <f t="shared" si="41"/>
        <v>Q1-2025</v>
      </c>
      <c r="AD226" s="5">
        <f t="shared" si="42"/>
        <v>59</v>
      </c>
      <c r="AE226" t="str">
        <f t="shared" si="43"/>
        <v>Lost</v>
      </c>
    </row>
    <row r="227" spans="1:31">
      <c r="A227" t="s">
        <v>329</v>
      </c>
      <c r="B227" s="1">
        <v>46209</v>
      </c>
      <c r="C227" t="s">
        <v>64</v>
      </c>
      <c r="D227" t="s">
        <v>57</v>
      </c>
      <c r="E227" t="s">
        <v>107</v>
      </c>
      <c r="F227" t="s">
        <v>133</v>
      </c>
      <c r="G227" t="s">
        <v>76</v>
      </c>
      <c r="H227" t="s">
        <v>47</v>
      </c>
      <c r="I227" t="s">
        <v>77</v>
      </c>
      <c r="J227" s="1">
        <v>46266</v>
      </c>
      <c r="K227" s="1">
        <v>46266</v>
      </c>
      <c r="L227" s="3">
        <v>17800</v>
      </c>
      <c r="M227" s="4">
        <v>0.08</v>
      </c>
      <c r="N227" s="4">
        <v>1</v>
      </c>
      <c r="P227">
        <v>6</v>
      </c>
      <c r="Q227" t="str">
        <f>IFERROR(VLOOKUP(E227,Lookups!$A$5:$B$24,2,FALSE),"Other")</f>
        <v>Referral</v>
      </c>
      <c r="R227" t="str">
        <f>IFERROR(VLOOKUP(F227,Lookups!$D$5:$F$10,2,FALSE),"Unknown Product")</f>
        <v>Analytics Plus</v>
      </c>
      <c r="S227" t="str">
        <f>IFERROR(VLOOKUP(F227,Lookups!$D$5:$F$10,3,FALSE),"Unknown")</f>
        <v>Analytics</v>
      </c>
      <c r="T227" t="str">
        <f t="shared" si="33"/>
        <v>SMB</v>
      </c>
      <c r="U227" t="str">
        <f t="shared" si="34"/>
        <v>Won</v>
      </c>
      <c r="V227" s="3">
        <f t="shared" si="35"/>
        <v>16376</v>
      </c>
      <c r="W227" s="3">
        <f t="shared" si="36"/>
        <v>0</v>
      </c>
      <c r="X227" s="5">
        <f t="shared" si="37"/>
        <v>57</v>
      </c>
      <c r="Y227" s="5">
        <f>IF(U227="Open",Lookups!$B$2-B227,X227)</f>
        <v>57</v>
      </c>
      <c r="Z227" t="str">
        <f t="shared" si="38"/>
        <v>OK</v>
      </c>
      <c r="AA227" t="str">
        <f t="shared" si="39"/>
        <v>2026-07</v>
      </c>
      <c r="AB227" t="str">
        <f t="shared" si="40"/>
        <v>2026-09</v>
      </c>
      <c r="AC227" t="str">
        <f t="shared" si="41"/>
        <v>Q3-2026</v>
      </c>
      <c r="AD227" s="5">
        <f t="shared" si="42"/>
        <v>54</v>
      </c>
      <c r="AE227" t="str">
        <f t="shared" si="43"/>
        <v>Won</v>
      </c>
    </row>
    <row r="228" spans="1:31">
      <c r="A228" t="s">
        <v>330</v>
      </c>
      <c r="B228" s="1">
        <v>45960</v>
      </c>
      <c r="C228" t="s">
        <v>86</v>
      </c>
      <c r="D228" t="s">
        <v>87</v>
      </c>
      <c r="E228" t="s">
        <v>109</v>
      </c>
      <c r="F228" t="s">
        <v>59</v>
      </c>
      <c r="G228" t="s">
        <v>76</v>
      </c>
      <c r="H228" t="s">
        <v>47</v>
      </c>
      <c r="I228" t="s">
        <v>61</v>
      </c>
      <c r="J228" s="1">
        <v>46017</v>
      </c>
      <c r="K228" s="1">
        <v>46017</v>
      </c>
      <c r="L228" s="3">
        <v>18400</v>
      </c>
      <c r="M228" s="4">
        <v>0</v>
      </c>
      <c r="N228" s="4">
        <v>0</v>
      </c>
      <c r="O228" t="s">
        <v>81</v>
      </c>
      <c r="P228">
        <v>3</v>
      </c>
      <c r="Q228" t="str">
        <f>IFERROR(VLOOKUP(E228,Lookups!$A$5:$B$24,2,FALSE),"Other")</f>
        <v>Outbound</v>
      </c>
      <c r="R228" t="str">
        <f>IFERROR(VLOOKUP(F228,Lookups!$D$5:$F$10,2,FALSE),"Unknown Product")</f>
        <v>NexaCRM Pro</v>
      </c>
      <c r="S228" t="str">
        <f>IFERROR(VLOOKUP(F228,Lookups!$D$5:$F$10,3,FALSE),"Unknown")</f>
        <v>CRM</v>
      </c>
      <c r="T228" t="str">
        <f t="shared" si="33"/>
        <v>SMB</v>
      </c>
      <c r="U228" t="str">
        <f t="shared" si="34"/>
        <v>Lost</v>
      </c>
      <c r="V228" s="3">
        <f t="shared" si="35"/>
        <v>0</v>
      </c>
      <c r="W228" s="3">
        <f t="shared" si="36"/>
        <v>0</v>
      </c>
      <c r="X228" s="5">
        <f t="shared" si="37"/>
        <v>57</v>
      </c>
      <c r="Y228" s="5">
        <f>IF(U228="Open",Lookups!$B$2-B228,X228)</f>
        <v>57</v>
      </c>
      <c r="Z228" t="str">
        <f t="shared" si="38"/>
        <v>OK</v>
      </c>
      <c r="AA228" t="str">
        <f t="shared" si="39"/>
        <v>2025-10</v>
      </c>
      <c r="AB228" t="str">
        <f t="shared" si="40"/>
        <v>2025-12</v>
      </c>
      <c r="AC228" t="str">
        <f t="shared" si="41"/>
        <v>Q4-2025</v>
      </c>
      <c r="AD228" s="5">
        <f t="shared" si="42"/>
        <v>43</v>
      </c>
      <c r="AE228" t="str">
        <f t="shared" si="43"/>
        <v>Lost</v>
      </c>
    </row>
    <row r="229" spans="1:31">
      <c r="A229" t="s">
        <v>331</v>
      </c>
      <c r="B229" s="1">
        <v>46210</v>
      </c>
      <c r="C229" t="s">
        <v>42</v>
      </c>
      <c r="D229" t="s">
        <v>43</v>
      </c>
      <c r="E229" t="s">
        <v>109</v>
      </c>
      <c r="F229" t="s">
        <v>59</v>
      </c>
      <c r="G229" t="s">
        <v>112</v>
      </c>
      <c r="H229" t="s">
        <v>47</v>
      </c>
      <c r="I229" t="s">
        <v>73</v>
      </c>
      <c r="J229" s="1">
        <v>46236</v>
      </c>
      <c r="K229" s="1"/>
      <c r="L229" s="3">
        <v>13700</v>
      </c>
      <c r="M229" s="4">
        <v>0</v>
      </c>
      <c r="N229" s="4">
        <v>0.2</v>
      </c>
      <c r="P229">
        <v>2</v>
      </c>
      <c r="Q229" t="str">
        <f>IFERROR(VLOOKUP(E229,Lookups!$A$5:$B$24,2,FALSE),"Other")</f>
        <v>Outbound</v>
      </c>
      <c r="R229" t="str">
        <f>IFERROR(VLOOKUP(F229,Lookups!$D$5:$F$10,2,FALSE),"Unknown Product")</f>
        <v>NexaCRM Pro</v>
      </c>
      <c r="S229" t="str">
        <f>IFERROR(VLOOKUP(F229,Lookups!$D$5:$F$10,3,FALSE),"Unknown")</f>
        <v>CRM</v>
      </c>
      <c r="T229" t="str">
        <f t="shared" si="33"/>
        <v>SMB</v>
      </c>
      <c r="U229" t="str">
        <f t="shared" si="34"/>
        <v>Open</v>
      </c>
      <c r="V229" s="3">
        <f t="shared" si="35"/>
        <v>0</v>
      </c>
      <c r="W229" s="3">
        <f t="shared" si="36"/>
        <v>2740</v>
      </c>
      <c r="X229" s="5" t="str">
        <f t="shared" si="37"/>
        <v/>
      </c>
      <c r="Y229" s="5">
        <f>IF(U229="Open",Lookups!$B$2-B229,X229)</f>
        <v>56</v>
      </c>
      <c r="Z229" t="str">
        <f t="shared" si="38"/>
        <v>STALE</v>
      </c>
      <c r="AA229" t="str">
        <f t="shared" si="39"/>
        <v>2026-07</v>
      </c>
      <c r="AB229" t="str">
        <f t="shared" si="40"/>
        <v/>
      </c>
      <c r="AC229" t="str">
        <f t="shared" si="41"/>
        <v>Q3-2026</v>
      </c>
      <c r="AD229" s="5">
        <f t="shared" si="42"/>
        <v>48</v>
      </c>
      <c r="AE229" t="str">
        <f t="shared" si="43"/>
        <v>Pipeline</v>
      </c>
    </row>
    <row r="230" spans="1:31">
      <c r="A230" t="s">
        <v>332</v>
      </c>
      <c r="B230" s="1">
        <v>45872</v>
      </c>
      <c r="C230" t="s">
        <v>56</v>
      </c>
      <c r="D230" t="s">
        <v>57</v>
      </c>
      <c r="E230" t="s">
        <v>58</v>
      </c>
      <c r="F230" t="s">
        <v>52</v>
      </c>
      <c r="G230" t="s">
        <v>94</v>
      </c>
      <c r="H230" t="s">
        <v>47</v>
      </c>
      <c r="I230" t="s">
        <v>61</v>
      </c>
      <c r="J230" s="1">
        <v>45907</v>
      </c>
      <c r="K230" s="1">
        <v>45907</v>
      </c>
      <c r="L230" s="3">
        <v>7000</v>
      </c>
      <c r="M230" s="4">
        <v>0</v>
      </c>
      <c r="N230" s="4">
        <v>0</v>
      </c>
      <c r="O230" t="s">
        <v>62</v>
      </c>
      <c r="P230">
        <v>5</v>
      </c>
      <c r="Q230" t="str">
        <f>IFERROR(VLOOKUP(E230,Lookups!$A$5:$B$24,2,FALSE),"Other")</f>
        <v>Email</v>
      </c>
      <c r="R230" t="str">
        <f>IFERROR(VLOOKUP(F230,Lookups!$D$5:$F$10,2,FALSE),"Unknown Product")</f>
        <v>NexaCRM Core</v>
      </c>
      <c r="S230" t="str">
        <f>IFERROR(VLOOKUP(F230,Lookups!$D$5:$F$10,3,FALSE),"Unknown")</f>
        <v>CRM</v>
      </c>
      <c r="T230" t="str">
        <f t="shared" si="33"/>
        <v>SMB</v>
      </c>
      <c r="U230" t="str">
        <f t="shared" si="34"/>
        <v>Lost</v>
      </c>
      <c r="V230" s="3">
        <f t="shared" si="35"/>
        <v>0</v>
      </c>
      <c r="W230" s="3">
        <f t="shared" si="36"/>
        <v>0</v>
      </c>
      <c r="X230" s="5">
        <f t="shared" si="37"/>
        <v>35</v>
      </c>
      <c r="Y230" s="5">
        <f>IF(U230="Open",Lookups!$B$2-B230,X230)</f>
        <v>35</v>
      </c>
      <c r="Z230" t="str">
        <f t="shared" si="38"/>
        <v>OK</v>
      </c>
      <c r="AA230" t="str">
        <f t="shared" si="39"/>
        <v>2025-08</v>
      </c>
      <c r="AB230" t="str">
        <f t="shared" si="40"/>
        <v>2025-09</v>
      </c>
      <c r="AC230" t="str">
        <f t="shared" si="41"/>
        <v>Q3-2025</v>
      </c>
      <c r="AD230" s="5">
        <f t="shared" si="42"/>
        <v>47</v>
      </c>
      <c r="AE230" t="str">
        <f t="shared" si="43"/>
        <v>Lost</v>
      </c>
    </row>
    <row r="231" spans="1:31">
      <c r="A231" t="s">
        <v>333</v>
      </c>
      <c r="B231" s="1">
        <v>46207</v>
      </c>
      <c r="C231" t="s">
        <v>50</v>
      </c>
      <c r="D231" t="s">
        <v>43</v>
      </c>
      <c r="E231" t="s">
        <v>119</v>
      </c>
      <c r="F231" t="s">
        <v>52</v>
      </c>
      <c r="G231" t="s">
        <v>46</v>
      </c>
      <c r="H231" t="s">
        <v>53</v>
      </c>
      <c r="I231" t="s">
        <v>73</v>
      </c>
      <c r="J231" s="1">
        <v>46241</v>
      </c>
      <c r="K231" s="1"/>
      <c r="L231" s="3">
        <v>13000</v>
      </c>
      <c r="M231" s="4">
        <v>0</v>
      </c>
      <c r="N231" s="4">
        <v>0.2</v>
      </c>
      <c r="P231">
        <v>2</v>
      </c>
      <c r="Q231" t="str">
        <f>IFERROR(VLOOKUP(E231,Lookups!$A$5:$B$24,2,FALSE),"Other")</f>
        <v>Referral</v>
      </c>
      <c r="R231" t="str">
        <f>IFERROR(VLOOKUP(F231,Lookups!$D$5:$F$10,2,FALSE),"Unknown Product")</f>
        <v>NexaCRM Core</v>
      </c>
      <c r="S231" t="str">
        <f>IFERROR(VLOOKUP(F231,Lookups!$D$5:$F$10,3,FALSE),"Unknown")</f>
        <v>CRM</v>
      </c>
      <c r="T231" t="str">
        <f t="shared" si="33"/>
        <v>SMB</v>
      </c>
      <c r="U231" t="str">
        <f t="shared" si="34"/>
        <v>Open</v>
      </c>
      <c r="V231" s="3">
        <f t="shared" si="35"/>
        <v>0</v>
      </c>
      <c r="W231" s="3">
        <f t="shared" si="36"/>
        <v>2600</v>
      </c>
      <c r="X231" s="5" t="str">
        <f t="shared" si="37"/>
        <v/>
      </c>
      <c r="Y231" s="5">
        <f>IF(U231="Open",Lookups!$B$2-B231,X231)</f>
        <v>59</v>
      </c>
      <c r="Z231" t="str">
        <f t="shared" si="38"/>
        <v>STALE</v>
      </c>
      <c r="AA231" t="str">
        <f t="shared" si="39"/>
        <v>2026-07</v>
      </c>
      <c r="AB231" t="str">
        <f t="shared" si="40"/>
        <v/>
      </c>
      <c r="AC231" t="str">
        <f t="shared" si="41"/>
        <v>Q3-2026</v>
      </c>
      <c r="AD231" s="5">
        <f t="shared" si="42"/>
        <v>62</v>
      </c>
      <c r="AE231" t="str">
        <f t="shared" si="43"/>
        <v>Pipeline</v>
      </c>
    </row>
    <row r="232" spans="1:31">
      <c r="A232" t="s">
        <v>334</v>
      </c>
      <c r="B232" s="1">
        <v>45758</v>
      </c>
      <c r="C232" t="s">
        <v>148</v>
      </c>
      <c r="D232" t="s">
        <v>43</v>
      </c>
      <c r="E232" t="s">
        <v>83</v>
      </c>
      <c r="F232" t="s">
        <v>59</v>
      </c>
      <c r="G232" t="s">
        <v>76</v>
      </c>
      <c r="H232" t="s">
        <v>53</v>
      </c>
      <c r="I232" t="s">
        <v>61</v>
      </c>
      <c r="J232" s="1">
        <v>45824</v>
      </c>
      <c r="K232" s="1">
        <v>45824</v>
      </c>
      <c r="L232" s="3">
        <v>43600</v>
      </c>
      <c r="M232" s="4">
        <v>0</v>
      </c>
      <c r="N232" s="4">
        <v>0</v>
      </c>
      <c r="O232" t="s">
        <v>102</v>
      </c>
      <c r="P232">
        <v>5</v>
      </c>
      <c r="Q232" t="str">
        <f>IFERROR(VLOOKUP(E232,Lookups!$A$5:$B$24,2,FALSE),"Other")</f>
        <v>Organic Search</v>
      </c>
      <c r="R232" t="str">
        <f>IFERROR(VLOOKUP(F232,Lookups!$D$5:$F$10,2,FALSE),"Unknown Product")</f>
        <v>NexaCRM Pro</v>
      </c>
      <c r="S232" t="str">
        <f>IFERROR(VLOOKUP(F232,Lookups!$D$5:$F$10,3,FALSE),"Unknown")</f>
        <v>CRM</v>
      </c>
      <c r="T232" t="str">
        <f t="shared" si="33"/>
        <v>Mid-Market</v>
      </c>
      <c r="U232" t="str">
        <f t="shared" si="34"/>
        <v>Lost</v>
      </c>
      <c r="V232" s="3">
        <f t="shared" si="35"/>
        <v>0</v>
      </c>
      <c r="W232" s="3">
        <f t="shared" si="36"/>
        <v>0</v>
      </c>
      <c r="X232" s="5">
        <f t="shared" si="37"/>
        <v>66</v>
      </c>
      <c r="Y232" s="5">
        <f>IF(U232="Open",Lookups!$B$2-B232,X232)</f>
        <v>66</v>
      </c>
      <c r="Z232" t="str">
        <f t="shared" si="38"/>
        <v>OK</v>
      </c>
      <c r="AA232" t="str">
        <f t="shared" si="39"/>
        <v>2025-04</v>
      </c>
      <c r="AB232" t="str">
        <f t="shared" si="40"/>
        <v>2025-06</v>
      </c>
      <c r="AC232" t="str">
        <f t="shared" si="41"/>
        <v>Q2-2025</v>
      </c>
      <c r="AD232" s="5">
        <f t="shared" si="42"/>
        <v>65</v>
      </c>
      <c r="AE232" t="str">
        <f t="shared" si="43"/>
        <v>Lost</v>
      </c>
    </row>
    <row r="233" spans="1:31">
      <c r="A233" t="s">
        <v>335</v>
      </c>
      <c r="B233" s="1">
        <v>46033</v>
      </c>
      <c r="C233" t="s">
        <v>148</v>
      </c>
      <c r="D233" t="s">
        <v>43</v>
      </c>
      <c r="E233" t="s">
        <v>51</v>
      </c>
      <c r="F233" t="s">
        <v>52</v>
      </c>
      <c r="G233" t="s">
        <v>72</v>
      </c>
      <c r="H233" t="s">
        <v>47</v>
      </c>
      <c r="I233" t="s">
        <v>61</v>
      </c>
      <c r="J233" s="1">
        <v>46053</v>
      </c>
      <c r="K233" s="1">
        <v>46053</v>
      </c>
      <c r="L233" s="3">
        <v>9700</v>
      </c>
      <c r="M233" s="4">
        <v>0</v>
      </c>
      <c r="N233" s="4">
        <v>0</v>
      </c>
      <c r="O233" t="s">
        <v>81</v>
      </c>
      <c r="P233">
        <v>4</v>
      </c>
      <c r="Q233" t="str">
        <f>IFERROR(VLOOKUP(E233,Lookups!$A$5:$B$24,2,FALSE),"Other")</f>
        <v>Paid Search</v>
      </c>
      <c r="R233" t="str">
        <f>IFERROR(VLOOKUP(F233,Lookups!$D$5:$F$10,2,FALSE),"Unknown Product")</f>
        <v>NexaCRM Core</v>
      </c>
      <c r="S233" t="str">
        <f>IFERROR(VLOOKUP(F233,Lookups!$D$5:$F$10,3,FALSE),"Unknown")</f>
        <v>CRM</v>
      </c>
      <c r="T233" t="str">
        <f t="shared" si="33"/>
        <v>SMB</v>
      </c>
      <c r="U233" t="str">
        <f t="shared" si="34"/>
        <v>Lost</v>
      </c>
      <c r="V233" s="3">
        <f t="shared" si="35"/>
        <v>0</v>
      </c>
      <c r="W233" s="3">
        <f t="shared" si="36"/>
        <v>0</v>
      </c>
      <c r="X233" s="5">
        <f t="shared" si="37"/>
        <v>20</v>
      </c>
      <c r="Y233" s="5">
        <f>IF(U233="Open",Lookups!$B$2-B233,X233)</f>
        <v>20</v>
      </c>
      <c r="Z233" t="str">
        <f t="shared" si="38"/>
        <v>OK</v>
      </c>
      <c r="AA233" t="str">
        <f t="shared" si="39"/>
        <v>2026-01</v>
      </c>
      <c r="AB233" t="str">
        <f t="shared" si="40"/>
        <v>2026-01</v>
      </c>
      <c r="AC233" t="str">
        <f t="shared" si="41"/>
        <v>Q1-2026</v>
      </c>
      <c r="AD233" s="5">
        <f t="shared" si="42"/>
        <v>43</v>
      </c>
      <c r="AE233" t="str">
        <f t="shared" si="43"/>
        <v>Lost</v>
      </c>
    </row>
    <row r="234" spans="1:31">
      <c r="A234" t="s">
        <v>336</v>
      </c>
      <c r="B234" s="1">
        <v>46071</v>
      </c>
      <c r="C234" t="s">
        <v>56</v>
      </c>
      <c r="D234" t="s">
        <v>57</v>
      </c>
      <c r="E234" t="s">
        <v>98</v>
      </c>
      <c r="F234" t="s">
        <v>59</v>
      </c>
      <c r="G234" t="s">
        <v>94</v>
      </c>
      <c r="H234" t="s">
        <v>53</v>
      </c>
      <c r="I234" t="s">
        <v>61</v>
      </c>
      <c r="J234" s="1">
        <v>46125</v>
      </c>
      <c r="K234" s="1">
        <v>46125</v>
      </c>
      <c r="L234" s="3">
        <v>25800</v>
      </c>
      <c r="M234" s="4">
        <v>0</v>
      </c>
      <c r="N234" s="4">
        <v>0</v>
      </c>
      <c r="O234" t="s">
        <v>79</v>
      </c>
      <c r="P234">
        <v>3</v>
      </c>
      <c r="Q234" t="str">
        <f>IFERROR(VLOOKUP(E234,Lookups!$A$5:$B$24,2,FALSE),"Other")</f>
        <v>Outbound</v>
      </c>
      <c r="R234" t="str">
        <f>IFERROR(VLOOKUP(F234,Lookups!$D$5:$F$10,2,FALSE),"Unknown Product")</f>
        <v>NexaCRM Pro</v>
      </c>
      <c r="S234" t="str">
        <f>IFERROR(VLOOKUP(F234,Lookups!$D$5:$F$10,3,FALSE),"Unknown")</f>
        <v>CRM</v>
      </c>
      <c r="T234" t="str">
        <f t="shared" si="33"/>
        <v>Mid-Market</v>
      </c>
      <c r="U234" t="str">
        <f t="shared" si="34"/>
        <v>Lost</v>
      </c>
      <c r="V234" s="3">
        <f t="shared" si="35"/>
        <v>0</v>
      </c>
      <c r="W234" s="3">
        <f t="shared" si="36"/>
        <v>0</v>
      </c>
      <c r="X234" s="5">
        <f t="shared" si="37"/>
        <v>54</v>
      </c>
      <c r="Y234" s="5">
        <f>IF(U234="Open",Lookups!$B$2-B234,X234)</f>
        <v>54</v>
      </c>
      <c r="Z234" t="str">
        <f t="shared" si="38"/>
        <v>OK</v>
      </c>
      <c r="AA234" t="str">
        <f t="shared" si="39"/>
        <v>2026-02</v>
      </c>
      <c r="AB234" t="str">
        <f t="shared" si="40"/>
        <v>2026-04</v>
      </c>
      <c r="AC234" t="str">
        <f t="shared" si="41"/>
        <v>Q1-2026</v>
      </c>
      <c r="AD234" s="5">
        <f t="shared" si="42"/>
        <v>59</v>
      </c>
      <c r="AE234" t="str">
        <f t="shared" si="43"/>
        <v>Lost</v>
      </c>
    </row>
    <row r="235" spans="1:31">
      <c r="A235" t="s">
        <v>337</v>
      </c>
      <c r="B235" s="1">
        <v>46261</v>
      </c>
      <c r="C235" t="s">
        <v>56</v>
      </c>
      <c r="D235" t="s">
        <v>57</v>
      </c>
      <c r="E235" t="s">
        <v>127</v>
      </c>
      <c r="F235" t="s">
        <v>59</v>
      </c>
      <c r="G235" t="s">
        <v>99</v>
      </c>
      <c r="H235" t="s">
        <v>53</v>
      </c>
      <c r="I235" t="s">
        <v>187</v>
      </c>
      <c r="J235" s="1">
        <v>46263</v>
      </c>
      <c r="K235" s="1"/>
      <c r="L235" s="3">
        <v>32700</v>
      </c>
      <c r="M235" s="4">
        <v>0</v>
      </c>
      <c r="N235" s="4">
        <v>0.05</v>
      </c>
      <c r="P235">
        <v>1</v>
      </c>
      <c r="Q235" t="str">
        <f>IFERROR(VLOOKUP(E235,Lookups!$A$5:$B$24,2,FALSE),"Other")</f>
        <v>Paid Search</v>
      </c>
      <c r="R235" t="str">
        <f>IFERROR(VLOOKUP(F235,Lookups!$D$5:$F$10,2,FALSE),"Unknown Product")</f>
        <v>NexaCRM Pro</v>
      </c>
      <c r="S235" t="str">
        <f>IFERROR(VLOOKUP(F235,Lookups!$D$5:$F$10,3,FALSE),"Unknown")</f>
        <v>CRM</v>
      </c>
      <c r="T235" t="str">
        <f t="shared" si="33"/>
        <v>Mid-Market</v>
      </c>
      <c r="U235" t="str">
        <f t="shared" si="34"/>
        <v>Open</v>
      </c>
      <c r="V235" s="3">
        <f t="shared" si="35"/>
        <v>0</v>
      </c>
      <c r="W235" s="3">
        <f t="shared" si="36"/>
        <v>1635</v>
      </c>
      <c r="X235" s="5" t="str">
        <f t="shared" si="37"/>
        <v/>
      </c>
      <c r="Y235" s="5">
        <f>IF(U235="Open",Lookups!$B$2-B235,X235)</f>
        <v>5</v>
      </c>
      <c r="Z235" t="str">
        <f t="shared" si="38"/>
        <v>OK</v>
      </c>
      <c r="AA235" t="str">
        <f t="shared" si="39"/>
        <v>2026-08</v>
      </c>
      <c r="AB235" t="str">
        <f t="shared" si="40"/>
        <v/>
      </c>
      <c r="AC235" t="str">
        <f t="shared" si="41"/>
        <v>Q3-2026</v>
      </c>
      <c r="AD235" s="5">
        <f t="shared" si="42"/>
        <v>59</v>
      </c>
      <c r="AE235" t="str">
        <f t="shared" si="43"/>
        <v>Pipeline</v>
      </c>
    </row>
    <row r="236" spans="1:31">
      <c r="A236" t="s">
        <v>338</v>
      </c>
      <c r="B236" s="1">
        <v>46014</v>
      </c>
      <c r="C236" t="s">
        <v>90</v>
      </c>
      <c r="D236" t="s">
        <v>57</v>
      </c>
      <c r="E236" t="s">
        <v>83</v>
      </c>
      <c r="F236" t="s">
        <v>45</v>
      </c>
      <c r="G236" t="s">
        <v>60</v>
      </c>
      <c r="H236" t="s">
        <v>47</v>
      </c>
      <c r="I236" t="s">
        <v>48</v>
      </c>
      <c r="J236" s="1">
        <v>46177</v>
      </c>
      <c r="K236" s="1"/>
      <c r="L236" s="3">
        <v>20100</v>
      </c>
      <c r="M236" s="4">
        <v>0</v>
      </c>
      <c r="N236" s="4">
        <v>0.85</v>
      </c>
      <c r="P236">
        <v>5</v>
      </c>
      <c r="Q236" t="str">
        <f>IFERROR(VLOOKUP(E236,Lookups!$A$5:$B$24,2,FALSE),"Other")</f>
        <v>Organic Search</v>
      </c>
      <c r="R236" t="str">
        <f>IFERROR(VLOOKUP(F236,Lookups!$D$5:$F$10,2,FALSE),"Unknown Product")</f>
        <v>Service Cloud</v>
      </c>
      <c r="S236" t="str">
        <f>IFERROR(VLOOKUP(F236,Lookups!$D$5:$F$10,3,FALSE),"Unknown")</f>
        <v>Customer Service</v>
      </c>
      <c r="T236" t="str">
        <f t="shared" si="33"/>
        <v>Mid-Market</v>
      </c>
      <c r="U236" t="str">
        <f t="shared" si="34"/>
        <v>Open</v>
      </c>
      <c r="V236" s="3">
        <f t="shared" si="35"/>
        <v>0</v>
      </c>
      <c r="W236" s="3">
        <f t="shared" si="36"/>
        <v>17085</v>
      </c>
      <c r="X236" s="5" t="str">
        <f t="shared" si="37"/>
        <v/>
      </c>
      <c r="Y236" s="5">
        <f>IF(U236="Open",Lookups!$B$2-B236,X236)</f>
        <v>252</v>
      </c>
      <c r="Z236" t="str">
        <f t="shared" si="38"/>
        <v>STALE</v>
      </c>
      <c r="AA236" t="str">
        <f t="shared" si="39"/>
        <v>2025-12</v>
      </c>
      <c r="AB236" t="str">
        <f t="shared" si="40"/>
        <v/>
      </c>
      <c r="AC236" t="str">
        <f t="shared" si="41"/>
        <v>Q4-2025</v>
      </c>
      <c r="AD236" s="5">
        <f t="shared" si="42"/>
        <v>57</v>
      </c>
      <c r="AE236" t="str">
        <f t="shared" si="43"/>
        <v>Commit</v>
      </c>
    </row>
    <row r="237" spans="1:31">
      <c r="A237" t="s">
        <v>339</v>
      </c>
      <c r="B237" s="1">
        <v>45727</v>
      </c>
      <c r="C237" t="s">
        <v>148</v>
      </c>
      <c r="D237" t="s">
        <v>43</v>
      </c>
      <c r="E237" t="s">
        <v>138</v>
      </c>
      <c r="F237" t="s">
        <v>59</v>
      </c>
      <c r="G237" t="s">
        <v>76</v>
      </c>
      <c r="H237" t="s">
        <v>47</v>
      </c>
      <c r="I237" t="s">
        <v>61</v>
      </c>
      <c r="J237" s="1">
        <v>45769</v>
      </c>
      <c r="K237" s="1">
        <v>45769</v>
      </c>
      <c r="L237" s="3">
        <v>16900</v>
      </c>
      <c r="M237" s="4">
        <v>0</v>
      </c>
      <c r="N237" s="4">
        <v>0</v>
      </c>
      <c r="O237" t="s">
        <v>79</v>
      </c>
      <c r="P237">
        <v>4</v>
      </c>
      <c r="Q237" t="str">
        <f>IFERROR(VLOOKUP(E237,Lookups!$A$5:$B$24,2,FALSE),"Other")</f>
        <v>Organic Search</v>
      </c>
      <c r="R237" t="str">
        <f>IFERROR(VLOOKUP(F237,Lookups!$D$5:$F$10,2,FALSE),"Unknown Product")</f>
        <v>NexaCRM Pro</v>
      </c>
      <c r="S237" t="str">
        <f>IFERROR(VLOOKUP(F237,Lookups!$D$5:$F$10,3,FALSE),"Unknown")</f>
        <v>CRM</v>
      </c>
      <c r="T237" t="str">
        <f t="shared" si="33"/>
        <v>SMB</v>
      </c>
      <c r="U237" t="str">
        <f t="shared" si="34"/>
        <v>Lost</v>
      </c>
      <c r="V237" s="3">
        <f t="shared" si="35"/>
        <v>0</v>
      </c>
      <c r="W237" s="3">
        <f t="shared" si="36"/>
        <v>0</v>
      </c>
      <c r="X237" s="5">
        <f t="shared" si="37"/>
        <v>42</v>
      </c>
      <c r="Y237" s="5">
        <f>IF(U237="Open",Lookups!$B$2-B237,X237)</f>
        <v>42</v>
      </c>
      <c r="Z237" t="str">
        <f t="shared" si="38"/>
        <v>OK</v>
      </c>
      <c r="AA237" t="str">
        <f t="shared" si="39"/>
        <v>2025-03</v>
      </c>
      <c r="AB237" t="str">
        <f t="shared" si="40"/>
        <v>2025-04</v>
      </c>
      <c r="AC237" t="str">
        <f t="shared" si="41"/>
        <v>Q1-2025</v>
      </c>
      <c r="AD237" s="5">
        <f t="shared" si="42"/>
        <v>49</v>
      </c>
      <c r="AE237" t="str">
        <f t="shared" si="43"/>
        <v>Lost</v>
      </c>
    </row>
    <row r="238" spans="1:31">
      <c r="A238" t="s">
        <v>340</v>
      </c>
      <c r="B238" s="1">
        <v>45750</v>
      </c>
      <c r="C238" t="s">
        <v>90</v>
      </c>
      <c r="D238" t="s">
        <v>57</v>
      </c>
      <c r="E238" t="s">
        <v>83</v>
      </c>
      <c r="F238" t="s">
        <v>59</v>
      </c>
      <c r="G238" t="s">
        <v>76</v>
      </c>
      <c r="H238" t="s">
        <v>47</v>
      </c>
      <c r="I238" t="s">
        <v>48</v>
      </c>
      <c r="J238" s="1">
        <v>46196</v>
      </c>
      <c r="K238" s="1"/>
      <c r="L238" s="3">
        <v>20800</v>
      </c>
      <c r="M238" s="4">
        <v>0</v>
      </c>
      <c r="N238" s="4">
        <v>0.85</v>
      </c>
      <c r="P238">
        <v>5</v>
      </c>
      <c r="Q238" t="str">
        <f>IFERROR(VLOOKUP(E238,Lookups!$A$5:$B$24,2,FALSE),"Other")</f>
        <v>Organic Search</v>
      </c>
      <c r="R238" t="str">
        <f>IFERROR(VLOOKUP(F238,Lookups!$D$5:$F$10,2,FALSE),"Unknown Product")</f>
        <v>NexaCRM Pro</v>
      </c>
      <c r="S238" t="str">
        <f>IFERROR(VLOOKUP(F238,Lookups!$D$5:$F$10,3,FALSE),"Unknown")</f>
        <v>CRM</v>
      </c>
      <c r="T238" t="str">
        <f t="shared" si="33"/>
        <v>Mid-Market</v>
      </c>
      <c r="U238" t="str">
        <f t="shared" si="34"/>
        <v>Open</v>
      </c>
      <c r="V238" s="3">
        <f t="shared" si="35"/>
        <v>0</v>
      </c>
      <c r="W238" s="3">
        <f t="shared" si="36"/>
        <v>17680</v>
      </c>
      <c r="X238" s="5" t="str">
        <f t="shared" si="37"/>
        <v/>
      </c>
      <c r="Y238" s="5">
        <f>IF(U238="Open",Lookups!$B$2-B238,X238)</f>
        <v>516</v>
      </c>
      <c r="Z238" t="str">
        <f t="shared" si="38"/>
        <v>STALE</v>
      </c>
      <c r="AA238" t="str">
        <f t="shared" si="39"/>
        <v>2025-04</v>
      </c>
      <c r="AB238" t="str">
        <f t="shared" si="40"/>
        <v/>
      </c>
      <c r="AC238" t="str">
        <f t="shared" si="41"/>
        <v>Q2-2025</v>
      </c>
      <c r="AD238" s="5">
        <f t="shared" si="42"/>
        <v>57</v>
      </c>
      <c r="AE238" t="str">
        <f t="shared" si="43"/>
        <v>Commit</v>
      </c>
    </row>
    <row r="239" spans="1:31">
      <c r="A239" t="s">
        <v>341</v>
      </c>
      <c r="B239" s="1">
        <v>46004</v>
      </c>
      <c r="C239" t="s">
        <v>64</v>
      </c>
      <c r="D239" t="s">
        <v>57</v>
      </c>
      <c r="E239" t="s">
        <v>127</v>
      </c>
      <c r="F239" t="s">
        <v>67</v>
      </c>
      <c r="G239" t="s">
        <v>60</v>
      </c>
      <c r="H239" t="s">
        <v>84</v>
      </c>
      <c r="I239" t="s">
        <v>48</v>
      </c>
      <c r="J239" s="1">
        <v>46145</v>
      </c>
      <c r="K239" s="1"/>
      <c r="L239" s="3">
        <v>86800</v>
      </c>
      <c r="M239" s="4">
        <v>0</v>
      </c>
      <c r="N239" s="4">
        <v>0.85</v>
      </c>
      <c r="P239">
        <v>5</v>
      </c>
      <c r="Q239" t="str">
        <f>IFERROR(VLOOKUP(E239,Lookups!$A$5:$B$24,2,FALSE),"Other")</f>
        <v>Paid Search</v>
      </c>
      <c r="R239" t="str">
        <f>IFERROR(VLOOKUP(F239,Lookups!$D$5:$F$10,2,FALSE),"Unknown Product")</f>
        <v>Revenue Operations Suite</v>
      </c>
      <c r="S239" t="str">
        <f>IFERROR(VLOOKUP(F239,Lookups!$D$5:$F$10,3,FALSE),"Unknown")</f>
        <v>Revenue Ops</v>
      </c>
      <c r="T239" t="str">
        <f t="shared" si="33"/>
        <v>Enterprise</v>
      </c>
      <c r="U239" t="str">
        <f t="shared" si="34"/>
        <v>Open</v>
      </c>
      <c r="V239" s="3">
        <f t="shared" si="35"/>
        <v>0</v>
      </c>
      <c r="W239" s="3">
        <f t="shared" si="36"/>
        <v>73780</v>
      </c>
      <c r="X239" s="5" t="str">
        <f t="shared" si="37"/>
        <v/>
      </c>
      <c r="Y239" s="5">
        <f>IF(U239="Open",Lookups!$B$2-B239,X239)</f>
        <v>262</v>
      </c>
      <c r="Z239" t="str">
        <f t="shared" si="38"/>
        <v>STALE</v>
      </c>
      <c r="AA239" t="str">
        <f t="shared" si="39"/>
        <v>2025-12</v>
      </c>
      <c r="AB239" t="str">
        <f t="shared" si="40"/>
        <v/>
      </c>
      <c r="AC239" t="str">
        <f t="shared" si="41"/>
        <v>Q4-2025</v>
      </c>
      <c r="AD239" s="5">
        <f t="shared" si="42"/>
        <v>74</v>
      </c>
      <c r="AE239" t="str">
        <f t="shared" si="43"/>
        <v>Commit</v>
      </c>
    </row>
    <row r="240" spans="1:31">
      <c r="A240" t="s">
        <v>342</v>
      </c>
      <c r="B240" s="1">
        <v>45868</v>
      </c>
      <c r="C240" t="s">
        <v>42</v>
      </c>
      <c r="D240" t="s">
        <v>43</v>
      </c>
      <c r="E240" t="s">
        <v>70</v>
      </c>
      <c r="F240" t="s">
        <v>71</v>
      </c>
      <c r="G240" t="s">
        <v>99</v>
      </c>
      <c r="H240" t="s">
        <v>53</v>
      </c>
      <c r="I240" t="s">
        <v>61</v>
      </c>
      <c r="J240" s="1">
        <v>45931</v>
      </c>
      <c r="K240" s="1">
        <v>45931</v>
      </c>
      <c r="L240" s="3">
        <v>34200</v>
      </c>
      <c r="M240" s="4">
        <v>0</v>
      </c>
      <c r="N240" s="4">
        <v>0</v>
      </c>
      <c r="O240" t="s">
        <v>102</v>
      </c>
      <c r="P240">
        <v>3</v>
      </c>
      <c r="Q240" t="str">
        <f>IFERROR(VLOOKUP(E240,Lookups!$A$5:$B$24,2,FALSE),"Other")</f>
        <v>LinkedIn</v>
      </c>
      <c r="R240" t="str">
        <f>IFERROR(VLOOKUP(F240,Lookups!$D$5:$F$10,2,FALSE),"Unknown Product")</f>
        <v>Marketing Automation</v>
      </c>
      <c r="S240" t="str">
        <f>IFERROR(VLOOKUP(F240,Lookups!$D$5:$F$10,3,FALSE),"Unknown")</f>
        <v>Marketing</v>
      </c>
      <c r="T240" t="str">
        <f t="shared" si="33"/>
        <v>Mid-Market</v>
      </c>
      <c r="U240" t="str">
        <f t="shared" si="34"/>
        <v>Lost</v>
      </c>
      <c r="V240" s="3">
        <f t="shared" si="35"/>
        <v>0</v>
      </c>
      <c r="W240" s="3">
        <f t="shared" si="36"/>
        <v>0</v>
      </c>
      <c r="X240" s="5">
        <f t="shared" si="37"/>
        <v>63</v>
      </c>
      <c r="Y240" s="5">
        <f>IF(U240="Open",Lookups!$B$2-B240,X240)</f>
        <v>63</v>
      </c>
      <c r="Z240" t="str">
        <f t="shared" si="38"/>
        <v>OK</v>
      </c>
      <c r="AA240" t="str">
        <f t="shared" si="39"/>
        <v>2025-07</v>
      </c>
      <c r="AB240" t="str">
        <f t="shared" si="40"/>
        <v>2025-10</v>
      </c>
      <c r="AC240" t="str">
        <f t="shared" si="41"/>
        <v>Q3-2025</v>
      </c>
      <c r="AD240" s="5">
        <f t="shared" si="42"/>
        <v>59</v>
      </c>
      <c r="AE240" t="str">
        <f t="shared" si="43"/>
        <v>Lost</v>
      </c>
    </row>
    <row r="241" spans="1:31">
      <c r="A241" t="s">
        <v>343</v>
      </c>
      <c r="B241" s="1">
        <v>45677</v>
      </c>
      <c r="C241" t="s">
        <v>64</v>
      </c>
      <c r="D241" t="s">
        <v>57</v>
      </c>
      <c r="E241" t="s">
        <v>127</v>
      </c>
      <c r="F241" t="s">
        <v>52</v>
      </c>
      <c r="G241" t="s">
        <v>112</v>
      </c>
      <c r="H241" t="s">
        <v>53</v>
      </c>
      <c r="I241" t="s">
        <v>61</v>
      </c>
      <c r="J241" s="1">
        <v>45736</v>
      </c>
      <c r="K241" s="1">
        <v>45736</v>
      </c>
      <c r="L241" s="3">
        <v>10100</v>
      </c>
      <c r="M241" s="4">
        <v>0</v>
      </c>
      <c r="N241" s="4">
        <v>0</v>
      </c>
      <c r="O241" t="s">
        <v>102</v>
      </c>
      <c r="P241">
        <v>2</v>
      </c>
      <c r="Q241" t="str">
        <f>IFERROR(VLOOKUP(E241,Lookups!$A$5:$B$24,2,FALSE),"Other")</f>
        <v>Paid Search</v>
      </c>
      <c r="R241" t="str">
        <f>IFERROR(VLOOKUP(F241,Lookups!$D$5:$F$10,2,FALSE),"Unknown Product")</f>
        <v>NexaCRM Core</v>
      </c>
      <c r="S241" t="str">
        <f>IFERROR(VLOOKUP(F241,Lookups!$D$5:$F$10,3,FALSE),"Unknown")</f>
        <v>CRM</v>
      </c>
      <c r="T241" t="str">
        <f t="shared" si="33"/>
        <v>SMB</v>
      </c>
      <c r="U241" t="str">
        <f t="shared" si="34"/>
        <v>Lost</v>
      </c>
      <c r="V241" s="3">
        <f t="shared" si="35"/>
        <v>0</v>
      </c>
      <c r="W241" s="3">
        <f t="shared" si="36"/>
        <v>0</v>
      </c>
      <c r="X241" s="5">
        <f t="shared" si="37"/>
        <v>59</v>
      </c>
      <c r="Y241" s="5">
        <f>IF(U241="Open",Lookups!$B$2-B241,X241)</f>
        <v>59</v>
      </c>
      <c r="Z241" t="str">
        <f t="shared" si="38"/>
        <v>OK</v>
      </c>
      <c r="AA241" t="str">
        <f t="shared" si="39"/>
        <v>2025-01</v>
      </c>
      <c r="AB241" t="str">
        <f t="shared" si="40"/>
        <v>2025-03</v>
      </c>
      <c r="AC241" t="str">
        <f t="shared" si="41"/>
        <v>Q1-2025</v>
      </c>
      <c r="AD241" s="5">
        <f t="shared" si="42"/>
        <v>56</v>
      </c>
      <c r="AE241" t="str">
        <f t="shared" si="43"/>
        <v>Lost</v>
      </c>
    </row>
    <row r="242" spans="1:31">
      <c r="A242" t="s">
        <v>344</v>
      </c>
      <c r="B242" s="1">
        <v>46180</v>
      </c>
      <c r="C242" t="s">
        <v>69</v>
      </c>
      <c r="D242" t="s">
        <v>57</v>
      </c>
      <c r="E242" t="s">
        <v>51</v>
      </c>
      <c r="F242" t="s">
        <v>52</v>
      </c>
      <c r="G242" t="s">
        <v>94</v>
      </c>
      <c r="H242" t="s">
        <v>47</v>
      </c>
      <c r="I242" t="s">
        <v>105</v>
      </c>
      <c r="J242" s="1">
        <v>46253</v>
      </c>
      <c r="K242" s="1"/>
      <c r="L242" s="3">
        <v>7500</v>
      </c>
      <c r="M242" s="4">
        <v>0</v>
      </c>
      <c r="N242" s="4">
        <v>0.4</v>
      </c>
      <c r="P242">
        <v>3</v>
      </c>
      <c r="Q242" t="str">
        <f>IFERROR(VLOOKUP(E242,Lookups!$A$5:$B$24,2,FALSE),"Other")</f>
        <v>Paid Search</v>
      </c>
      <c r="R242" t="str">
        <f>IFERROR(VLOOKUP(F242,Lookups!$D$5:$F$10,2,FALSE),"Unknown Product")</f>
        <v>NexaCRM Core</v>
      </c>
      <c r="S242" t="str">
        <f>IFERROR(VLOOKUP(F242,Lookups!$D$5:$F$10,3,FALSE),"Unknown")</f>
        <v>CRM</v>
      </c>
      <c r="T242" t="str">
        <f t="shared" si="33"/>
        <v>SMB</v>
      </c>
      <c r="U242" t="str">
        <f t="shared" si="34"/>
        <v>Open</v>
      </c>
      <c r="V242" s="3">
        <f t="shared" si="35"/>
        <v>0</v>
      </c>
      <c r="W242" s="3">
        <f t="shared" si="36"/>
        <v>3000</v>
      </c>
      <c r="X242" s="5" t="str">
        <f t="shared" si="37"/>
        <v/>
      </c>
      <c r="Y242" s="5">
        <f>IF(U242="Open",Lookups!$B$2-B242,X242)</f>
        <v>86</v>
      </c>
      <c r="Z242" t="str">
        <f t="shared" si="38"/>
        <v>STALE</v>
      </c>
      <c r="AA242" t="str">
        <f t="shared" si="39"/>
        <v>2026-06</v>
      </c>
      <c r="AB242" t="str">
        <f t="shared" si="40"/>
        <v/>
      </c>
      <c r="AC242" t="str">
        <f t="shared" si="41"/>
        <v>Q2-2026</v>
      </c>
      <c r="AD242" s="5">
        <f t="shared" si="42"/>
        <v>43</v>
      </c>
      <c r="AE242" t="str">
        <f t="shared" si="43"/>
        <v>Pipeline</v>
      </c>
    </row>
    <row r="243" spans="1:31">
      <c r="A243" t="s">
        <v>345</v>
      </c>
      <c r="B243" s="1">
        <v>45857</v>
      </c>
      <c r="C243" t="s">
        <v>148</v>
      </c>
      <c r="D243" t="s">
        <v>43</v>
      </c>
      <c r="E243" t="s">
        <v>123</v>
      </c>
      <c r="F243" t="s">
        <v>52</v>
      </c>
      <c r="G243" t="s">
        <v>76</v>
      </c>
      <c r="H243" t="s">
        <v>47</v>
      </c>
      <c r="I243" t="s">
        <v>77</v>
      </c>
      <c r="J243" s="1">
        <v>45895</v>
      </c>
      <c r="K243" s="1">
        <v>45895</v>
      </c>
      <c r="L243" s="3">
        <v>9400</v>
      </c>
      <c r="M243" s="4">
        <v>0</v>
      </c>
      <c r="N243" s="4">
        <v>1</v>
      </c>
      <c r="P243">
        <v>6</v>
      </c>
      <c r="Q243" t="str">
        <f>IFERROR(VLOOKUP(E243,Lookups!$A$5:$B$24,2,FALSE),"Other")</f>
        <v>Email</v>
      </c>
      <c r="R243" t="str">
        <f>IFERROR(VLOOKUP(F243,Lookups!$D$5:$F$10,2,FALSE),"Unknown Product")</f>
        <v>NexaCRM Core</v>
      </c>
      <c r="S243" t="str">
        <f>IFERROR(VLOOKUP(F243,Lookups!$D$5:$F$10,3,FALSE),"Unknown")</f>
        <v>CRM</v>
      </c>
      <c r="T243" t="str">
        <f t="shared" si="33"/>
        <v>SMB</v>
      </c>
      <c r="U243" t="str">
        <f t="shared" si="34"/>
        <v>Won</v>
      </c>
      <c r="V243" s="3">
        <f t="shared" si="35"/>
        <v>9400</v>
      </c>
      <c r="W243" s="3">
        <f t="shared" si="36"/>
        <v>0</v>
      </c>
      <c r="X243" s="5">
        <f t="shared" si="37"/>
        <v>38</v>
      </c>
      <c r="Y243" s="5">
        <f>IF(U243="Open",Lookups!$B$2-B243,X243)</f>
        <v>38</v>
      </c>
      <c r="Z243" t="str">
        <f t="shared" si="38"/>
        <v>OK</v>
      </c>
      <c r="AA243" t="str">
        <f t="shared" si="39"/>
        <v>2025-07</v>
      </c>
      <c r="AB243" t="str">
        <f t="shared" si="40"/>
        <v>2025-08</v>
      </c>
      <c r="AC243" t="str">
        <f t="shared" si="41"/>
        <v>Q3-2025</v>
      </c>
      <c r="AD243" s="5">
        <f t="shared" si="42"/>
        <v>47</v>
      </c>
      <c r="AE243" t="str">
        <f t="shared" si="43"/>
        <v>Won</v>
      </c>
    </row>
    <row r="244" spans="1:31">
      <c r="A244" t="s">
        <v>346</v>
      </c>
      <c r="B244" s="1">
        <v>45816</v>
      </c>
      <c r="C244" t="s">
        <v>64</v>
      </c>
      <c r="D244" t="s">
        <v>57</v>
      </c>
      <c r="E244" t="s">
        <v>123</v>
      </c>
      <c r="F244" t="s">
        <v>133</v>
      </c>
      <c r="G244" t="s">
        <v>76</v>
      </c>
      <c r="H244" t="s">
        <v>84</v>
      </c>
      <c r="I244" t="s">
        <v>61</v>
      </c>
      <c r="J244" s="1">
        <v>45826</v>
      </c>
      <c r="K244" s="1">
        <v>45826</v>
      </c>
      <c r="L244" s="3">
        <v>88500</v>
      </c>
      <c r="M244" s="4">
        <v>0</v>
      </c>
      <c r="N244" s="4">
        <v>0</v>
      </c>
      <c r="O244" t="s">
        <v>81</v>
      </c>
      <c r="P244">
        <v>4</v>
      </c>
      <c r="Q244" t="str">
        <f>IFERROR(VLOOKUP(E244,Lookups!$A$5:$B$24,2,FALSE),"Other")</f>
        <v>Email</v>
      </c>
      <c r="R244" t="str">
        <f>IFERROR(VLOOKUP(F244,Lookups!$D$5:$F$10,2,FALSE),"Unknown Product")</f>
        <v>Analytics Plus</v>
      </c>
      <c r="S244" t="str">
        <f>IFERROR(VLOOKUP(F244,Lookups!$D$5:$F$10,3,FALSE),"Unknown")</f>
        <v>Analytics</v>
      </c>
      <c r="T244" t="str">
        <f t="shared" si="33"/>
        <v>Enterprise</v>
      </c>
      <c r="U244" t="str">
        <f t="shared" si="34"/>
        <v>Lost</v>
      </c>
      <c r="V244" s="3">
        <f t="shared" si="35"/>
        <v>0</v>
      </c>
      <c r="W244" s="3">
        <f t="shared" si="36"/>
        <v>0</v>
      </c>
      <c r="X244" s="5">
        <f t="shared" si="37"/>
        <v>10</v>
      </c>
      <c r="Y244" s="5">
        <f>IF(U244="Open",Lookups!$B$2-B244,X244)</f>
        <v>10</v>
      </c>
      <c r="Z244" t="str">
        <f t="shared" si="38"/>
        <v>OK</v>
      </c>
      <c r="AA244" t="str">
        <f t="shared" si="39"/>
        <v>2025-06</v>
      </c>
      <c r="AB244" t="str">
        <f t="shared" si="40"/>
        <v>2025-06</v>
      </c>
      <c r="AC244" t="str">
        <f t="shared" si="41"/>
        <v>Q2-2025</v>
      </c>
      <c r="AD244" s="5">
        <f t="shared" si="42"/>
        <v>78</v>
      </c>
      <c r="AE244" t="str">
        <f t="shared" si="43"/>
        <v>Lost</v>
      </c>
    </row>
    <row r="245" spans="1:31">
      <c r="A245" t="s">
        <v>347</v>
      </c>
      <c r="B245" s="1">
        <v>46248</v>
      </c>
      <c r="C245" t="s">
        <v>42</v>
      </c>
      <c r="D245" t="s">
        <v>43</v>
      </c>
      <c r="E245" t="s">
        <v>44</v>
      </c>
      <c r="F245" t="s">
        <v>52</v>
      </c>
      <c r="G245" t="s">
        <v>112</v>
      </c>
      <c r="H245" t="s">
        <v>53</v>
      </c>
      <c r="I245" t="s">
        <v>73</v>
      </c>
      <c r="J245" s="1">
        <v>46262</v>
      </c>
      <c r="K245" s="1"/>
      <c r="L245" s="3">
        <v>17500</v>
      </c>
      <c r="M245" s="4">
        <v>0</v>
      </c>
      <c r="N245" s="4">
        <v>0.2</v>
      </c>
      <c r="P245">
        <v>2</v>
      </c>
      <c r="Q245" t="str">
        <f>IFERROR(VLOOKUP(E245,Lookups!$A$5:$B$24,2,FALSE),"Other")</f>
        <v>Organic Search</v>
      </c>
      <c r="R245" t="str">
        <f>IFERROR(VLOOKUP(F245,Lookups!$D$5:$F$10,2,FALSE),"Unknown Product")</f>
        <v>NexaCRM Core</v>
      </c>
      <c r="S245" t="str">
        <f>IFERROR(VLOOKUP(F245,Lookups!$D$5:$F$10,3,FALSE),"Unknown")</f>
        <v>CRM</v>
      </c>
      <c r="T245" t="str">
        <f t="shared" si="33"/>
        <v>SMB</v>
      </c>
      <c r="U245" t="str">
        <f t="shared" si="34"/>
        <v>Open</v>
      </c>
      <c r="V245" s="3">
        <f t="shared" si="35"/>
        <v>0</v>
      </c>
      <c r="W245" s="3">
        <f t="shared" si="36"/>
        <v>3500</v>
      </c>
      <c r="X245" s="5" t="str">
        <f t="shared" si="37"/>
        <v/>
      </c>
      <c r="Y245" s="5">
        <f>IF(U245="Open",Lookups!$B$2-B245,X245)</f>
        <v>18</v>
      </c>
      <c r="Z245" t="str">
        <f t="shared" si="38"/>
        <v>OK</v>
      </c>
      <c r="AA245" t="str">
        <f t="shared" si="39"/>
        <v>2026-08</v>
      </c>
      <c r="AB245" t="str">
        <f t="shared" si="40"/>
        <v/>
      </c>
      <c r="AC245" t="str">
        <f t="shared" si="41"/>
        <v>Q3-2026</v>
      </c>
      <c r="AD245" s="5">
        <f t="shared" si="42"/>
        <v>62</v>
      </c>
      <c r="AE245" t="str">
        <f t="shared" si="43"/>
        <v>Pipeline</v>
      </c>
    </row>
    <row r="246" spans="1:31">
      <c r="A246" t="s">
        <v>348</v>
      </c>
      <c r="B246" s="1">
        <v>46029</v>
      </c>
      <c r="C246" t="s">
        <v>90</v>
      </c>
      <c r="D246" t="s">
        <v>57</v>
      </c>
      <c r="E246" t="s">
        <v>65</v>
      </c>
      <c r="F246" t="s">
        <v>52</v>
      </c>
      <c r="G246" t="s">
        <v>112</v>
      </c>
      <c r="H246" t="s">
        <v>53</v>
      </c>
      <c r="I246" t="s">
        <v>61</v>
      </c>
      <c r="J246" s="1">
        <v>46063</v>
      </c>
      <c r="K246" s="1">
        <v>46063</v>
      </c>
      <c r="L246" s="3">
        <v>16400</v>
      </c>
      <c r="M246" s="4">
        <v>0</v>
      </c>
      <c r="N246" s="4">
        <v>0</v>
      </c>
      <c r="O246" t="s">
        <v>81</v>
      </c>
      <c r="P246">
        <v>4</v>
      </c>
      <c r="Q246" t="str">
        <f>IFERROR(VLOOKUP(E246,Lookups!$A$5:$B$24,2,FALSE),"Other")</f>
        <v>Paid Search</v>
      </c>
      <c r="R246" t="str">
        <f>IFERROR(VLOOKUP(F246,Lookups!$D$5:$F$10,2,FALSE),"Unknown Product")</f>
        <v>NexaCRM Core</v>
      </c>
      <c r="S246" t="str">
        <f>IFERROR(VLOOKUP(F246,Lookups!$D$5:$F$10,3,FALSE),"Unknown")</f>
        <v>CRM</v>
      </c>
      <c r="T246" t="str">
        <f t="shared" si="33"/>
        <v>SMB</v>
      </c>
      <c r="U246" t="str">
        <f t="shared" si="34"/>
        <v>Lost</v>
      </c>
      <c r="V246" s="3">
        <f t="shared" si="35"/>
        <v>0</v>
      </c>
      <c r="W246" s="3">
        <f t="shared" si="36"/>
        <v>0</v>
      </c>
      <c r="X246" s="5">
        <f t="shared" si="37"/>
        <v>34</v>
      </c>
      <c r="Y246" s="5">
        <f>IF(U246="Open",Lookups!$B$2-B246,X246)</f>
        <v>34</v>
      </c>
      <c r="Z246" t="str">
        <f t="shared" si="38"/>
        <v>OK</v>
      </c>
      <c r="AA246" t="str">
        <f t="shared" si="39"/>
        <v>2026-01</v>
      </c>
      <c r="AB246" t="str">
        <f t="shared" si="40"/>
        <v>2026-02</v>
      </c>
      <c r="AC246" t="str">
        <f t="shared" si="41"/>
        <v>Q1-2026</v>
      </c>
      <c r="AD246" s="5">
        <f t="shared" si="42"/>
        <v>56</v>
      </c>
      <c r="AE246" t="str">
        <f t="shared" si="43"/>
        <v>Lost</v>
      </c>
    </row>
    <row r="247" spans="1:31">
      <c r="A247" t="s">
        <v>349</v>
      </c>
      <c r="B247" s="1">
        <v>46244</v>
      </c>
      <c r="C247" t="s">
        <v>90</v>
      </c>
      <c r="D247" t="s">
        <v>57</v>
      </c>
      <c r="E247" t="s">
        <v>51</v>
      </c>
      <c r="F247" t="s">
        <v>133</v>
      </c>
      <c r="G247" t="s">
        <v>76</v>
      </c>
      <c r="H247" t="s">
        <v>53</v>
      </c>
      <c r="I247" t="s">
        <v>187</v>
      </c>
      <c r="J247" s="1">
        <v>46258</v>
      </c>
      <c r="K247" s="1"/>
      <c r="L247" s="3">
        <v>33300</v>
      </c>
      <c r="M247" s="4">
        <v>0</v>
      </c>
      <c r="N247" s="4">
        <v>0.05</v>
      </c>
      <c r="P247">
        <v>1</v>
      </c>
      <c r="Q247" t="str">
        <f>IFERROR(VLOOKUP(E247,Lookups!$A$5:$B$24,2,FALSE),"Other")</f>
        <v>Paid Search</v>
      </c>
      <c r="R247" t="str">
        <f>IFERROR(VLOOKUP(F247,Lookups!$D$5:$F$10,2,FALSE),"Unknown Product")</f>
        <v>Analytics Plus</v>
      </c>
      <c r="S247" t="str">
        <f>IFERROR(VLOOKUP(F247,Lookups!$D$5:$F$10,3,FALSE),"Unknown")</f>
        <v>Analytics</v>
      </c>
      <c r="T247" t="str">
        <f t="shared" si="33"/>
        <v>Mid-Market</v>
      </c>
      <c r="U247" t="str">
        <f t="shared" si="34"/>
        <v>Open</v>
      </c>
      <c r="V247" s="3">
        <f t="shared" si="35"/>
        <v>0</v>
      </c>
      <c r="W247" s="3">
        <f t="shared" si="36"/>
        <v>1665</v>
      </c>
      <c r="X247" s="5" t="str">
        <f t="shared" si="37"/>
        <v/>
      </c>
      <c r="Y247" s="5">
        <f>IF(U247="Open",Lookups!$B$2-B247,X247)</f>
        <v>22</v>
      </c>
      <c r="Z247" t="str">
        <f t="shared" si="38"/>
        <v>OK</v>
      </c>
      <c r="AA247" t="str">
        <f t="shared" si="39"/>
        <v>2026-08</v>
      </c>
      <c r="AB247" t="str">
        <f t="shared" si="40"/>
        <v/>
      </c>
      <c r="AC247" t="str">
        <f t="shared" si="41"/>
        <v>Q3-2026</v>
      </c>
      <c r="AD247" s="5">
        <f t="shared" si="42"/>
        <v>59</v>
      </c>
      <c r="AE247" t="str">
        <f t="shared" si="43"/>
        <v>Pipeline</v>
      </c>
    </row>
    <row r="248" spans="1:31">
      <c r="A248" t="s">
        <v>350</v>
      </c>
      <c r="B248" s="1">
        <v>46083</v>
      </c>
      <c r="C248" t="s">
        <v>56</v>
      </c>
      <c r="D248" t="s">
        <v>57</v>
      </c>
      <c r="E248" t="s">
        <v>115</v>
      </c>
      <c r="F248" t="s">
        <v>133</v>
      </c>
      <c r="G248" t="s">
        <v>112</v>
      </c>
      <c r="H248" t="s">
        <v>84</v>
      </c>
      <c r="I248" t="s">
        <v>61</v>
      </c>
      <c r="J248" s="1">
        <v>46139</v>
      </c>
      <c r="K248" s="1">
        <v>46139</v>
      </c>
      <c r="L248" s="3">
        <v>95300</v>
      </c>
      <c r="M248" s="4">
        <v>0</v>
      </c>
      <c r="N248" s="4">
        <v>0</v>
      </c>
      <c r="O248" t="s">
        <v>110</v>
      </c>
      <c r="P248">
        <v>5</v>
      </c>
      <c r="Q248" t="str">
        <f>IFERROR(VLOOKUP(E248,Lookups!$A$5:$B$24,2,FALSE),"Other")</f>
        <v>Outbound</v>
      </c>
      <c r="R248" t="str">
        <f>IFERROR(VLOOKUP(F248,Lookups!$D$5:$F$10,2,FALSE),"Unknown Product")</f>
        <v>Analytics Plus</v>
      </c>
      <c r="S248" t="str">
        <f>IFERROR(VLOOKUP(F248,Lookups!$D$5:$F$10,3,FALSE),"Unknown")</f>
        <v>Analytics</v>
      </c>
      <c r="T248" t="str">
        <f t="shared" si="33"/>
        <v>Enterprise</v>
      </c>
      <c r="U248" t="str">
        <f t="shared" si="34"/>
        <v>Lost</v>
      </c>
      <c r="V248" s="3">
        <f t="shared" si="35"/>
        <v>0</v>
      </c>
      <c r="W248" s="3">
        <f t="shared" si="36"/>
        <v>0</v>
      </c>
      <c r="X248" s="5">
        <f t="shared" si="37"/>
        <v>56</v>
      </c>
      <c r="Y248" s="5">
        <f>IF(U248="Open",Lookups!$B$2-B248,X248)</f>
        <v>56</v>
      </c>
      <c r="Z248" t="str">
        <f t="shared" si="38"/>
        <v>OK</v>
      </c>
      <c r="AA248" t="str">
        <f t="shared" si="39"/>
        <v>2026-03</v>
      </c>
      <c r="AB248" t="str">
        <f t="shared" si="40"/>
        <v>2026-04</v>
      </c>
      <c r="AC248" t="str">
        <f t="shared" si="41"/>
        <v>Q1-2026</v>
      </c>
      <c r="AD248" s="5">
        <f t="shared" si="42"/>
        <v>79</v>
      </c>
      <c r="AE248" t="str">
        <f t="shared" si="43"/>
        <v>Lost</v>
      </c>
    </row>
    <row r="249" spans="1:31">
      <c r="A249" t="s">
        <v>351</v>
      </c>
      <c r="B249" s="1">
        <v>45948</v>
      </c>
      <c r="C249" t="s">
        <v>50</v>
      </c>
      <c r="D249" t="s">
        <v>43</v>
      </c>
      <c r="E249" t="s">
        <v>75</v>
      </c>
      <c r="F249" t="s">
        <v>133</v>
      </c>
      <c r="G249" t="s">
        <v>60</v>
      </c>
      <c r="H249" t="s">
        <v>47</v>
      </c>
      <c r="I249" t="s">
        <v>61</v>
      </c>
      <c r="J249" s="1">
        <v>45989</v>
      </c>
      <c r="K249" s="1">
        <v>45989</v>
      </c>
      <c r="L249" s="3">
        <v>17600</v>
      </c>
      <c r="M249" s="4">
        <v>0</v>
      </c>
      <c r="N249" s="4">
        <v>0</v>
      </c>
      <c r="O249" t="s">
        <v>81</v>
      </c>
      <c r="P249">
        <v>5</v>
      </c>
      <c r="Q249" t="str">
        <f>IFERROR(VLOOKUP(E249,Lookups!$A$5:$B$24,2,FALSE),"Other")</f>
        <v>Webinar</v>
      </c>
      <c r="R249" t="str">
        <f>IFERROR(VLOOKUP(F249,Lookups!$D$5:$F$10,2,FALSE),"Unknown Product")</f>
        <v>Analytics Plus</v>
      </c>
      <c r="S249" t="str">
        <f>IFERROR(VLOOKUP(F249,Lookups!$D$5:$F$10,3,FALSE),"Unknown")</f>
        <v>Analytics</v>
      </c>
      <c r="T249" t="str">
        <f t="shared" si="33"/>
        <v>SMB</v>
      </c>
      <c r="U249" t="str">
        <f t="shared" si="34"/>
        <v>Lost</v>
      </c>
      <c r="V249" s="3">
        <f t="shared" si="35"/>
        <v>0</v>
      </c>
      <c r="W249" s="3">
        <f t="shared" si="36"/>
        <v>0</v>
      </c>
      <c r="X249" s="5">
        <f t="shared" si="37"/>
        <v>41</v>
      </c>
      <c r="Y249" s="5">
        <f>IF(U249="Open",Lookups!$B$2-B249,X249)</f>
        <v>41</v>
      </c>
      <c r="Z249" t="str">
        <f t="shared" si="38"/>
        <v>OK</v>
      </c>
      <c r="AA249" t="str">
        <f t="shared" si="39"/>
        <v>2025-10</v>
      </c>
      <c r="AB249" t="str">
        <f t="shared" si="40"/>
        <v>2025-11</v>
      </c>
      <c r="AC249" t="str">
        <f t="shared" si="41"/>
        <v>Q4-2025</v>
      </c>
      <c r="AD249" s="5">
        <f t="shared" si="42"/>
        <v>43</v>
      </c>
      <c r="AE249" t="str">
        <f t="shared" si="43"/>
        <v>Lost</v>
      </c>
    </row>
    <row r="250" spans="1:31">
      <c r="A250" t="s">
        <v>352</v>
      </c>
      <c r="B250" s="1">
        <v>45711</v>
      </c>
      <c r="C250" t="s">
        <v>56</v>
      </c>
      <c r="D250" t="s">
        <v>57</v>
      </c>
      <c r="E250" t="s">
        <v>65</v>
      </c>
      <c r="F250" t="s">
        <v>45</v>
      </c>
      <c r="G250" t="s">
        <v>94</v>
      </c>
      <c r="H250" t="s">
        <v>53</v>
      </c>
      <c r="I250" t="s">
        <v>48</v>
      </c>
      <c r="J250" s="1">
        <v>46121</v>
      </c>
      <c r="K250" s="1"/>
      <c r="L250" s="3">
        <v>35000</v>
      </c>
      <c r="M250" s="4">
        <v>0.03</v>
      </c>
      <c r="N250" s="4">
        <v>0.85</v>
      </c>
      <c r="P250">
        <v>5</v>
      </c>
      <c r="Q250" t="str">
        <f>IFERROR(VLOOKUP(E250,Lookups!$A$5:$B$24,2,FALSE),"Other")</f>
        <v>Paid Search</v>
      </c>
      <c r="R250" t="str">
        <f>IFERROR(VLOOKUP(F250,Lookups!$D$5:$F$10,2,FALSE),"Unknown Product")</f>
        <v>Service Cloud</v>
      </c>
      <c r="S250" t="str">
        <f>IFERROR(VLOOKUP(F250,Lookups!$D$5:$F$10,3,FALSE),"Unknown")</f>
        <v>Customer Service</v>
      </c>
      <c r="T250" t="str">
        <f t="shared" si="33"/>
        <v>Mid-Market</v>
      </c>
      <c r="U250" t="str">
        <f t="shared" si="34"/>
        <v>Open</v>
      </c>
      <c r="V250" s="3">
        <f t="shared" si="35"/>
        <v>0</v>
      </c>
      <c r="W250" s="3">
        <f t="shared" si="36"/>
        <v>29750</v>
      </c>
      <c r="X250" s="5" t="str">
        <f t="shared" si="37"/>
        <v/>
      </c>
      <c r="Y250" s="5">
        <f>IF(U250="Open",Lookups!$B$2-B250,X250)</f>
        <v>555</v>
      </c>
      <c r="Z250" t="str">
        <f t="shared" si="38"/>
        <v>STALE</v>
      </c>
      <c r="AA250" t="str">
        <f t="shared" si="39"/>
        <v>2025-02</v>
      </c>
      <c r="AB250" t="str">
        <f t="shared" si="40"/>
        <v/>
      </c>
      <c r="AC250" t="str">
        <f t="shared" si="41"/>
        <v>Q1-2025</v>
      </c>
      <c r="AD250" s="5">
        <f t="shared" si="42"/>
        <v>59</v>
      </c>
      <c r="AE250" t="str">
        <f t="shared" si="43"/>
        <v>Commit</v>
      </c>
    </row>
    <row r="251" spans="1:31">
      <c r="A251" t="s">
        <v>353</v>
      </c>
      <c r="B251" s="1">
        <v>46265</v>
      </c>
      <c r="C251" t="s">
        <v>90</v>
      </c>
      <c r="D251" t="s">
        <v>57</v>
      </c>
      <c r="E251" t="s">
        <v>109</v>
      </c>
      <c r="F251" t="s">
        <v>133</v>
      </c>
      <c r="G251" t="s">
        <v>76</v>
      </c>
      <c r="H251" t="s">
        <v>47</v>
      </c>
      <c r="I251" t="s">
        <v>187</v>
      </c>
      <c r="J251" s="1">
        <v>46266</v>
      </c>
      <c r="K251" s="1"/>
      <c r="L251" s="3">
        <v>14700</v>
      </c>
      <c r="M251" s="4">
        <v>0.05</v>
      </c>
      <c r="N251" s="4">
        <v>0.05</v>
      </c>
      <c r="P251">
        <v>1</v>
      </c>
      <c r="Q251" t="str">
        <f>IFERROR(VLOOKUP(E251,Lookups!$A$5:$B$24,2,FALSE),"Other")</f>
        <v>Outbound</v>
      </c>
      <c r="R251" t="str">
        <f>IFERROR(VLOOKUP(F251,Lookups!$D$5:$F$10,2,FALSE),"Unknown Product")</f>
        <v>Analytics Plus</v>
      </c>
      <c r="S251" t="str">
        <f>IFERROR(VLOOKUP(F251,Lookups!$D$5:$F$10,3,FALSE),"Unknown")</f>
        <v>Analytics</v>
      </c>
      <c r="T251" t="str">
        <f t="shared" si="33"/>
        <v>SMB</v>
      </c>
      <c r="U251" t="str">
        <f t="shared" si="34"/>
        <v>Open</v>
      </c>
      <c r="V251" s="3">
        <f t="shared" si="35"/>
        <v>0</v>
      </c>
      <c r="W251" s="3">
        <f t="shared" si="36"/>
        <v>735</v>
      </c>
      <c r="X251" s="5" t="str">
        <f t="shared" si="37"/>
        <v/>
      </c>
      <c r="Y251" s="5">
        <f>IF(U251="Open",Lookups!$B$2-B251,X251)</f>
        <v>1</v>
      </c>
      <c r="Z251" t="str">
        <f t="shared" si="38"/>
        <v>OK</v>
      </c>
      <c r="AA251" t="str">
        <f t="shared" si="39"/>
        <v>2026-08</v>
      </c>
      <c r="AB251" t="str">
        <f t="shared" si="40"/>
        <v/>
      </c>
      <c r="AC251" t="str">
        <f t="shared" si="41"/>
        <v>Q3-2026</v>
      </c>
      <c r="AD251" s="5">
        <f t="shared" si="42"/>
        <v>43</v>
      </c>
      <c r="AE251" t="str">
        <f t="shared" si="43"/>
        <v>Pipeline</v>
      </c>
    </row>
    <row r="252" spans="1:31">
      <c r="A252" t="s">
        <v>354</v>
      </c>
      <c r="B252" s="1">
        <v>45867</v>
      </c>
      <c r="C252" t="s">
        <v>64</v>
      </c>
      <c r="D252" t="s">
        <v>57</v>
      </c>
      <c r="E252" t="s">
        <v>132</v>
      </c>
      <c r="F252" t="s">
        <v>67</v>
      </c>
      <c r="G252" t="s">
        <v>76</v>
      </c>
      <c r="H252" t="s">
        <v>53</v>
      </c>
      <c r="I252" t="s">
        <v>61</v>
      </c>
      <c r="J252" s="1">
        <v>45936</v>
      </c>
      <c r="K252" s="1">
        <v>45936</v>
      </c>
      <c r="L252" s="3">
        <v>59800</v>
      </c>
      <c r="M252" s="4">
        <v>0</v>
      </c>
      <c r="N252" s="4">
        <v>0</v>
      </c>
      <c r="O252" t="s">
        <v>81</v>
      </c>
      <c r="P252">
        <v>3</v>
      </c>
      <c r="Q252" t="str">
        <f>IFERROR(VLOOKUP(E252,Lookups!$A$5:$B$24,2,FALSE),"Other")</f>
        <v>Other</v>
      </c>
      <c r="R252" t="str">
        <f>IFERROR(VLOOKUP(F252,Lookups!$D$5:$F$10,2,FALSE),"Unknown Product")</f>
        <v>Revenue Operations Suite</v>
      </c>
      <c r="S252" t="str">
        <f>IFERROR(VLOOKUP(F252,Lookups!$D$5:$F$10,3,FALSE),"Unknown")</f>
        <v>Revenue Ops</v>
      </c>
      <c r="T252" t="str">
        <f t="shared" si="33"/>
        <v>Enterprise</v>
      </c>
      <c r="U252" t="str">
        <f t="shared" si="34"/>
        <v>Lost</v>
      </c>
      <c r="V252" s="3">
        <f t="shared" si="35"/>
        <v>0</v>
      </c>
      <c r="W252" s="3">
        <f t="shared" si="36"/>
        <v>0</v>
      </c>
      <c r="X252" s="5">
        <f t="shared" si="37"/>
        <v>69</v>
      </c>
      <c r="Y252" s="5">
        <f>IF(U252="Open",Lookups!$B$2-B252,X252)</f>
        <v>69</v>
      </c>
      <c r="Z252" t="str">
        <f t="shared" si="38"/>
        <v>OK</v>
      </c>
      <c r="AA252" t="str">
        <f t="shared" si="39"/>
        <v>2025-07</v>
      </c>
      <c r="AB252" t="str">
        <f t="shared" si="40"/>
        <v>2025-10</v>
      </c>
      <c r="AC252" t="str">
        <f t="shared" si="41"/>
        <v>Q3-2025</v>
      </c>
      <c r="AD252" s="5">
        <f t="shared" si="42"/>
        <v>66</v>
      </c>
      <c r="AE252" t="str">
        <f t="shared" si="43"/>
        <v>Lost</v>
      </c>
    </row>
    <row r="253" spans="1:31">
      <c r="A253" t="s">
        <v>355</v>
      </c>
      <c r="B253" s="1">
        <v>46244</v>
      </c>
      <c r="C253" t="s">
        <v>86</v>
      </c>
      <c r="D253" t="s">
        <v>87</v>
      </c>
      <c r="E253" t="s">
        <v>115</v>
      </c>
      <c r="F253" t="s">
        <v>59</v>
      </c>
      <c r="G253" t="s">
        <v>76</v>
      </c>
      <c r="H253" t="s">
        <v>47</v>
      </c>
      <c r="I253" t="s">
        <v>187</v>
      </c>
      <c r="J253" s="1">
        <v>46251</v>
      </c>
      <c r="K253" s="1"/>
      <c r="L253" s="3">
        <v>19800</v>
      </c>
      <c r="M253" s="4">
        <v>0.05</v>
      </c>
      <c r="N253" s="4">
        <v>0.05</v>
      </c>
      <c r="P253">
        <v>1</v>
      </c>
      <c r="Q253" t="str">
        <f>IFERROR(VLOOKUP(E253,Lookups!$A$5:$B$24,2,FALSE),"Other")</f>
        <v>Outbound</v>
      </c>
      <c r="R253" t="str">
        <f>IFERROR(VLOOKUP(F253,Lookups!$D$5:$F$10,2,FALSE),"Unknown Product")</f>
        <v>NexaCRM Pro</v>
      </c>
      <c r="S253" t="str">
        <f>IFERROR(VLOOKUP(F253,Lookups!$D$5:$F$10,3,FALSE),"Unknown")</f>
        <v>CRM</v>
      </c>
      <c r="T253" t="str">
        <f t="shared" si="33"/>
        <v>SMB</v>
      </c>
      <c r="U253" t="str">
        <f t="shared" si="34"/>
        <v>Open</v>
      </c>
      <c r="V253" s="3">
        <f t="shared" si="35"/>
        <v>0</v>
      </c>
      <c r="W253" s="3">
        <f t="shared" si="36"/>
        <v>990</v>
      </c>
      <c r="X253" s="5" t="str">
        <f t="shared" si="37"/>
        <v/>
      </c>
      <c r="Y253" s="5">
        <f>IF(U253="Open",Lookups!$B$2-B253,X253)</f>
        <v>22</v>
      </c>
      <c r="Z253" t="str">
        <f t="shared" si="38"/>
        <v>OK</v>
      </c>
      <c r="AA253" t="str">
        <f t="shared" si="39"/>
        <v>2026-08</v>
      </c>
      <c r="AB253" t="str">
        <f t="shared" si="40"/>
        <v/>
      </c>
      <c r="AC253" t="str">
        <f t="shared" si="41"/>
        <v>Q3-2026</v>
      </c>
      <c r="AD253" s="5">
        <f t="shared" si="42"/>
        <v>43</v>
      </c>
      <c r="AE253" t="str">
        <f t="shared" si="43"/>
        <v>Pipeline</v>
      </c>
    </row>
    <row r="254" spans="1:31">
      <c r="A254" t="s">
        <v>356</v>
      </c>
      <c r="B254" s="1">
        <v>45998</v>
      </c>
      <c r="C254" t="s">
        <v>56</v>
      </c>
      <c r="D254" t="s">
        <v>57</v>
      </c>
      <c r="E254" t="s">
        <v>83</v>
      </c>
      <c r="F254" t="s">
        <v>45</v>
      </c>
      <c r="G254" t="s">
        <v>112</v>
      </c>
      <c r="H254" t="s">
        <v>47</v>
      </c>
      <c r="I254" t="s">
        <v>48</v>
      </c>
      <c r="J254" s="1">
        <v>46200</v>
      </c>
      <c r="K254" s="1"/>
      <c r="L254" s="3">
        <v>18300</v>
      </c>
      <c r="M254" s="4">
        <v>0</v>
      </c>
      <c r="N254" s="4">
        <v>0.85</v>
      </c>
      <c r="P254">
        <v>5</v>
      </c>
      <c r="Q254" t="str">
        <f>IFERROR(VLOOKUP(E254,Lookups!$A$5:$B$24,2,FALSE),"Other")</f>
        <v>Organic Search</v>
      </c>
      <c r="R254" t="str">
        <f>IFERROR(VLOOKUP(F254,Lookups!$D$5:$F$10,2,FALSE),"Unknown Product")</f>
        <v>Service Cloud</v>
      </c>
      <c r="S254" t="str">
        <f>IFERROR(VLOOKUP(F254,Lookups!$D$5:$F$10,3,FALSE),"Unknown")</f>
        <v>Customer Service</v>
      </c>
      <c r="T254" t="str">
        <f t="shared" si="33"/>
        <v>SMB</v>
      </c>
      <c r="U254" t="str">
        <f t="shared" si="34"/>
        <v>Open</v>
      </c>
      <c r="V254" s="3">
        <f t="shared" si="35"/>
        <v>0</v>
      </c>
      <c r="W254" s="3">
        <f t="shared" si="36"/>
        <v>15555</v>
      </c>
      <c r="X254" s="5" t="str">
        <f t="shared" si="37"/>
        <v/>
      </c>
      <c r="Y254" s="5">
        <f>IF(U254="Open",Lookups!$B$2-B254,X254)</f>
        <v>268</v>
      </c>
      <c r="Z254" t="str">
        <f t="shared" si="38"/>
        <v>STALE</v>
      </c>
      <c r="AA254" t="str">
        <f t="shared" si="39"/>
        <v>2025-12</v>
      </c>
      <c r="AB254" t="str">
        <f t="shared" si="40"/>
        <v/>
      </c>
      <c r="AC254" t="str">
        <f t="shared" si="41"/>
        <v>Q4-2025</v>
      </c>
      <c r="AD254" s="5">
        <f t="shared" si="42"/>
        <v>54</v>
      </c>
      <c r="AE254" t="str">
        <f t="shared" si="43"/>
        <v>Commit</v>
      </c>
    </row>
    <row r="255" spans="1:31">
      <c r="A255" t="s">
        <v>357</v>
      </c>
      <c r="B255" s="1">
        <v>45991</v>
      </c>
      <c r="C255" t="s">
        <v>64</v>
      </c>
      <c r="D255" t="s">
        <v>57</v>
      </c>
      <c r="E255" t="s">
        <v>75</v>
      </c>
      <c r="F255" t="s">
        <v>71</v>
      </c>
      <c r="G255" t="s">
        <v>94</v>
      </c>
      <c r="H255" t="s">
        <v>53</v>
      </c>
      <c r="I255" t="s">
        <v>77</v>
      </c>
      <c r="J255" s="1">
        <v>46020</v>
      </c>
      <c r="K255" s="1">
        <v>46020</v>
      </c>
      <c r="L255" s="3">
        <v>25100</v>
      </c>
      <c r="M255" s="4">
        <v>0.08</v>
      </c>
      <c r="N255" s="4">
        <v>1</v>
      </c>
      <c r="P255">
        <v>6</v>
      </c>
      <c r="Q255" t="str">
        <f>IFERROR(VLOOKUP(E255,Lookups!$A$5:$B$24,2,FALSE),"Other")</f>
        <v>Webinar</v>
      </c>
      <c r="R255" t="str">
        <f>IFERROR(VLOOKUP(F255,Lookups!$D$5:$F$10,2,FALSE),"Unknown Product")</f>
        <v>Marketing Automation</v>
      </c>
      <c r="S255" t="str">
        <f>IFERROR(VLOOKUP(F255,Lookups!$D$5:$F$10,3,FALSE),"Unknown")</f>
        <v>Marketing</v>
      </c>
      <c r="T255" t="str">
        <f t="shared" si="33"/>
        <v>Mid-Market</v>
      </c>
      <c r="U255" t="str">
        <f t="shared" si="34"/>
        <v>Won</v>
      </c>
      <c r="V255" s="3">
        <f t="shared" si="35"/>
        <v>23092</v>
      </c>
      <c r="W255" s="3">
        <f t="shared" si="36"/>
        <v>0</v>
      </c>
      <c r="X255" s="5">
        <f t="shared" si="37"/>
        <v>29</v>
      </c>
      <c r="Y255" s="5">
        <f>IF(U255="Open",Lookups!$B$2-B255,X255)</f>
        <v>29</v>
      </c>
      <c r="Z255" t="str">
        <f t="shared" si="38"/>
        <v>OK</v>
      </c>
      <c r="AA255" t="str">
        <f t="shared" si="39"/>
        <v>2025-11</v>
      </c>
      <c r="AB255" t="str">
        <f t="shared" si="40"/>
        <v>2025-12</v>
      </c>
      <c r="AC255" t="str">
        <f t="shared" si="41"/>
        <v>Q4-2025</v>
      </c>
      <c r="AD255" s="5">
        <f t="shared" si="42"/>
        <v>59</v>
      </c>
      <c r="AE255" t="str">
        <f t="shared" si="43"/>
        <v>Won</v>
      </c>
    </row>
    <row r="256" spans="1:31">
      <c r="A256" t="s">
        <v>358</v>
      </c>
      <c r="B256" s="1">
        <v>46130</v>
      </c>
      <c r="C256" t="s">
        <v>90</v>
      </c>
      <c r="D256" t="s">
        <v>57</v>
      </c>
      <c r="E256" t="s">
        <v>127</v>
      </c>
      <c r="F256" t="s">
        <v>59</v>
      </c>
      <c r="G256" t="s">
        <v>99</v>
      </c>
      <c r="H256" t="s">
        <v>47</v>
      </c>
      <c r="I256" t="s">
        <v>61</v>
      </c>
      <c r="J256" s="1">
        <v>46207</v>
      </c>
      <c r="K256" s="1">
        <v>46207</v>
      </c>
      <c r="L256" s="3">
        <v>12200</v>
      </c>
      <c r="M256" s="4">
        <v>0</v>
      </c>
      <c r="N256" s="4">
        <v>0</v>
      </c>
      <c r="O256" t="s">
        <v>102</v>
      </c>
      <c r="P256">
        <v>5</v>
      </c>
      <c r="Q256" t="str">
        <f>IFERROR(VLOOKUP(E256,Lookups!$A$5:$B$24,2,FALSE),"Other")</f>
        <v>Paid Search</v>
      </c>
      <c r="R256" t="str">
        <f>IFERROR(VLOOKUP(F256,Lookups!$D$5:$F$10,2,FALSE),"Unknown Product")</f>
        <v>NexaCRM Pro</v>
      </c>
      <c r="S256" t="str">
        <f>IFERROR(VLOOKUP(F256,Lookups!$D$5:$F$10,3,FALSE),"Unknown")</f>
        <v>CRM</v>
      </c>
      <c r="T256" t="str">
        <f t="shared" si="33"/>
        <v>SMB</v>
      </c>
      <c r="U256" t="str">
        <f t="shared" si="34"/>
        <v>Lost</v>
      </c>
      <c r="V256" s="3">
        <f t="shared" si="35"/>
        <v>0</v>
      </c>
      <c r="W256" s="3">
        <f t="shared" si="36"/>
        <v>0</v>
      </c>
      <c r="X256" s="5">
        <f t="shared" si="37"/>
        <v>77</v>
      </c>
      <c r="Y256" s="5">
        <f>IF(U256="Open",Lookups!$B$2-B256,X256)</f>
        <v>77</v>
      </c>
      <c r="Z256" t="str">
        <f t="shared" si="38"/>
        <v>OK</v>
      </c>
      <c r="AA256" t="str">
        <f t="shared" si="39"/>
        <v>2026-04</v>
      </c>
      <c r="AB256" t="str">
        <f t="shared" si="40"/>
        <v>2026-07</v>
      </c>
      <c r="AC256" t="str">
        <f t="shared" si="41"/>
        <v>Q2-2026</v>
      </c>
      <c r="AD256" s="5">
        <f t="shared" si="42"/>
        <v>43</v>
      </c>
      <c r="AE256" t="str">
        <f t="shared" si="43"/>
        <v>Lost</v>
      </c>
    </row>
    <row r="257" spans="1:31">
      <c r="A257" t="s">
        <v>359</v>
      </c>
      <c r="B257" s="1">
        <v>46035</v>
      </c>
      <c r="C257" t="s">
        <v>86</v>
      </c>
      <c r="D257" t="s">
        <v>87</v>
      </c>
      <c r="E257" t="s">
        <v>146</v>
      </c>
      <c r="F257" t="s">
        <v>45</v>
      </c>
      <c r="G257" t="s">
        <v>72</v>
      </c>
      <c r="H257" t="s">
        <v>53</v>
      </c>
      <c r="I257" t="s">
        <v>48</v>
      </c>
      <c r="J257" s="1">
        <v>46181</v>
      </c>
      <c r="K257" s="1"/>
      <c r="L257" s="3">
        <v>33300</v>
      </c>
      <c r="M257" s="4">
        <v>0.03</v>
      </c>
      <c r="N257" s="4">
        <v>0.85</v>
      </c>
      <c r="P257">
        <v>5</v>
      </c>
      <c r="Q257" t="str">
        <f>IFERROR(VLOOKUP(E257,Lookups!$A$5:$B$24,2,FALSE),"Other")</f>
        <v>LinkedIn</v>
      </c>
      <c r="R257" t="str">
        <f>IFERROR(VLOOKUP(F257,Lookups!$D$5:$F$10,2,FALSE),"Unknown Product")</f>
        <v>Service Cloud</v>
      </c>
      <c r="S257" t="str">
        <f>IFERROR(VLOOKUP(F257,Lookups!$D$5:$F$10,3,FALSE),"Unknown")</f>
        <v>Customer Service</v>
      </c>
      <c r="T257" t="str">
        <f t="shared" si="33"/>
        <v>Mid-Market</v>
      </c>
      <c r="U257" t="str">
        <f t="shared" si="34"/>
        <v>Open</v>
      </c>
      <c r="V257" s="3">
        <f t="shared" si="35"/>
        <v>0</v>
      </c>
      <c r="W257" s="3">
        <f t="shared" si="36"/>
        <v>28305</v>
      </c>
      <c r="X257" s="5" t="str">
        <f t="shared" si="37"/>
        <v/>
      </c>
      <c r="Y257" s="5">
        <f>IF(U257="Open",Lookups!$B$2-B257,X257)</f>
        <v>231</v>
      </c>
      <c r="Z257" t="str">
        <f t="shared" si="38"/>
        <v>STALE</v>
      </c>
      <c r="AA257" t="str">
        <f t="shared" si="39"/>
        <v>2026-01</v>
      </c>
      <c r="AB257" t="str">
        <f t="shared" si="40"/>
        <v/>
      </c>
      <c r="AC257" t="str">
        <f t="shared" si="41"/>
        <v>Q1-2026</v>
      </c>
      <c r="AD257" s="5">
        <f t="shared" si="42"/>
        <v>59</v>
      </c>
      <c r="AE257" t="str">
        <f t="shared" si="43"/>
        <v>Commit</v>
      </c>
    </row>
    <row r="258" spans="1:31">
      <c r="A258" t="s">
        <v>360</v>
      </c>
      <c r="B258" s="1">
        <v>45696</v>
      </c>
      <c r="C258" t="s">
        <v>69</v>
      </c>
      <c r="D258" t="s">
        <v>57</v>
      </c>
      <c r="E258" t="s">
        <v>160</v>
      </c>
      <c r="F258" t="s">
        <v>52</v>
      </c>
      <c r="G258" t="s">
        <v>76</v>
      </c>
      <c r="H258" t="s">
        <v>47</v>
      </c>
      <c r="I258" t="s">
        <v>61</v>
      </c>
      <c r="J258" s="1">
        <v>45727</v>
      </c>
      <c r="K258" s="1">
        <v>45727</v>
      </c>
      <c r="L258" s="3">
        <v>4600</v>
      </c>
      <c r="M258" s="4">
        <v>0</v>
      </c>
      <c r="N258" s="4">
        <v>0</v>
      </c>
      <c r="O258" t="s">
        <v>110</v>
      </c>
      <c r="P258">
        <v>3</v>
      </c>
      <c r="Q258" t="str">
        <f>IFERROR(VLOOKUP(E258,Lookups!$A$5:$B$24,2,FALSE),"Other")</f>
        <v>Email</v>
      </c>
      <c r="R258" t="str">
        <f>IFERROR(VLOOKUP(F258,Lookups!$D$5:$F$10,2,FALSE),"Unknown Product")</f>
        <v>NexaCRM Core</v>
      </c>
      <c r="S258" t="str">
        <f>IFERROR(VLOOKUP(F258,Lookups!$D$5:$F$10,3,FALSE),"Unknown")</f>
        <v>CRM</v>
      </c>
      <c r="T258" t="str">
        <f t="shared" ref="T258:T321" si="44">IF(L258&gt;=50000,"Enterprise",IF(L258&gt;=20000,"Mid-Market","SMB"))</f>
        <v>SMB</v>
      </c>
      <c r="U258" t="str">
        <f t="shared" ref="U258:U321" si="45">IF(I258="Closed Won","Won",IF(I258="Closed Lost","Lost","Open"))</f>
        <v>Lost</v>
      </c>
      <c r="V258" s="3">
        <f t="shared" ref="V258:V321" si="46">IF(U258="Won",L258*(1-M258),0)</f>
        <v>0</v>
      </c>
      <c r="W258" s="3">
        <f t="shared" ref="W258:W321" si="47">IF(U258="Open",L258*N258,0)</f>
        <v>0</v>
      </c>
      <c r="X258" s="5">
        <f t="shared" ref="X258:X321" si="48">IF(U258="Open","",IFERROR(K258-B258,""))</f>
        <v>31</v>
      </c>
      <c r="Y258" s="5">
        <f>IF(U258="Open",Lookups!$B$2-B258,X258)</f>
        <v>31</v>
      </c>
      <c r="Z258" t="str">
        <f t="shared" ref="Z258:Z321" si="49">IF(AND(U258="Open",Y258&gt;30),"STALE","OK")</f>
        <v>OK</v>
      </c>
      <c r="AA258" t="str">
        <f t="shared" ref="AA258:AA321" si="50">TEXT(B258,"yyyy-mm")</f>
        <v>2025-02</v>
      </c>
      <c r="AB258" t="str">
        <f t="shared" ref="AB258:AB321" si="51">IF(K258="","",TEXT(K258,"yyyy-mm"))</f>
        <v>2025-03</v>
      </c>
      <c r="AC258" t="str">
        <f t="shared" ref="AC258:AC321" si="52">"Q"&amp;ROUNDUP(MONTH(B258)/3,0)&amp;"-"&amp;YEAR(B258)</f>
        <v>Q1-2025</v>
      </c>
      <c r="AD258" s="5">
        <f t="shared" ref="AD258:AD321" si="53">MIN(100,IF(H258="Enterprise",30,IF(H258="Mid-Market",22,14))+IF(T258="Enterprise",25,IF(T258="Mid-Market",18,10))+IF(Q258="Referral",25,IF(Q258="Organic Search",20,IF(Q258="Email",18,14)))+IF(G258="Technology",10,5))</f>
        <v>47</v>
      </c>
      <c r="AE258" t="str">
        <f t="shared" ref="AE258:AE321" si="54">IF(U258&lt;&gt;"Open",U258,IF(N258&gt;=0.8,"Commit",IF(N258&gt;=0.5,"Best Case","Pipeline")))</f>
        <v>Lost</v>
      </c>
    </row>
    <row r="259" spans="1:31">
      <c r="A259" t="s">
        <v>361</v>
      </c>
      <c r="B259" s="1">
        <v>46248</v>
      </c>
      <c r="C259" t="s">
        <v>42</v>
      </c>
      <c r="D259" t="s">
        <v>43</v>
      </c>
      <c r="E259" t="s">
        <v>58</v>
      </c>
      <c r="F259" t="s">
        <v>45</v>
      </c>
      <c r="G259" t="s">
        <v>76</v>
      </c>
      <c r="H259" t="s">
        <v>53</v>
      </c>
      <c r="I259" t="s">
        <v>187</v>
      </c>
      <c r="J259" s="1">
        <v>46261</v>
      </c>
      <c r="K259" s="1"/>
      <c r="L259" s="3">
        <v>34000</v>
      </c>
      <c r="M259" s="4">
        <v>0.03</v>
      </c>
      <c r="N259" s="4">
        <v>0.05</v>
      </c>
      <c r="P259">
        <v>1</v>
      </c>
      <c r="Q259" t="str">
        <f>IFERROR(VLOOKUP(E259,Lookups!$A$5:$B$24,2,FALSE),"Other")</f>
        <v>Email</v>
      </c>
      <c r="R259" t="str">
        <f>IFERROR(VLOOKUP(F259,Lookups!$D$5:$F$10,2,FALSE),"Unknown Product")</f>
        <v>Service Cloud</v>
      </c>
      <c r="S259" t="str">
        <f>IFERROR(VLOOKUP(F259,Lookups!$D$5:$F$10,3,FALSE),"Unknown")</f>
        <v>Customer Service</v>
      </c>
      <c r="T259" t="str">
        <f t="shared" si="44"/>
        <v>Mid-Market</v>
      </c>
      <c r="U259" t="str">
        <f t="shared" si="45"/>
        <v>Open</v>
      </c>
      <c r="V259" s="3">
        <f t="shared" si="46"/>
        <v>0</v>
      </c>
      <c r="W259" s="3">
        <f t="shared" si="47"/>
        <v>1700</v>
      </c>
      <c r="X259" s="5" t="str">
        <f t="shared" si="48"/>
        <v/>
      </c>
      <c r="Y259" s="5">
        <f>IF(U259="Open",Lookups!$B$2-B259,X259)</f>
        <v>18</v>
      </c>
      <c r="Z259" t="str">
        <f t="shared" si="49"/>
        <v>OK</v>
      </c>
      <c r="AA259" t="str">
        <f t="shared" si="50"/>
        <v>2026-08</v>
      </c>
      <c r="AB259" t="str">
        <f t="shared" si="51"/>
        <v/>
      </c>
      <c r="AC259" t="str">
        <f t="shared" si="52"/>
        <v>Q3-2026</v>
      </c>
      <c r="AD259" s="5">
        <f t="shared" si="53"/>
        <v>63</v>
      </c>
      <c r="AE259" t="str">
        <f t="shared" si="54"/>
        <v>Pipeline</v>
      </c>
    </row>
    <row r="260" spans="1:31">
      <c r="A260" t="s">
        <v>362</v>
      </c>
      <c r="B260" s="1">
        <v>45946</v>
      </c>
      <c r="C260" t="s">
        <v>64</v>
      </c>
      <c r="D260" t="s">
        <v>57</v>
      </c>
      <c r="E260" t="s">
        <v>98</v>
      </c>
      <c r="F260" t="s">
        <v>59</v>
      </c>
      <c r="G260" t="s">
        <v>94</v>
      </c>
      <c r="H260" t="s">
        <v>53</v>
      </c>
      <c r="I260" t="s">
        <v>77</v>
      </c>
      <c r="J260" s="1">
        <v>45993</v>
      </c>
      <c r="K260" s="1">
        <v>45993</v>
      </c>
      <c r="L260" s="3">
        <v>25700</v>
      </c>
      <c r="M260" s="4">
        <v>0</v>
      </c>
      <c r="N260" s="4">
        <v>1</v>
      </c>
      <c r="P260">
        <v>6</v>
      </c>
      <c r="Q260" t="str">
        <f>IFERROR(VLOOKUP(E260,Lookups!$A$5:$B$24,2,FALSE),"Other")</f>
        <v>Outbound</v>
      </c>
      <c r="R260" t="str">
        <f>IFERROR(VLOOKUP(F260,Lookups!$D$5:$F$10,2,FALSE),"Unknown Product")</f>
        <v>NexaCRM Pro</v>
      </c>
      <c r="S260" t="str">
        <f>IFERROR(VLOOKUP(F260,Lookups!$D$5:$F$10,3,FALSE),"Unknown")</f>
        <v>CRM</v>
      </c>
      <c r="T260" t="str">
        <f t="shared" si="44"/>
        <v>Mid-Market</v>
      </c>
      <c r="U260" t="str">
        <f t="shared" si="45"/>
        <v>Won</v>
      </c>
      <c r="V260" s="3">
        <f t="shared" si="46"/>
        <v>25700</v>
      </c>
      <c r="W260" s="3">
        <f t="shared" si="47"/>
        <v>0</v>
      </c>
      <c r="X260" s="5">
        <f t="shared" si="48"/>
        <v>47</v>
      </c>
      <c r="Y260" s="5">
        <f>IF(U260="Open",Lookups!$B$2-B260,X260)</f>
        <v>47</v>
      </c>
      <c r="Z260" t="str">
        <f t="shared" si="49"/>
        <v>OK</v>
      </c>
      <c r="AA260" t="str">
        <f t="shared" si="50"/>
        <v>2025-10</v>
      </c>
      <c r="AB260" t="str">
        <f t="shared" si="51"/>
        <v>2025-12</v>
      </c>
      <c r="AC260" t="str">
        <f t="shared" si="52"/>
        <v>Q4-2025</v>
      </c>
      <c r="AD260" s="5">
        <f t="shared" si="53"/>
        <v>59</v>
      </c>
      <c r="AE260" t="str">
        <f t="shared" si="54"/>
        <v>Won</v>
      </c>
    </row>
    <row r="261" spans="1:31">
      <c r="A261" t="s">
        <v>363</v>
      </c>
      <c r="B261" s="1">
        <v>45986</v>
      </c>
      <c r="C261" t="s">
        <v>86</v>
      </c>
      <c r="D261" t="s">
        <v>87</v>
      </c>
      <c r="E261" t="s">
        <v>146</v>
      </c>
      <c r="F261" t="s">
        <v>52</v>
      </c>
      <c r="G261" t="s">
        <v>76</v>
      </c>
      <c r="H261" t="s">
        <v>53</v>
      </c>
      <c r="I261" t="s">
        <v>61</v>
      </c>
      <c r="J261" s="1">
        <v>46040</v>
      </c>
      <c r="K261" s="1">
        <v>46040</v>
      </c>
      <c r="L261" s="3">
        <v>15400</v>
      </c>
      <c r="M261" s="4">
        <v>0</v>
      </c>
      <c r="N261" s="4">
        <v>0</v>
      </c>
      <c r="O261" t="s">
        <v>116</v>
      </c>
      <c r="P261">
        <v>2</v>
      </c>
      <c r="Q261" t="str">
        <f>IFERROR(VLOOKUP(E261,Lookups!$A$5:$B$24,2,FALSE),"Other")</f>
        <v>LinkedIn</v>
      </c>
      <c r="R261" t="str">
        <f>IFERROR(VLOOKUP(F261,Lookups!$D$5:$F$10,2,FALSE),"Unknown Product")</f>
        <v>NexaCRM Core</v>
      </c>
      <c r="S261" t="str">
        <f>IFERROR(VLOOKUP(F261,Lookups!$D$5:$F$10,3,FALSE),"Unknown")</f>
        <v>CRM</v>
      </c>
      <c r="T261" t="str">
        <f t="shared" si="44"/>
        <v>SMB</v>
      </c>
      <c r="U261" t="str">
        <f t="shared" si="45"/>
        <v>Lost</v>
      </c>
      <c r="V261" s="3">
        <f t="shared" si="46"/>
        <v>0</v>
      </c>
      <c r="W261" s="3">
        <f t="shared" si="47"/>
        <v>0</v>
      </c>
      <c r="X261" s="5">
        <f t="shared" si="48"/>
        <v>54</v>
      </c>
      <c r="Y261" s="5">
        <f>IF(U261="Open",Lookups!$B$2-B261,X261)</f>
        <v>54</v>
      </c>
      <c r="Z261" t="str">
        <f t="shared" si="49"/>
        <v>OK</v>
      </c>
      <c r="AA261" t="str">
        <f t="shared" si="50"/>
        <v>2025-11</v>
      </c>
      <c r="AB261" t="str">
        <f t="shared" si="51"/>
        <v>2026-01</v>
      </c>
      <c r="AC261" t="str">
        <f t="shared" si="52"/>
        <v>Q4-2025</v>
      </c>
      <c r="AD261" s="5">
        <f t="shared" si="53"/>
        <v>51</v>
      </c>
      <c r="AE261" t="str">
        <f t="shared" si="54"/>
        <v>Lost</v>
      </c>
    </row>
    <row r="262" spans="1:31">
      <c r="A262" t="s">
        <v>364</v>
      </c>
      <c r="B262" s="1">
        <v>45696</v>
      </c>
      <c r="C262" t="s">
        <v>69</v>
      </c>
      <c r="D262" t="s">
        <v>57</v>
      </c>
      <c r="E262" t="s">
        <v>51</v>
      </c>
      <c r="F262" t="s">
        <v>45</v>
      </c>
      <c r="G262" t="s">
        <v>112</v>
      </c>
      <c r="H262" t="s">
        <v>47</v>
      </c>
      <c r="I262" t="s">
        <v>61</v>
      </c>
      <c r="J262" s="1">
        <v>45763</v>
      </c>
      <c r="K262" s="1">
        <v>45763</v>
      </c>
      <c r="L262" s="3">
        <v>23500</v>
      </c>
      <c r="M262" s="4">
        <v>0</v>
      </c>
      <c r="N262" s="4">
        <v>0</v>
      </c>
      <c r="O262" t="s">
        <v>62</v>
      </c>
      <c r="P262">
        <v>5</v>
      </c>
      <c r="Q262" t="str">
        <f>IFERROR(VLOOKUP(E262,Lookups!$A$5:$B$24,2,FALSE),"Other")</f>
        <v>Paid Search</v>
      </c>
      <c r="R262" t="str">
        <f>IFERROR(VLOOKUP(F262,Lookups!$D$5:$F$10,2,FALSE),"Unknown Product")</f>
        <v>Service Cloud</v>
      </c>
      <c r="S262" t="str">
        <f>IFERROR(VLOOKUP(F262,Lookups!$D$5:$F$10,3,FALSE),"Unknown")</f>
        <v>Customer Service</v>
      </c>
      <c r="T262" t="str">
        <f t="shared" si="44"/>
        <v>Mid-Market</v>
      </c>
      <c r="U262" t="str">
        <f t="shared" si="45"/>
        <v>Lost</v>
      </c>
      <c r="V262" s="3">
        <f t="shared" si="46"/>
        <v>0</v>
      </c>
      <c r="W262" s="3">
        <f t="shared" si="47"/>
        <v>0</v>
      </c>
      <c r="X262" s="5">
        <f t="shared" si="48"/>
        <v>67</v>
      </c>
      <c r="Y262" s="5">
        <f>IF(U262="Open",Lookups!$B$2-B262,X262)</f>
        <v>67</v>
      </c>
      <c r="Z262" t="str">
        <f t="shared" si="49"/>
        <v>OK</v>
      </c>
      <c r="AA262" t="str">
        <f t="shared" si="50"/>
        <v>2025-02</v>
      </c>
      <c r="AB262" t="str">
        <f t="shared" si="51"/>
        <v>2025-04</v>
      </c>
      <c r="AC262" t="str">
        <f t="shared" si="52"/>
        <v>Q1-2025</v>
      </c>
      <c r="AD262" s="5">
        <f t="shared" si="53"/>
        <v>56</v>
      </c>
      <c r="AE262" t="str">
        <f t="shared" si="54"/>
        <v>Lost</v>
      </c>
    </row>
    <row r="263" spans="1:31">
      <c r="A263" t="s">
        <v>365</v>
      </c>
      <c r="B263" s="1">
        <v>46116</v>
      </c>
      <c r="C263" t="s">
        <v>90</v>
      </c>
      <c r="D263" t="s">
        <v>57</v>
      </c>
      <c r="E263" t="s">
        <v>65</v>
      </c>
      <c r="F263" t="s">
        <v>133</v>
      </c>
      <c r="G263" t="s">
        <v>46</v>
      </c>
      <c r="H263" t="s">
        <v>47</v>
      </c>
      <c r="I263" t="s">
        <v>77</v>
      </c>
      <c r="J263" s="1">
        <v>46149</v>
      </c>
      <c r="K263" s="1">
        <v>46149</v>
      </c>
      <c r="L263" s="3">
        <v>15200</v>
      </c>
      <c r="M263" s="4">
        <v>0.1</v>
      </c>
      <c r="N263" s="4">
        <v>1</v>
      </c>
      <c r="P263">
        <v>6</v>
      </c>
      <c r="Q263" t="str">
        <f>IFERROR(VLOOKUP(E263,Lookups!$A$5:$B$24,2,FALSE),"Other")</f>
        <v>Paid Search</v>
      </c>
      <c r="R263" t="str">
        <f>IFERROR(VLOOKUP(F263,Lookups!$D$5:$F$10,2,FALSE),"Unknown Product")</f>
        <v>Analytics Plus</v>
      </c>
      <c r="S263" t="str">
        <f>IFERROR(VLOOKUP(F263,Lookups!$D$5:$F$10,3,FALSE),"Unknown")</f>
        <v>Analytics</v>
      </c>
      <c r="T263" t="str">
        <f t="shared" si="44"/>
        <v>SMB</v>
      </c>
      <c r="U263" t="str">
        <f t="shared" si="45"/>
        <v>Won</v>
      </c>
      <c r="V263" s="3">
        <f t="shared" si="46"/>
        <v>13680</v>
      </c>
      <c r="W263" s="3">
        <f t="shared" si="47"/>
        <v>0</v>
      </c>
      <c r="X263" s="5">
        <f t="shared" si="48"/>
        <v>33</v>
      </c>
      <c r="Y263" s="5">
        <f>IF(U263="Open",Lookups!$B$2-B263,X263)</f>
        <v>33</v>
      </c>
      <c r="Z263" t="str">
        <f t="shared" si="49"/>
        <v>OK</v>
      </c>
      <c r="AA263" t="str">
        <f t="shared" si="50"/>
        <v>2026-04</v>
      </c>
      <c r="AB263" t="str">
        <f t="shared" si="51"/>
        <v>2026-05</v>
      </c>
      <c r="AC263" t="str">
        <f t="shared" si="52"/>
        <v>Q2-2026</v>
      </c>
      <c r="AD263" s="5">
        <f t="shared" si="53"/>
        <v>43</v>
      </c>
      <c r="AE263" t="str">
        <f t="shared" si="54"/>
        <v>Won</v>
      </c>
    </row>
    <row r="264" spans="1:31">
      <c r="A264" t="s">
        <v>366</v>
      </c>
      <c r="B264" s="1">
        <v>46210</v>
      </c>
      <c r="C264" t="s">
        <v>56</v>
      </c>
      <c r="D264" t="s">
        <v>57</v>
      </c>
      <c r="E264" t="s">
        <v>166</v>
      </c>
      <c r="F264" t="s">
        <v>52</v>
      </c>
      <c r="G264" t="s">
        <v>72</v>
      </c>
      <c r="H264" t="s">
        <v>53</v>
      </c>
      <c r="I264" t="s">
        <v>105</v>
      </c>
      <c r="J264" s="1">
        <v>46255</v>
      </c>
      <c r="K264" s="1"/>
      <c r="L264" s="3">
        <v>14300</v>
      </c>
      <c r="M264" s="4">
        <v>0.05</v>
      </c>
      <c r="N264" s="4">
        <v>0.4</v>
      </c>
      <c r="P264">
        <v>3</v>
      </c>
      <c r="Q264" t="str">
        <f>IFERROR(VLOOKUP(E264,Lookups!$A$5:$B$24,2,FALSE),"Other")</f>
        <v>Referral</v>
      </c>
      <c r="R264" t="str">
        <f>IFERROR(VLOOKUP(F264,Lookups!$D$5:$F$10,2,FALSE),"Unknown Product")</f>
        <v>NexaCRM Core</v>
      </c>
      <c r="S264" t="str">
        <f>IFERROR(VLOOKUP(F264,Lookups!$D$5:$F$10,3,FALSE),"Unknown")</f>
        <v>CRM</v>
      </c>
      <c r="T264" t="str">
        <f t="shared" si="44"/>
        <v>SMB</v>
      </c>
      <c r="U264" t="str">
        <f t="shared" si="45"/>
        <v>Open</v>
      </c>
      <c r="V264" s="3">
        <f t="shared" si="46"/>
        <v>0</v>
      </c>
      <c r="W264" s="3">
        <f t="shared" si="47"/>
        <v>5720</v>
      </c>
      <c r="X264" s="5" t="str">
        <f t="shared" si="48"/>
        <v/>
      </c>
      <c r="Y264" s="5">
        <f>IF(U264="Open",Lookups!$B$2-B264,X264)</f>
        <v>56</v>
      </c>
      <c r="Z264" t="str">
        <f t="shared" si="49"/>
        <v>STALE</v>
      </c>
      <c r="AA264" t="str">
        <f t="shared" si="50"/>
        <v>2026-07</v>
      </c>
      <c r="AB264" t="str">
        <f t="shared" si="51"/>
        <v/>
      </c>
      <c r="AC264" t="str">
        <f t="shared" si="52"/>
        <v>Q3-2026</v>
      </c>
      <c r="AD264" s="5">
        <f t="shared" si="53"/>
        <v>62</v>
      </c>
      <c r="AE264" t="str">
        <f t="shared" si="54"/>
        <v>Pipeline</v>
      </c>
    </row>
    <row r="265" spans="1:31">
      <c r="A265" t="s">
        <v>367</v>
      </c>
      <c r="B265" s="1">
        <v>45905</v>
      </c>
      <c r="C265" t="s">
        <v>42</v>
      </c>
      <c r="D265" t="s">
        <v>43</v>
      </c>
      <c r="E265" t="s">
        <v>58</v>
      </c>
      <c r="F265" t="s">
        <v>71</v>
      </c>
      <c r="G265" t="s">
        <v>99</v>
      </c>
      <c r="H265" t="s">
        <v>53</v>
      </c>
      <c r="I265" t="s">
        <v>61</v>
      </c>
      <c r="J265" s="1">
        <v>45955</v>
      </c>
      <c r="K265" s="1">
        <v>45955</v>
      </c>
      <c r="L265" s="3">
        <v>29600</v>
      </c>
      <c r="M265" s="4">
        <v>0</v>
      </c>
      <c r="N265" s="4">
        <v>0</v>
      </c>
      <c r="O265" t="s">
        <v>81</v>
      </c>
      <c r="P265">
        <v>5</v>
      </c>
      <c r="Q265" t="str">
        <f>IFERROR(VLOOKUP(E265,Lookups!$A$5:$B$24,2,FALSE),"Other")</f>
        <v>Email</v>
      </c>
      <c r="R265" t="str">
        <f>IFERROR(VLOOKUP(F265,Lookups!$D$5:$F$10,2,FALSE),"Unknown Product")</f>
        <v>Marketing Automation</v>
      </c>
      <c r="S265" t="str">
        <f>IFERROR(VLOOKUP(F265,Lookups!$D$5:$F$10,3,FALSE),"Unknown")</f>
        <v>Marketing</v>
      </c>
      <c r="T265" t="str">
        <f t="shared" si="44"/>
        <v>Mid-Market</v>
      </c>
      <c r="U265" t="str">
        <f t="shared" si="45"/>
        <v>Lost</v>
      </c>
      <c r="V265" s="3">
        <f t="shared" si="46"/>
        <v>0</v>
      </c>
      <c r="W265" s="3">
        <f t="shared" si="47"/>
        <v>0</v>
      </c>
      <c r="X265" s="5">
        <f t="shared" si="48"/>
        <v>50</v>
      </c>
      <c r="Y265" s="5">
        <f>IF(U265="Open",Lookups!$B$2-B265,X265)</f>
        <v>50</v>
      </c>
      <c r="Z265" t="str">
        <f t="shared" si="49"/>
        <v>OK</v>
      </c>
      <c r="AA265" t="str">
        <f t="shared" si="50"/>
        <v>2025-09</v>
      </c>
      <c r="AB265" t="str">
        <f t="shared" si="51"/>
        <v>2025-10</v>
      </c>
      <c r="AC265" t="str">
        <f t="shared" si="52"/>
        <v>Q3-2025</v>
      </c>
      <c r="AD265" s="5">
        <f t="shared" si="53"/>
        <v>63</v>
      </c>
      <c r="AE265" t="str">
        <f t="shared" si="54"/>
        <v>Lost</v>
      </c>
    </row>
    <row r="266" spans="1:31">
      <c r="A266" t="s">
        <v>368</v>
      </c>
      <c r="B266" s="1">
        <v>45833</v>
      </c>
      <c r="C266" t="s">
        <v>90</v>
      </c>
      <c r="D266" t="s">
        <v>57</v>
      </c>
      <c r="E266" t="s">
        <v>65</v>
      </c>
      <c r="F266" t="s">
        <v>45</v>
      </c>
      <c r="G266" t="s">
        <v>46</v>
      </c>
      <c r="H266" t="s">
        <v>47</v>
      </c>
      <c r="I266" t="s">
        <v>61</v>
      </c>
      <c r="J266" s="1">
        <v>45888</v>
      </c>
      <c r="K266" s="1">
        <v>45888</v>
      </c>
      <c r="L266" s="3">
        <v>25200</v>
      </c>
      <c r="M266" s="4">
        <v>0</v>
      </c>
      <c r="N266" s="4">
        <v>0</v>
      </c>
      <c r="O266" t="s">
        <v>102</v>
      </c>
      <c r="P266">
        <v>5</v>
      </c>
      <c r="Q266" t="str">
        <f>IFERROR(VLOOKUP(E266,Lookups!$A$5:$B$24,2,FALSE),"Other")</f>
        <v>Paid Search</v>
      </c>
      <c r="R266" t="str">
        <f>IFERROR(VLOOKUP(F266,Lookups!$D$5:$F$10,2,FALSE),"Unknown Product")</f>
        <v>Service Cloud</v>
      </c>
      <c r="S266" t="str">
        <f>IFERROR(VLOOKUP(F266,Lookups!$D$5:$F$10,3,FALSE),"Unknown")</f>
        <v>Customer Service</v>
      </c>
      <c r="T266" t="str">
        <f t="shared" si="44"/>
        <v>Mid-Market</v>
      </c>
      <c r="U266" t="str">
        <f t="shared" si="45"/>
        <v>Lost</v>
      </c>
      <c r="V266" s="3">
        <f t="shared" si="46"/>
        <v>0</v>
      </c>
      <c r="W266" s="3">
        <f t="shared" si="47"/>
        <v>0</v>
      </c>
      <c r="X266" s="5">
        <f t="shared" si="48"/>
        <v>55</v>
      </c>
      <c r="Y266" s="5">
        <f>IF(U266="Open",Lookups!$B$2-B266,X266)</f>
        <v>55</v>
      </c>
      <c r="Z266" t="str">
        <f t="shared" si="49"/>
        <v>OK</v>
      </c>
      <c r="AA266" t="str">
        <f t="shared" si="50"/>
        <v>2025-06</v>
      </c>
      <c r="AB266" t="str">
        <f t="shared" si="51"/>
        <v>2025-08</v>
      </c>
      <c r="AC266" t="str">
        <f t="shared" si="52"/>
        <v>Q2-2025</v>
      </c>
      <c r="AD266" s="5">
        <f t="shared" si="53"/>
        <v>51</v>
      </c>
      <c r="AE266" t="str">
        <f t="shared" si="54"/>
        <v>Lost</v>
      </c>
    </row>
    <row r="267" spans="1:31">
      <c r="A267" t="s">
        <v>369</v>
      </c>
      <c r="B267" s="1">
        <v>45701</v>
      </c>
      <c r="C267" t="s">
        <v>56</v>
      </c>
      <c r="D267" t="s">
        <v>57</v>
      </c>
      <c r="E267" t="s">
        <v>75</v>
      </c>
      <c r="F267" t="s">
        <v>133</v>
      </c>
      <c r="G267" t="s">
        <v>60</v>
      </c>
      <c r="H267" t="s">
        <v>53</v>
      </c>
      <c r="I267" t="s">
        <v>61</v>
      </c>
      <c r="J267" s="1">
        <v>45737</v>
      </c>
      <c r="K267" s="1">
        <v>45737</v>
      </c>
      <c r="L267" s="3">
        <v>42300</v>
      </c>
      <c r="M267" s="4">
        <v>0</v>
      </c>
      <c r="N267" s="4">
        <v>0</v>
      </c>
      <c r="O267" t="s">
        <v>62</v>
      </c>
      <c r="P267">
        <v>4</v>
      </c>
      <c r="Q267" t="str">
        <f>IFERROR(VLOOKUP(E267,Lookups!$A$5:$B$24,2,FALSE),"Other")</f>
        <v>Webinar</v>
      </c>
      <c r="R267" t="str">
        <f>IFERROR(VLOOKUP(F267,Lookups!$D$5:$F$10,2,FALSE),"Unknown Product")</f>
        <v>Analytics Plus</v>
      </c>
      <c r="S267" t="str">
        <f>IFERROR(VLOOKUP(F267,Lookups!$D$5:$F$10,3,FALSE),"Unknown")</f>
        <v>Analytics</v>
      </c>
      <c r="T267" t="str">
        <f t="shared" si="44"/>
        <v>Mid-Market</v>
      </c>
      <c r="U267" t="str">
        <f t="shared" si="45"/>
        <v>Lost</v>
      </c>
      <c r="V267" s="3">
        <f t="shared" si="46"/>
        <v>0</v>
      </c>
      <c r="W267" s="3">
        <f t="shared" si="47"/>
        <v>0</v>
      </c>
      <c r="X267" s="5">
        <f t="shared" si="48"/>
        <v>36</v>
      </c>
      <c r="Y267" s="5">
        <f>IF(U267="Open",Lookups!$B$2-B267,X267)</f>
        <v>36</v>
      </c>
      <c r="Z267" t="str">
        <f t="shared" si="49"/>
        <v>OK</v>
      </c>
      <c r="AA267" t="str">
        <f t="shared" si="50"/>
        <v>2025-02</v>
      </c>
      <c r="AB267" t="str">
        <f t="shared" si="51"/>
        <v>2025-03</v>
      </c>
      <c r="AC267" t="str">
        <f t="shared" si="52"/>
        <v>Q1-2025</v>
      </c>
      <c r="AD267" s="5">
        <f t="shared" si="53"/>
        <v>59</v>
      </c>
      <c r="AE267" t="str">
        <f t="shared" si="54"/>
        <v>Lost</v>
      </c>
    </row>
    <row r="268" spans="1:31">
      <c r="A268" t="s">
        <v>370</v>
      </c>
      <c r="B268" s="1">
        <v>45811</v>
      </c>
      <c r="C268" t="s">
        <v>42</v>
      </c>
      <c r="D268" t="s">
        <v>43</v>
      </c>
      <c r="E268" t="s">
        <v>138</v>
      </c>
      <c r="F268" t="s">
        <v>52</v>
      </c>
      <c r="G268" t="s">
        <v>76</v>
      </c>
      <c r="H268" t="s">
        <v>47</v>
      </c>
      <c r="I268" t="s">
        <v>61</v>
      </c>
      <c r="J268" s="1">
        <v>45859</v>
      </c>
      <c r="K268" s="1">
        <v>45859</v>
      </c>
      <c r="L268" s="3">
        <v>6300</v>
      </c>
      <c r="M268" s="4">
        <v>0</v>
      </c>
      <c r="N268" s="4">
        <v>0</v>
      </c>
      <c r="O268" t="s">
        <v>62</v>
      </c>
      <c r="P268">
        <v>4</v>
      </c>
      <c r="Q268" t="str">
        <f>IFERROR(VLOOKUP(E268,Lookups!$A$5:$B$24,2,FALSE),"Other")</f>
        <v>Organic Search</v>
      </c>
      <c r="R268" t="str">
        <f>IFERROR(VLOOKUP(F268,Lookups!$D$5:$F$10,2,FALSE),"Unknown Product")</f>
        <v>NexaCRM Core</v>
      </c>
      <c r="S268" t="str">
        <f>IFERROR(VLOOKUP(F268,Lookups!$D$5:$F$10,3,FALSE),"Unknown")</f>
        <v>CRM</v>
      </c>
      <c r="T268" t="str">
        <f t="shared" si="44"/>
        <v>SMB</v>
      </c>
      <c r="U268" t="str">
        <f t="shared" si="45"/>
        <v>Lost</v>
      </c>
      <c r="V268" s="3">
        <f t="shared" si="46"/>
        <v>0</v>
      </c>
      <c r="W268" s="3">
        <f t="shared" si="47"/>
        <v>0</v>
      </c>
      <c r="X268" s="5">
        <f t="shared" si="48"/>
        <v>48</v>
      </c>
      <c r="Y268" s="5">
        <f>IF(U268="Open",Lookups!$B$2-B268,X268)</f>
        <v>48</v>
      </c>
      <c r="Z268" t="str">
        <f t="shared" si="49"/>
        <v>OK</v>
      </c>
      <c r="AA268" t="str">
        <f t="shared" si="50"/>
        <v>2025-06</v>
      </c>
      <c r="AB268" t="str">
        <f t="shared" si="51"/>
        <v>2025-07</v>
      </c>
      <c r="AC268" t="str">
        <f t="shared" si="52"/>
        <v>Q2-2025</v>
      </c>
      <c r="AD268" s="5">
        <f t="shared" si="53"/>
        <v>49</v>
      </c>
      <c r="AE268" t="str">
        <f t="shared" si="54"/>
        <v>Lost</v>
      </c>
    </row>
    <row r="269" spans="1:31">
      <c r="A269" t="s">
        <v>371</v>
      </c>
      <c r="B269" s="1">
        <v>46145</v>
      </c>
      <c r="C269" t="s">
        <v>50</v>
      </c>
      <c r="D269" t="s">
        <v>43</v>
      </c>
      <c r="E269" t="s">
        <v>127</v>
      </c>
      <c r="F269" t="s">
        <v>71</v>
      </c>
      <c r="G269" t="s">
        <v>46</v>
      </c>
      <c r="H269" t="s">
        <v>47</v>
      </c>
      <c r="I269" t="s">
        <v>61</v>
      </c>
      <c r="J269" s="1">
        <v>46191</v>
      </c>
      <c r="K269" s="1">
        <v>46191</v>
      </c>
      <c r="L269" s="3">
        <v>18700</v>
      </c>
      <c r="M269" s="4">
        <v>0</v>
      </c>
      <c r="N269" s="4">
        <v>0</v>
      </c>
      <c r="O269" t="s">
        <v>116</v>
      </c>
      <c r="P269">
        <v>2</v>
      </c>
      <c r="Q269" t="str">
        <f>IFERROR(VLOOKUP(E269,Lookups!$A$5:$B$24,2,FALSE),"Other")</f>
        <v>Paid Search</v>
      </c>
      <c r="R269" t="str">
        <f>IFERROR(VLOOKUP(F269,Lookups!$D$5:$F$10,2,FALSE),"Unknown Product")</f>
        <v>Marketing Automation</v>
      </c>
      <c r="S269" t="str">
        <f>IFERROR(VLOOKUP(F269,Lookups!$D$5:$F$10,3,FALSE),"Unknown")</f>
        <v>Marketing</v>
      </c>
      <c r="T269" t="str">
        <f t="shared" si="44"/>
        <v>SMB</v>
      </c>
      <c r="U269" t="str">
        <f t="shared" si="45"/>
        <v>Lost</v>
      </c>
      <c r="V269" s="3">
        <f t="shared" si="46"/>
        <v>0</v>
      </c>
      <c r="W269" s="3">
        <f t="shared" si="47"/>
        <v>0</v>
      </c>
      <c r="X269" s="5">
        <f t="shared" si="48"/>
        <v>46</v>
      </c>
      <c r="Y269" s="5">
        <f>IF(U269="Open",Lookups!$B$2-B269,X269)</f>
        <v>46</v>
      </c>
      <c r="Z269" t="str">
        <f t="shared" si="49"/>
        <v>OK</v>
      </c>
      <c r="AA269" t="str">
        <f t="shared" si="50"/>
        <v>2026-05</v>
      </c>
      <c r="AB269" t="str">
        <f t="shared" si="51"/>
        <v>2026-06</v>
      </c>
      <c r="AC269" t="str">
        <f t="shared" si="52"/>
        <v>Q2-2026</v>
      </c>
      <c r="AD269" s="5">
        <f t="shared" si="53"/>
        <v>43</v>
      </c>
      <c r="AE269" t="str">
        <f t="shared" si="54"/>
        <v>Lost</v>
      </c>
    </row>
    <row r="270" spans="1:31">
      <c r="A270" t="s">
        <v>372</v>
      </c>
      <c r="B270" s="1">
        <v>46090</v>
      </c>
      <c r="C270" t="s">
        <v>69</v>
      </c>
      <c r="D270" t="s">
        <v>57</v>
      </c>
      <c r="E270" t="s">
        <v>138</v>
      </c>
      <c r="F270" t="s">
        <v>71</v>
      </c>
      <c r="G270" t="s">
        <v>60</v>
      </c>
      <c r="H270" t="s">
        <v>84</v>
      </c>
      <c r="I270" t="s">
        <v>61</v>
      </c>
      <c r="J270" s="1">
        <v>46123</v>
      </c>
      <c r="K270" s="1">
        <v>46123</v>
      </c>
      <c r="L270" s="3">
        <v>59900</v>
      </c>
      <c r="M270" s="4">
        <v>0</v>
      </c>
      <c r="N270" s="4">
        <v>0</v>
      </c>
      <c r="O270" t="s">
        <v>110</v>
      </c>
      <c r="P270">
        <v>2</v>
      </c>
      <c r="Q270" t="str">
        <f>IFERROR(VLOOKUP(E270,Lookups!$A$5:$B$24,2,FALSE),"Other")</f>
        <v>Organic Search</v>
      </c>
      <c r="R270" t="str">
        <f>IFERROR(VLOOKUP(F270,Lookups!$D$5:$F$10,2,FALSE),"Unknown Product")</f>
        <v>Marketing Automation</v>
      </c>
      <c r="S270" t="str">
        <f>IFERROR(VLOOKUP(F270,Lookups!$D$5:$F$10,3,FALSE),"Unknown")</f>
        <v>Marketing</v>
      </c>
      <c r="T270" t="str">
        <f t="shared" si="44"/>
        <v>Enterprise</v>
      </c>
      <c r="U270" t="str">
        <f t="shared" si="45"/>
        <v>Lost</v>
      </c>
      <c r="V270" s="3">
        <f t="shared" si="46"/>
        <v>0</v>
      </c>
      <c r="W270" s="3">
        <f t="shared" si="47"/>
        <v>0</v>
      </c>
      <c r="X270" s="5">
        <f t="shared" si="48"/>
        <v>33</v>
      </c>
      <c r="Y270" s="5">
        <f>IF(U270="Open",Lookups!$B$2-B270,X270)</f>
        <v>33</v>
      </c>
      <c r="Z270" t="str">
        <f t="shared" si="49"/>
        <v>OK</v>
      </c>
      <c r="AA270" t="str">
        <f t="shared" si="50"/>
        <v>2026-03</v>
      </c>
      <c r="AB270" t="str">
        <f t="shared" si="51"/>
        <v>2026-04</v>
      </c>
      <c r="AC270" t="str">
        <f t="shared" si="52"/>
        <v>Q1-2026</v>
      </c>
      <c r="AD270" s="5">
        <f t="shared" si="53"/>
        <v>80</v>
      </c>
      <c r="AE270" t="str">
        <f t="shared" si="54"/>
        <v>Lost</v>
      </c>
    </row>
    <row r="271" spans="1:31">
      <c r="A271" t="s">
        <v>373</v>
      </c>
      <c r="B271" s="1">
        <v>46095</v>
      </c>
      <c r="C271" t="s">
        <v>86</v>
      </c>
      <c r="D271" t="s">
        <v>87</v>
      </c>
      <c r="E271" t="s">
        <v>107</v>
      </c>
      <c r="F271" t="s">
        <v>133</v>
      </c>
      <c r="G271" t="s">
        <v>76</v>
      </c>
      <c r="H271" t="s">
        <v>84</v>
      </c>
      <c r="I271" t="s">
        <v>61</v>
      </c>
      <c r="J271" s="1">
        <v>46123</v>
      </c>
      <c r="K271" s="1">
        <v>46123</v>
      </c>
      <c r="L271" s="3">
        <v>102500</v>
      </c>
      <c r="M271" s="4">
        <v>0</v>
      </c>
      <c r="N271" s="4">
        <v>0</v>
      </c>
      <c r="O271" t="s">
        <v>79</v>
      </c>
      <c r="P271">
        <v>5</v>
      </c>
      <c r="Q271" t="str">
        <f>IFERROR(VLOOKUP(E271,Lookups!$A$5:$B$24,2,FALSE),"Other")</f>
        <v>Referral</v>
      </c>
      <c r="R271" t="str">
        <f>IFERROR(VLOOKUP(F271,Lookups!$D$5:$F$10,2,FALSE),"Unknown Product")</f>
        <v>Analytics Plus</v>
      </c>
      <c r="S271" t="str">
        <f>IFERROR(VLOOKUP(F271,Lookups!$D$5:$F$10,3,FALSE),"Unknown")</f>
        <v>Analytics</v>
      </c>
      <c r="T271" t="str">
        <f t="shared" si="44"/>
        <v>Enterprise</v>
      </c>
      <c r="U271" t="str">
        <f t="shared" si="45"/>
        <v>Lost</v>
      </c>
      <c r="V271" s="3">
        <f t="shared" si="46"/>
        <v>0</v>
      </c>
      <c r="W271" s="3">
        <f t="shared" si="47"/>
        <v>0</v>
      </c>
      <c r="X271" s="5">
        <f t="shared" si="48"/>
        <v>28</v>
      </c>
      <c r="Y271" s="5">
        <f>IF(U271="Open",Lookups!$B$2-B271,X271)</f>
        <v>28</v>
      </c>
      <c r="Z271" t="str">
        <f t="shared" si="49"/>
        <v>OK</v>
      </c>
      <c r="AA271" t="str">
        <f t="shared" si="50"/>
        <v>2026-03</v>
      </c>
      <c r="AB271" t="str">
        <f t="shared" si="51"/>
        <v>2026-04</v>
      </c>
      <c r="AC271" t="str">
        <f t="shared" si="52"/>
        <v>Q1-2026</v>
      </c>
      <c r="AD271" s="5">
        <f t="shared" si="53"/>
        <v>85</v>
      </c>
      <c r="AE271" t="str">
        <f t="shared" si="54"/>
        <v>Lost</v>
      </c>
    </row>
    <row r="272" spans="1:31">
      <c r="A272" t="s">
        <v>374</v>
      </c>
      <c r="B272" s="1">
        <v>46237</v>
      </c>
      <c r="C272" t="s">
        <v>86</v>
      </c>
      <c r="D272" t="s">
        <v>87</v>
      </c>
      <c r="E272" t="s">
        <v>107</v>
      </c>
      <c r="F272" t="s">
        <v>52</v>
      </c>
      <c r="G272" t="s">
        <v>112</v>
      </c>
      <c r="H272" t="s">
        <v>47</v>
      </c>
      <c r="I272" t="s">
        <v>73</v>
      </c>
      <c r="J272" s="1">
        <v>46262</v>
      </c>
      <c r="K272" s="1"/>
      <c r="L272" s="3">
        <v>9600</v>
      </c>
      <c r="M272" s="4">
        <v>0</v>
      </c>
      <c r="N272" s="4">
        <v>0.2</v>
      </c>
      <c r="P272">
        <v>2</v>
      </c>
      <c r="Q272" t="str">
        <f>IFERROR(VLOOKUP(E272,Lookups!$A$5:$B$24,2,FALSE),"Other")</f>
        <v>Referral</v>
      </c>
      <c r="R272" t="str">
        <f>IFERROR(VLOOKUP(F272,Lookups!$D$5:$F$10,2,FALSE),"Unknown Product")</f>
        <v>NexaCRM Core</v>
      </c>
      <c r="S272" t="str">
        <f>IFERROR(VLOOKUP(F272,Lookups!$D$5:$F$10,3,FALSE),"Unknown")</f>
        <v>CRM</v>
      </c>
      <c r="T272" t="str">
        <f t="shared" si="44"/>
        <v>SMB</v>
      </c>
      <c r="U272" t="str">
        <f t="shared" si="45"/>
        <v>Open</v>
      </c>
      <c r="V272" s="3">
        <f t="shared" si="46"/>
        <v>0</v>
      </c>
      <c r="W272" s="3">
        <f t="shared" si="47"/>
        <v>1920</v>
      </c>
      <c r="X272" s="5" t="str">
        <f t="shared" si="48"/>
        <v/>
      </c>
      <c r="Y272" s="5">
        <f>IF(U272="Open",Lookups!$B$2-B272,X272)</f>
        <v>29</v>
      </c>
      <c r="Z272" t="str">
        <f t="shared" si="49"/>
        <v>OK</v>
      </c>
      <c r="AA272" t="str">
        <f t="shared" si="50"/>
        <v>2026-08</v>
      </c>
      <c r="AB272" t="str">
        <f t="shared" si="51"/>
        <v/>
      </c>
      <c r="AC272" t="str">
        <f t="shared" si="52"/>
        <v>Q3-2026</v>
      </c>
      <c r="AD272" s="5">
        <f t="shared" si="53"/>
        <v>59</v>
      </c>
      <c r="AE272" t="str">
        <f t="shared" si="54"/>
        <v>Pipeline</v>
      </c>
    </row>
    <row r="273" spans="1:31">
      <c r="A273" t="s">
        <v>375</v>
      </c>
      <c r="B273" s="1">
        <v>45843</v>
      </c>
      <c r="C273" t="s">
        <v>90</v>
      </c>
      <c r="D273" t="s">
        <v>57</v>
      </c>
      <c r="E273" t="s">
        <v>160</v>
      </c>
      <c r="F273" t="s">
        <v>59</v>
      </c>
      <c r="G273" t="s">
        <v>94</v>
      </c>
      <c r="H273" t="s">
        <v>84</v>
      </c>
      <c r="I273" t="s">
        <v>77</v>
      </c>
      <c r="J273" s="1">
        <v>45941</v>
      </c>
      <c r="K273" s="1">
        <v>45941</v>
      </c>
      <c r="L273" s="3">
        <v>88300</v>
      </c>
      <c r="M273" s="4">
        <v>0.05</v>
      </c>
      <c r="N273" s="4">
        <v>1</v>
      </c>
      <c r="P273">
        <v>6</v>
      </c>
      <c r="Q273" t="str">
        <f>IFERROR(VLOOKUP(E273,Lookups!$A$5:$B$24,2,FALSE),"Other")</f>
        <v>Email</v>
      </c>
      <c r="R273" t="str">
        <f>IFERROR(VLOOKUP(F273,Lookups!$D$5:$F$10,2,FALSE),"Unknown Product")</f>
        <v>NexaCRM Pro</v>
      </c>
      <c r="S273" t="str">
        <f>IFERROR(VLOOKUP(F273,Lookups!$D$5:$F$10,3,FALSE),"Unknown")</f>
        <v>CRM</v>
      </c>
      <c r="T273" t="str">
        <f t="shared" si="44"/>
        <v>Enterprise</v>
      </c>
      <c r="U273" t="str">
        <f t="shared" si="45"/>
        <v>Won</v>
      </c>
      <c r="V273" s="3">
        <f t="shared" si="46"/>
        <v>83885</v>
      </c>
      <c r="W273" s="3">
        <f t="shared" si="47"/>
        <v>0</v>
      </c>
      <c r="X273" s="5">
        <f t="shared" si="48"/>
        <v>98</v>
      </c>
      <c r="Y273" s="5">
        <f>IF(U273="Open",Lookups!$B$2-B273,X273)</f>
        <v>98</v>
      </c>
      <c r="Z273" t="str">
        <f t="shared" si="49"/>
        <v>OK</v>
      </c>
      <c r="AA273" t="str">
        <f t="shared" si="50"/>
        <v>2025-07</v>
      </c>
      <c r="AB273" t="str">
        <f t="shared" si="51"/>
        <v>2025-10</v>
      </c>
      <c r="AC273" t="str">
        <f t="shared" si="52"/>
        <v>Q3-2025</v>
      </c>
      <c r="AD273" s="5">
        <f t="shared" si="53"/>
        <v>78</v>
      </c>
      <c r="AE273" t="str">
        <f t="shared" si="54"/>
        <v>Won</v>
      </c>
    </row>
    <row r="274" spans="1:31">
      <c r="A274" t="s">
        <v>376</v>
      </c>
      <c r="B274" s="1">
        <v>45807</v>
      </c>
      <c r="C274" t="s">
        <v>56</v>
      </c>
      <c r="D274" t="s">
        <v>57</v>
      </c>
      <c r="E274" t="s">
        <v>119</v>
      </c>
      <c r="F274" t="s">
        <v>133</v>
      </c>
      <c r="G274" t="s">
        <v>112</v>
      </c>
      <c r="H274" t="s">
        <v>84</v>
      </c>
      <c r="I274" t="s">
        <v>61</v>
      </c>
      <c r="J274" s="1">
        <v>45831</v>
      </c>
      <c r="K274" s="1">
        <v>45831</v>
      </c>
      <c r="L274" s="3">
        <v>71000</v>
      </c>
      <c r="M274" s="4">
        <v>0</v>
      </c>
      <c r="N274" s="4">
        <v>0</v>
      </c>
      <c r="O274" t="s">
        <v>110</v>
      </c>
      <c r="P274">
        <v>2</v>
      </c>
      <c r="Q274" t="str">
        <f>IFERROR(VLOOKUP(E274,Lookups!$A$5:$B$24,2,FALSE),"Other")</f>
        <v>Referral</v>
      </c>
      <c r="R274" t="str">
        <f>IFERROR(VLOOKUP(F274,Lookups!$D$5:$F$10,2,FALSE),"Unknown Product")</f>
        <v>Analytics Plus</v>
      </c>
      <c r="S274" t="str">
        <f>IFERROR(VLOOKUP(F274,Lookups!$D$5:$F$10,3,FALSE),"Unknown")</f>
        <v>Analytics</v>
      </c>
      <c r="T274" t="str">
        <f t="shared" si="44"/>
        <v>Enterprise</v>
      </c>
      <c r="U274" t="str">
        <f t="shared" si="45"/>
        <v>Lost</v>
      </c>
      <c r="V274" s="3">
        <f t="shared" si="46"/>
        <v>0</v>
      </c>
      <c r="W274" s="3">
        <f t="shared" si="47"/>
        <v>0</v>
      </c>
      <c r="X274" s="5">
        <f t="shared" si="48"/>
        <v>24</v>
      </c>
      <c r="Y274" s="5">
        <f>IF(U274="Open",Lookups!$B$2-B274,X274)</f>
        <v>24</v>
      </c>
      <c r="Z274" t="str">
        <f t="shared" si="49"/>
        <v>OK</v>
      </c>
      <c r="AA274" t="str">
        <f t="shared" si="50"/>
        <v>2025-05</v>
      </c>
      <c r="AB274" t="str">
        <f t="shared" si="51"/>
        <v>2025-06</v>
      </c>
      <c r="AC274" t="str">
        <f t="shared" si="52"/>
        <v>Q2-2025</v>
      </c>
      <c r="AD274" s="5">
        <f t="shared" si="53"/>
        <v>90</v>
      </c>
      <c r="AE274" t="str">
        <f t="shared" si="54"/>
        <v>Lost</v>
      </c>
    </row>
    <row r="275" spans="1:31">
      <c r="A275" t="s">
        <v>377</v>
      </c>
      <c r="B275" s="1">
        <v>45710</v>
      </c>
      <c r="C275" t="s">
        <v>50</v>
      </c>
      <c r="D275" t="s">
        <v>43</v>
      </c>
      <c r="E275" t="s">
        <v>107</v>
      </c>
      <c r="F275" t="s">
        <v>71</v>
      </c>
      <c r="G275" t="s">
        <v>46</v>
      </c>
      <c r="H275" t="s">
        <v>53</v>
      </c>
      <c r="I275" t="s">
        <v>61</v>
      </c>
      <c r="J275" s="1">
        <v>45752</v>
      </c>
      <c r="K275" s="1">
        <v>45752</v>
      </c>
      <c r="L275" s="3">
        <v>28600</v>
      </c>
      <c r="M275" s="4">
        <v>0</v>
      </c>
      <c r="N275" s="4">
        <v>0</v>
      </c>
      <c r="O275" t="s">
        <v>102</v>
      </c>
      <c r="P275">
        <v>2</v>
      </c>
      <c r="Q275" t="str">
        <f>IFERROR(VLOOKUP(E275,Lookups!$A$5:$B$24,2,FALSE),"Other")</f>
        <v>Referral</v>
      </c>
      <c r="R275" t="str">
        <f>IFERROR(VLOOKUP(F275,Lookups!$D$5:$F$10,2,FALSE),"Unknown Product")</f>
        <v>Marketing Automation</v>
      </c>
      <c r="S275" t="str">
        <f>IFERROR(VLOOKUP(F275,Lookups!$D$5:$F$10,3,FALSE),"Unknown")</f>
        <v>Marketing</v>
      </c>
      <c r="T275" t="str">
        <f t="shared" si="44"/>
        <v>Mid-Market</v>
      </c>
      <c r="U275" t="str">
        <f t="shared" si="45"/>
        <v>Lost</v>
      </c>
      <c r="V275" s="3">
        <f t="shared" si="46"/>
        <v>0</v>
      </c>
      <c r="W275" s="3">
        <f t="shared" si="47"/>
        <v>0</v>
      </c>
      <c r="X275" s="5">
        <f t="shared" si="48"/>
        <v>42</v>
      </c>
      <c r="Y275" s="5">
        <f>IF(U275="Open",Lookups!$B$2-B275,X275)</f>
        <v>42</v>
      </c>
      <c r="Z275" t="str">
        <f t="shared" si="49"/>
        <v>OK</v>
      </c>
      <c r="AA275" t="str">
        <f t="shared" si="50"/>
        <v>2025-02</v>
      </c>
      <c r="AB275" t="str">
        <f t="shared" si="51"/>
        <v>2025-04</v>
      </c>
      <c r="AC275" t="str">
        <f t="shared" si="52"/>
        <v>Q1-2025</v>
      </c>
      <c r="AD275" s="5">
        <f t="shared" si="53"/>
        <v>70</v>
      </c>
      <c r="AE275" t="str">
        <f t="shared" si="54"/>
        <v>Lost</v>
      </c>
    </row>
    <row r="276" spans="1:31">
      <c r="A276" t="s">
        <v>378</v>
      </c>
      <c r="B276" s="1">
        <v>46002</v>
      </c>
      <c r="C276" t="s">
        <v>90</v>
      </c>
      <c r="D276" t="s">
        <v>57</v>
      </c>
      <c r="E276" t="s">
        <v>119</v>
      </c>
      <c r="F276" t="s">
        <v>133</v>
      </c>
      <c r="G276" t="s">
        <v>99</v>
      </c>
      <c r="H276" t="s">
        <v>53</v>
      </c>
      <c r="I276" t="s">
        <v>48</v>
      </c>
      <c r="J276" s="1">
        <v>46183</v>
      </c>
      <c r="K276" s="1"/>
      <c r="L276" s="3">
        <v>33800</v>
      </c>
      <c r="M276" s="4">
        <v>0.05</v>
      </c>
      <c r="N276" s="4">
        <v>0.85</v>
      </c>
      <c r="P276">
        <v>5</v>
      </c>
      <c r="Q276" t="str">
        <f>IFERROR(VLOOKUP(E276,Lookups!$A$5:$B$24,2,FALSE),"Other")</f>
        <v>Referral</v>
      </c>
      <c r="R276" t="str">
        <f>IFERROR(VLOOKUP(F276,Lookups!$D$5:$F$10,2,FALSE),"Unknown Product")</f>
        <v>Analytics Plus</v>
      </c>
      <c r="S276" t="str">
        <f>IFERROR(VLOOKUP(F276,Lookups!$D$5:$F$10,3,FALSE),"Unknown")</f>
        <v>Analytics</v>
      </c>
      <c r="T276" t="str">
        <f t="shared" si="44"/>
        <v>Mid-Market</v>
      </c>
      <c r="U276" t="str">
        <f t="shared" si="45"/>
        <v>Open</v>
      </c>
      <c r="V276" s="3">
        <f t="shared" si="46"/>
        <v>0</v>
      </c>
      <c r="W276" s="3">
        <f t="shared" si="47"/>
        <v>28730</v>
      </c>
      <c r="X276" s="5" t="str">
        <f t="shared" si="48"/>
        <v/>
      </c>
      <c r="Y276" s="5">
        <f>IF(U276="Open",Lookups!$B$2-B276,X276)</f>
        <v>264</v>
      </c>
      <c r="Z276" t="str">
        <f t="shared" si="49"/>
        <v>STALE</v>
      </c>
      <c r="AA276" t="str">
        <f t="shared" si="50"/>
        <v>2025-12</v>
      </c>
      <c r="AB276" t="str">
        <f t="shared" si="51"/>
        <v/>
      </c>
      <c r="AC276" t="str">
        <f t="shared" si="52"/>
        <v>Q4-2025</v>
      </c>
      <c r="AD276" s="5">
        <f t="shared" si="53"/>
        <v>70</v>
      </c>
      <c r="AE276" t="str">
        <f t="shared" si="54"/>
        <v>Commit</v>
      </c>
    </row>
    <row r="277" spans="1:31">
      <c r="A277" t="s">
        <v>379</v>
      </c>
      <c r="B277" s="1">
        <v>45949</v>
      </c>
      <c r="C277" t="s">
        <v>69</v>
      </c>
      <c r="D277" t="s">
        <v>57</v>
      </c>
      <c r="E277" t="s">
        <v>109</v>
      </c>
      <c r="F277" t="s">
        <v>133</v>
      </c>
      <c r="G277" t="s">
        <v>99</v>
      </c>
      <c r="H277" t="s">
        <v>47</v>
      </c>
      <c r="I277" t="s">
        <v>61</v>
      </c>
      <c r="J277" s="1">
        <v>46003</v>
      </c>
      <c r="K277" s="1">
        <v>46003</v>
      </c>
      <c r="L277" s="3">
        <v>26700</v>
      </c>
      <c r="M277" s="4">
        <v>0</v>
      </c>
      <c r="N277" s="4">
        <v>0</v>
      </c>
      <c r="O277" t="s">
        <v>110</v>
      </c>
      <c r="P277">
        <v>4</v>
      </c>
      <c r="Q277" t="str">
        <f>IFERROR(VLOOKUP(E277,Lookups!$A$5:$B$24,2,FALSE),"Other")</f>
        <v>Outbound</v>
      </c>
      <c r="R277" t="str">
        <f>IFERROR(VLOOKUP(F277,Lookups!$D$5:$F$10,2,FALSE),"Unknown Product")</f>
        <v>Analytics Plus</v>
      </c>
      <c r="S277" t="str">
        <f>IFERROR(VLOOKUP(F277,Lookups!$D$5:$F$10,3,FALSE),"Unknown")</f>
        <v>Analytics</v>
      </c>
      <c r="T277" t="str">
        <f t="shared" si="44"/>
        <v>Mid-Market</v>
      </c>
      <c r="U277" t="str">
        <f t="shared" si="45"/>
        <v>Lost</v>
      </c>
      <c r="V277" s="3">
        <f t="shared" si="46"/>
        <v>0</v>
      </c>
      <c r="W277" s="3">
        <f t="shared" si="47"/>
        <v>0</v>
      </c>
      <c r="X277" s="5">
        <f t="shared" si="48"/>
        <v>54</v>
      </c>
      <c r="Y277" s="5">
        <f>IF(U277="Open",Lookups!$B$2-B277,X277)</f>
        <v>54</v>
      </c>
      <c r="Z277" t="str">
        <f t="shared" si="49"/>
        <v>OK</v>
      </c>
      <c r="AA277" t="str">
        <f t="shared" si="50"/>
        <v>2025-10</v>
      </c>
      <c r="AB277" t="str">
        <f t="shared" si="51"/>
        <v>2025-12</v>
      </c>
      <c r="AC277" t="str">
        <f t="shared" si="52"/>
        <v>Q4-2025</v>
      </c>
      <c r="AD277" s="5">
        <f t="shared" si="53"/>
        <v>51</v>
      </c>
      <c r="AE277" t="str">
        <f t="shared" si="54"/>
        <v>Lost</v>
      </c>
    </row>
    <row r="278" spans="1:31">
      <c r="A278" t="s">
        <v>380</v>
      </c>
      <c r="B278" s="1">
        <v>46021</v>
      </c>
      <c r="C278" t="s">
        <v>64</v>
      </c>
      <c r="D278" t="s">
        <v>57</v>
      </c>
      <c r="E278" t="s">
        <v>96</v>
      </c>
      <c r="F278" t="s">
        <v>59</v>
      </c>
      <c r="G278" t="s">
        <v>112</v>
      </c>
      <c r="H278" t="s">
        <v>84</v>
      </c>
      <c r="I278" t="s">
        <v>61</v>
      </c>
      <c r="J278" s="1">
        <v>46090</v>
      </c>
      <c r="K278" s="1">
        <v>46090</v>
      </c>
      <c r="L278" s="3">
        <v>70700</v>
      </c>
      <c r="M278" s="4">
        <v>0</v>
      </c>
      <c r="N278" s="4">
        <v>0</v>
      </c>
      <c r="O278" t="s">
        <v>62</v>
      </c>
      <c r="P278">
        <v>4</v>
      </c>
      <c r="Q278" t="str">
        <f>IFERROR(VLOOKUP(E278,Lookups!$A$5:$B$24,2,FALSE),"Other")</f>
        <v>LinkedIn</v>
      </c>
      <c r="R278" t="str">
        <f>IFERROR(VLOOKUP(F278,Lookups!$D$5:$F$10,2,FALSE),"Unknown Product")</f>
        <v>NexaCRM Pro</v>
      </c>
      <c r="S278" t="str">
        <f>IFERROR(VLOOKUP(F278,Lookups!$D$5:$F$10,3,FALSE),"Unknown")</f>
        <v>CRM</v>
      </c>
      <c r="T278" t="str">
        <f t="shared" si="44"/>
        <v>Enterprise</v>
      </c>
      <c r="U278" t="str">
        <f t="shared" si="45"/>
        <v>Lost</v>
      </c>
      <c r="V278" s="3">
        <f t="shared" si="46"/>
        <v>0</v>
      </c>
      <c r="W278" s="3">
        <f t="shared" si="47"/>
        <v>0</v>
      </c>
      <c r="X278" s="5">
        <f t="shared" si="48"/>
        <v>69</v>
      </c>
      <c r="Y278" s="5">
        <f>IF(U278="Open",Lookups!$B$2-B278,X278)</f>
        <v>69</v>
      </c>
      <c r="Z278" t="str">
        <f t="shared" si="49"/>
        <v>OK</v>
      </c>
      <c r="AA278" t="str">
        <f t="shared" si="50"/>
        <v>2025-12</v>
      </c>
      <c r="AB278" t="str">
        <f t="shared" si="51"/>
        <v>2026-03</v>
      </c>
      <c r="AC278" t="str">
        <f t="shared" si="52"/>
        <v>Q4-2025</v>
      </c>
      <c r="AD278" s="5">
        <f t="shared" si="53"/>
        <v>79</v>
      </c>
      <c r="AE278" t="str">
        <f t="shared" si="54"/>
        <v>Lost</v>
      </c>
    </row>
    <row r="279" spans="1:31">
      <c r="A279" t="s">
        <v>381</v>
      </c>
      <c r="B279" s="1">
        <v>45770</v>
      </c>
      <c r="C279" t="s">
        <v>50</v>
      </c>
      <c r="D279" t="s">
        <v>43</v>
      </c>
      <c r="E279" t="s">
        <v>44</v>
      </c>
      <c r="F279" t="s">
        <v>45</v>
      </c>
      <c r="G279" t="s">
        <v>112</v>
      </c>
      <c r="H279" t="s">
        <v>47</v>
      </c>
      <c r="I279" t="s">
        <v>48</v>
      </c>
      <c r="J279" s="1">
        <v>45984</v>
      </c>
      <c r="K279" s="1"/>
      <c r="L279" s="3">
        <v>19300</v>
      </c>
      <c r="M279" s="4">
        <v>0.03</v>
      </c>
      <c r="N279" s="4">
        <v>0.85</v>
      </c>
      <c r="P279">
        <v>5</v>
      </c>
      <c r="Q279" t="str">
        <f>IFERROR(VLOOKUP(E279,Lookups!$A$5:$B$24,2,FALSE),"Other")</f>
        <v>Organic Search</v>
      </c>
      <c r="R279" t="str">
        <f>IFERROR(VLOOKUP(F279,Lookups!$D$5:$F$10,2,FALSE),"Unknown Product")</f>
        <v>Service Cloud</v>
      </c>
      <c r="S279" t="str">
        <f>IFERROR(VLOOKUP(F279,Lookups!$D$5:$F$10,3,FALSE),"Unknown")</f>
        <v>Customer Service</v>
      </c>
      <c r="T279" t="str">
        <f t="shared" si="44"/>
        <v>SMB</v>
      </c>
      <c r="U279" t="str">
        <f t="shared" si="45"/>
        <v>Open</v>
      </c>
      <c r="V279" s="3">
        <f t="shared" si="46"/>
        <v>0</v>
      </c>
      <c r="W279" s="3">
        <f t="shared" si="47"/>
        <v>16405</v>
      </c>
      <c r="X279" s="5" t="str">
        <f t="shared" si="48"/>
        <v/>
      </c>
      <c r="Y279" s="5">
        <f>IF(U279="Open",Lookups!$B$2-B279,X279)</f>
        <v>496</v>
      </c>
      <c r="Z279" t="str">
        <f t="shared" si="49"/>
        <v>STALE</v>
      </c>
      <c r="AA279" t="str">
        <f t="shared" si="50"/>
        <v>2025-04</v>
      </c>
      <c r="AB279" t="str">
        <f t="shared" si="51"/>
        <v/>
      </c>
      <c r="AC279" t="str">
        <f t="shared" si="52"/>
        <v>Q2-2025</v>
      </c>
      <c r="AD279" s="5">
        <f t="shared" si="53"/>
        <v>54</v>
      </c>
      <c r="AE279" t="str">
        <f t="shared" si="54"/>
        <v>Commit</v>
      </c>
    </row>
    <row r="280" spans="1:31">
      <c r="A280" t="s">
        <v>382</v>
      </c>
      <c r="B280" s="1">
        <v>45916</v>
      </c>
      <c r="C280" t="s">
        <v>86</v>
      </c>
      <c r="D280" t="s">
        <v>87</v>
      </c>
      <c r="E280" t="s">
        <v>146</v>
      </c>
      <c r="F280" t="s">
        <v>133</v>
      </c>
      <c r="G280" t="s">
        <v>99</v>
      </c>
      <c r="H280" t="s">
        <v>53</v>
      </c>
      <c r="I280" t="s">
        <v>61</v>
      </c>
      <c r="J280" s="1">
        <v>45956</v>
      </c>
      <c r="K280" s="1">
        <v>45956</v>
      </c>
      <c r="L280" s="3">
        <v>53300</v>
      </c>
      <c r="M280" s="4">
        <v>0</v>
      </c>
      <c r="N280" s="4">
        <v>0</v>
      </c>
      <c r="O280" t="s">
        <v>79</v>
      </c>
      <c r="P280">
        <v>5</v>
      </c>
      <c r="Q280" t="str">
        <f>IFERROR(VLOOKUP(E280,Lookups!$A$5:$B$24,2,FALSE),"Other")</f>
        <v>LinkedIn</v>
      </c>
      <c r="R280" t="str">
        <f>IFERROR(VLOOKUP(F280,Lookups!$D$5:$F$10,2,FALSE),"Unknown Product")</f>
        <v>Analytics Plus</v>
      </c>
      <c r="S280" t="str">
        <f>IFERROR(VLOOKUP(F280,Lookups!$D$5:$F$10,3,FALSE),"Unknown")</f>
        <v>Analytics</v>
      </c>
      <c r="T280" t="str">
        <f t="shared" si="44"/>
        <v>Enterprise</v>
      </c>
      <c r="U280" t="str">
        <f t="shared" si="45"/>
        <v>Lost</v>
      </c>
      <c r="V280" s="3">
        <f t="shared" si="46"/>
        <v>0</v>
      </c>
      <c r="W280" s="3">
        <f t="shared" si="47"/>
        <v>0</v>
      </c>
      <c r="X280" s="5">
        <f t="shared" si="48"/>
        <v>40</v>
      </c>
      <c r="Y280" s="5">
        <f>IF(U280="Open",Lookups!$B$2-B280,X280)</f>
        <v>40</v>
      </c>
      <c r="Z280" t="str">
        <f t="shared" si="49"/>
        <v>OK</v>
      </c>
      <c r="AA280" t="str">
        <f t="shared" si="50"/>
        <v>2025-09</v>
      </c>
      <c r="AB280" t="str">
        <f t="shared" si="51"/>
        <v>2025-10</v>
      </c>
      <c r="AC280" t="str">
        <f t="shared" si="52"/>
        <v>Q3-2025</v>
      </c>
      <c r="AD280" s="5">
        <f t="shared" si="53"/>
        <v>66</v>
      </c>
      <c r="AE280" t="str">
        <f t="shared" si="54"/>
        <v>Lost</v>
      </c>
    </row>
    <row r="281" spans="1:31">
      <c r="A281" t="s">
        <v>383</v>
      </c>
      <c r="B281" s="1">
        <v>46121</v>
      </c>
      <c r="C281" t="s">
        <v>64</v>
      </c>
      <c r="D281" t="s">
        <v>57</v>
      </c>
      <c r="E281" t="s">
        <v>123</v>
      </c>
      <c r="F281" t="s">
        <v>67</v>
      </c>
      <c r="G281" t="s">
        <v>76</v>
      </c>
      <c r="H281" t="s">
        <v>47</v>
      </c>
      <c r="I281" t="s">
        <v>61</v>
      </c>
      <c r="J281" s="1">
        <v>46154</v>
      </c>
      <c r="K281" s="1">
        <v>46154</v>
      </c>
      <c r="L281" s="3">
        <v>30400</v>
      </c>
      <c r="M281" s="4">
        <v>0</v>
      </c>
      <c r="N281" s="4">
        <v>0</v>
      </c>
      <c r="O281" t="s">
        <v>110</v>
      </c>
      <c r="P281">
        <v>4</v>
      </c>
      <c r="Q281" t="str">
        <f>IFERROR(VLOOKUP(E281,Lookups!$A$5:$B$24,2,FALSE),"Other")</f>
        <v>Email</v>
      </c>
      <c r="R281" t="str">
        <f>IFERROR(VLOOKUP(F281,Lookups!$D$5:$F$10,2,FALSE),"Unknown Product")</f>
        <v>Revenue Operations Suite</v>
      </c>
      <c r="S281" t="str">
        <f>IFERROR(VLOOKUP(F281,Lookups!$D$5:$F$10,3,FALSE),"Unknown")</f>
        <v>Revenue Ops</v>
      </c>
      <c r="T281" t="str">
        <f t="shared" si="44"/>
        <v>Mid-Market</v>
      </c>
      <c r="U281" t="str">
        <f t="shared" si="45"/>
        <v>Lost</v>
      </c>
      <c r="V281" s="3">
        <f t="shared" si="46"/>
        <v>0</v>
      </c>
      <c r="W281" s="3">
        <f t="shared" si="47"/>
        <v>0</v>
      </c>
      <c r="X281" s="5">
        <f t="shared" si="48"/>
        <v>33</v>
      </c>
      <c r="Y281" s="5">
        <f>IF(U281="Open",Lookups!$B$2-B281,X281)</f>
        <v>33</v>
      </c>
      <c r="Z281" t="str">
        <f t="shared" si="49"/>
        <v>OK</v>
      </c>
      <c r="AA281" t="str">
        <f t="shared" si="50"/>
        <v>2026-04</v>
      </c>
      <c r="AB281" t="str">
        <f t="shared" si="51"/>
        <v>2026-05</v>
      </c>
      <c r="AC281" t="str">
        <f t="shared" si="52"/>
        <v>Q2-2026</v>
      </c>
      <c r="AD281" s="5">
        <f t="shared" si="53"/>
        <v>55</v>
      </c>
      <c r="AE281" t="str">
        <f t="shared" si="54"/>
        <v>Lost</v>
      </c>
    </row>
    <row r="282" spans="1:31">
      <c r="A282" t="s">
        <v>384</v>
      </c>
      <c r="B282" s="1">
        <v>46029</v>
      </c>
      <c r="C282" t="s">
        <v>69</v>
      </c>
      <c r="D282" t="s">
        <v>57</v>
      </c>
      <c r="E282" t="s">
        <v>51</v>
      </c>
      <c r="F282" t="s">
        <v>52</v>
      </c>
      <c r="G282" t="s">
        <v>46</v>
      </c>
      <c r="H282" t="s">
        <v>47</v>
      </c>
      <c r="I282" t="s">
        <v>61</v>
      </c>
      <c r="J282" s="1">
        <v>46105</v>
      </c>
      <c r="K282" s="1">
        <v>46105</v>
      </c>
      <c r="L282" s="3">
        <v>7100</v>
      </c>
      <c r="M282" s="4">
        <v>0</v>
      </c>
      <c r="N282" s="4">
        <v>0</v>
      </c>
      <c r="O282" t="s">
        <v>81</v>
      </c>
      <c r="P282">
        <v>3</v>
      </c>
      <c r="Q282" t="str">
        <f>IFERROR(VLOOKUP(E282,Lookups!$A$5:$B$24,2,FALSE),"Other")</f>
        <v>Paid Search</v>
      </c>
      <c r="R282" t="str">
        <f>IFERROR(VLOOKUP(F282,Lookups!$D$5:$F$10,2,FALSE),"Unknown Product")</f>
        <v>NexaCRM Core</v>
      </c>
      <c r="S282" t="str">
        <f>IFERROR(VLOOKUP(F282,Lookups!$D$5:$F$10,3,FALSE),"Unknown")</f>
        <v>CRM</v>
      </c>
      <c r="T282" t="str">
        <f t="shared" si="44"/>
        <v>SMB</v>
      </c>
      <c r="U282" t="str">
        <f t="shared" si="45"/>
        <v>Lost</v>
      </c>
      <c r="V282" s="3">
        <f t="shared" si="46"/>
        <v>0</v>
      </c>
      <c r="W282" s="3">
        <f t="shared" si="47"/>
        <v>0</v>
      </c>
      <c r="X282" s="5">
        <f t="shared" si="48"/>
        <v>76</v>
      </c>
      <c r="Y282" s="5">
        <f>IF(U282="Open",Lookups!$B$2-B282,X282)</f>
        <v>76</v>
      </c>
      <c r="Z282" t="str">
        <f t="shared" si="49"/>
        <v>OK</v>
      </c>
      <c r="AA282" t="str">
        <f t="shared" si="50"/>
        <v>2026-01</v>
      </c>
      <c r="AB282" t="str">
        <f t="shared" si="51"/>
        <v>2026-03</v>
      </c>
      <c r="AC282" t="str">
        <f t="shared" si="52"/>
        <v>Q1-2026</v>
      </c>
      <c r="AD282" s="5">
        <f t="shared" si="53"/>
        <v>43</v>
      </c>
      <c r="AE282" t="str">
        <f t="shared" si="54"/>
        <v>Lost</v>
      </c>
    </row>
    <row r="283" spans="1:31">
      <c r="A283" t="s">
        <v>385</v>
      </c>
      <c r="B283" s="1">
        <v>46148</v>
      </c>
      <c r="C283" t="s">
        <v>56</v>
      </c>
      <c r="D283" t="s">
        <v>57</v>
      </c>
      <c r="E283" t="s">
        <v>160</v>
      </c>
      <c r="F283" t="s">
        <v>52</v>
      </c>
      <c r="G283" t="s">
        <v>94</v>
      </c>
      <c r="H283" t="s">
        <v>84</v>
      </c>
      <c r="I283" t="s">
        <v>61</v>
      </c>
      <c r="J283" s="1">
        <v>46184</v>
      </c>
      <c r="K283" s="1">
        <v>46184</v>
      </c>
      <c r="L283" s="3">
        <v>35600</v>
      </c>
      <c r="M283" s="4">
        <v>0</v>
      </c>
      <c r="N283" s="4">
        <v>0</v>
      </c>
      <c r="O283" t="s">
        <v>81</v>
      </c>
      <c r="P283">
        <v>2</v>
      </c>
      <c r="Q283" t="str">
        <f>IFERROR(VLOOKUP(E283,Lookups!$A$5:$B$24,2,FALSE),"Other")</f>
        <v>Email</v>
      </c>
      <c r="R283" t="str">
        <f>IFERROR(VLOOKUP(F283,Lookups!$D$5:$F$10,2,FALSE),"Unknown Product")</f>
        <v>NexaCRM Core</v>
      </c>
      <c r="S283" t="str">
        <f>IFERROR(VLOOKUP(F283,Lookups!$D$5:$F$10,3,FALSE),"Unknown")</f>
        <v>CRM</v>
      </c>
      <c r="T283" t="str">
        <f t="shared" si="44"/>
        <v>Mid-Market</v>
      </c>
      <c r="U283" t="str">
        <f t="shared" si="45"/>
        <v>Lost</v>
      </c>
      <c r="V283" s="3">
        <f t="shared" si="46"/>
        <v>0</v>
      </c>
      <c r="W283" s="3">
        <f t="shared" si="47"/>
        <v>0</v>
      </c>
      <c r="X283" s="5">
        <f t="shared" si="48"/>
        <v>36</v>
      </c>
      <c r="Y283" s="5">
        <f>IF(U283="Open",Lookups!$B$2-B283,X283)</f>
        <v>36</v>
      </c>
      <c r="Z283" t="str">
        <f t="shared" si="49"/>
        <v>OK</v>
      </c>
      <c r="AA283" t="str">
        <f t="shared" si="50"/>
        <v>2026-05</v>
      </c>
      <c r="AB283" t="str">
        <f t="shared" si="51"/>
        <v>2026-06</v>
      </c>
      <c r="AC283" t="str">
        <f t="shared" si="52"/>
        <v>Q2-2026</v>
      </c>
      <c r="AD283" s="5">
        <f t="shared" si="53"/>
        <v>71</v>
      </c>
      <c r="AE283" t="str">
        <f t="shared" si="54"/>
        <v>Lost</v>
      </c>
    </row>
    <row r="284" spans="1:31">
      <c r="A284" t="s">
        <v>386</v>
      </c>
      <c r="B284" s="1">
        <v>46184</v>
      </c>
      <c r="C284" t="s">
        <v>90</v>
      </c>
      <c r="D284" t="s">
        <v>57</v>
      </c>
      <c r="E284" t="s">
        <v>96</v>
      </c>
      <c r="F284" t="s">
        <v>67</v>
      </c>
      <c r="G284" t="s">
        <v>112</v>
      </c>
      <c r="H284" t="s">
        <v>53</v>
      </c>
      <c r="I284" t="s">
        <v>105</v>
      </c>
      <c r="J284" s="1">
        <v>46225</v>
      </c>
      <c r="K284" s="1"/>
      <c r="L284" s="3">
        <v>76000</v>
      </c>
      <c r="M284" s="4">
        <v>0.03</v>
      </c>
      <c r="N284" s="4">
        <v>0.4</v>
      </c>
      <c r="P284">
        <v>3</v>
      </c>
      <c r="Q284" t="str">
        <f>IFERROR(VLOOKUP(E284,Lookups!$A$5:$B$24,2,FALSE),"Other")</f>
        <v>LinkedIn</v>
      </c>
      <c r="R284" t="str">
        <f>IFERROR(VLOOKUP(F284,Lookups!$D$5:$F$10,2,FALSE),"Unknown Product")</f>
        <v>Revenue Operations Suite</v>
      </c>
      <c r="S284" t="str">
        <f>IFERROR(VLOOKUP(F284,Lookups!$D$5:$F$10,3,FALSE),"Unknown")</f>
        <v>Revenue Ops</v>
      </c>
      <c r="T284" t="str">
        <f t="shared" si="44"/>
        <v>Enterprise</v>
      </c>
      <c r="U284" t="str">
        <f t="shared" si="45"/>
        <v>Open</v>
      </c>
      <c r="V284" s="3">
        <f t="shared" si="46"/>
        <v>0</v>
      </c>
      <c r="W284" s="3">
        <f t="shared" si="47"/>
        <v>30400</v>
      </c>
      <c r="X284" s="5" t="str">
        <f t="shared" si="48"/>
        <v/>
      </c>
      <c r="Y284" s="5">
        <f>IF(U284="Open",Lookups!$B$2-B284,X284)</f>
        <v>82</v>
      </c>
      <c r="Z284" t="str">
        <f t="shared" si="49"/>
        <v>STALE</v>
      </c>
      <c r="AA284" t="str">
        <f t="shared" si="50"/>
        <v>2026-06</v>
      </c>
      <c r="AB284" t="str">
        <f t="shared" si="51"/>
        <v/>
      </c>
      <c r="AC284" t="str">
        <f t="shared" si="52"/>
        <v>Q2-2026</v>
      </c>
      <c r="AD284" s="5">
        <f t="shared" si="53"/>
        <v>71</v>
      </c>
      <c r="AE284" t="str">
        <f t="shared" si="54"/>
        <v>Pipeline</v>
      </c>
    </row>
    <row r="285" spans="1:31">
      <c r="A285" t="s">
        <v>387</v>
      </c>
      <c r="B285" s="1">
        <v>45961</v>
      </c>
      <c r="C285" t="s">
        <v>69</v>
      </c>
      <c r="D285" t="s">
        <v>57</v>
      </c>
      <c r="E285" t="s">
        <v>138</v>
      </c>
      <c r="F285" t="s">
        <v>59</v>
      </c>
      <c r="G285" t="s">
        <v>46</v>
      </c>
      <c r="H285" t="s">
        <v>47</v>
      </c>
      <c r="I285" t="s">
        <v>61</v>
      </c>
      <c r="J285" s="1">
        <v>45986</v>
      </c>
      <c r="K285" s="1">
        <v>45986</v>
      </c>
      <c r="L285" s="3">
        <v>17500</v>
      </c>
      <c r="M285" s="4">
        <v>0</v>
      </c>
      <c r="N285" s="4">
        <v>0</v>
      </c>
      <c r="O285" t="s">
        <v>102</v>
      </c>
      <c r="P285">
        <v>3</v>
      </c>
      <c r="Q285" t="str">
        <f>IFERROR(VLOOKUP(E285,Lookups!$A$5:$B$24,2,FALSE),"Other")</f>
        <v>Organic Search</v>
      </c>
      <c r="R285" t="str">
        <f>IFERROR(VLOOKUP(F285,Lookups!$D$5:$F$10,2,FALSE),"Unknown Product")</f>
        <v>NexaCRM Pro</v>
      </c>
      <c r="S285" t="str">
        <f>IFERROR(VLOOKUP(F285,Lookups!$D$5:$F$10,3,FALSE),"Unknown")</f>
        <v>CRM</v>
      </c>
      <c r="T285" t="str">
        <f t="shared" si="44"/>
        <v>SMB</v>
      </c>
      <c r="U285" t="str">
        <f t="shared" si="45"/>
        <v>Lost</v>
      </c>
      <c r="V285" s="3">
        <f t="shared" si="46"/>
        <v>0</v>
      </c>
      <c r="W285" s="3">
        <f t="shared" si="47"/>
        <v>0</v>
      </c>
      <c r="X285" s="5">
        <f t="shared" si="48"/>
        <v>25</v>
      </c>
      <c r="Y285" s="5">
        <f>IF(U285="Open",Lookups!$B$2-B285,X285)</f>
        <v>25</v>
      </c>
      <c r="Z285" t="str">
        <f t="shared" si="49"/>
        <v>OK</v>
      </c>
      <c r="AA285" t="str">
        <f t="shared" si="50"/>
        <v>2025-10</v>
      </c>
      <c r="AB285" t="str">
        <f t="shared" si="51"/>
        <v>2025-11</v>
      </c>
      <c r="AC285" t="str">
        <f t="shared" si="52"/>
        <v>Q4-2025</v>
      </c>
      <c r="AD285" s="5">
        <f t="shared" si="53"/>
        <v>49</v>
      </c>
      <c r="AE285" t="str">
        <f t="shared" si="54"/>
        <v>Lost</v>
      </c>
    </row>
    <row r="286" spans="1:31">
      <c r="A286" t="s">
        <v>388</v>
      </c>
      <c r="B286" s="1">
        <v>46074</v>
      </c>
      <c r="C286" t="s">
        <v>50</v>
      </c>
      <c r="D286" t="s">
        <v>43</v>
      </c>
      <c r="E286" t="s">
        <v>65</v>
      </c>
      <c r="F286" t="s">
        <v>59</v>
      </c>
      <c r="G286" t="s">
        <v>76</v>
      </c>
      <c r="H286" t="s">
        <v>47</v>
      </c>
      <c r="I286" t="s">
        <v>48</v>
      </c>
      <c r="J286" s="1">
        <v>46153</v>
      </c>
      <c r="K286" s="1"/>
      <c r="L286" s="3">
        <v>20900</v>
      </c>
      <c r="M286" s="4">
        <v>0</v>
      </c>
      <c r="N286" s="4">
        <v>0.85</v>
      </c>
      <c r="P286">
        <v>5</v>
      </c>
      <c r="Q286" t="str">
        <f>IFERROR(VLOOKUP(E286,Lookups!$A$5:$B$24,2,FALSE),"Other")</f>
        <v>Paid Search</v>
      </c>
      <c r="R286" t="str">
        <f>IFERROR(VLOOKUP(F286,Lookups!$D$5:$F$10,2,FALSE),"Unknown Product")</f>
        <v>NexaCRM Pro</v>
      </c>
      <c r="S286" t="str">
        <f>IFERROR(VLOOKUP(F286,Lookups!$D$5:$F$10,3,FALSE),"Unknown")</f>
        <v>CRM</v>
      </c>
      <c r="T286" t="str">
        <f t="shared" si="44"/>
        <v>Mid-Market</v>
      </c>
      <c r="U286" t="str">
        <f t="shared" si="45"/>
        <v>Open</v>
      </c>
      <c r="V286" s="3">
        <f t="shared" si="46"/>
        <v>0</v>
      </c>
      <c r="W286" s="3">
        <f t="shared" si="47"/>
        <v>17765</v>
      </c>
      <c r="X286" s="5" t="str">
        <f t="shared" si="48"/>
        <v/>
      </c>
      <c r="Y286" s="5">
        <f>IF(U286="Open",Lookups!$B$2-B286,X286)</f>
        <v>192</v>
      </c>
      <c r="Z286" t="str">
        <f t="shared" si="49"/>
        <v>STALE</v>
      </c>
      <c r="AA286" t="str">
        <f t="shared" si="50"/>
        <v>2026-02</v>
      </c>
      <c r="AB286" t="str">
        <f t="shared" si="51"/>
        <v/>
      </c>
      <c r="AC286" t="str">
        <f t="shared" si="52"/>
        <v>Q1-2026</v>
      </c>
      <c r="AD286" s="5">
        <f t="shared" si="53"/>
        <v>51</v>
      </c>
      <c r="AE286" t="str">
        <f t="shared" si="54"/>
        <v>Commit</v>
      </c>
    </row>
    <row r="287" spans="1:31">
      <c r="A287" t="s">
        <v>389</v>
      </c>
      <c r="B287" s="1">
        <v>46241</v>
      </c>
      <c r="C287" t="s">
        <v>64</v>
      </c>
      <c r="D287" t="s">
        <v>57</v>
      </c>
      <c r="E287" t="s">
        <v>98</v>
      </c>
      <c r="F287" t="s">
        <v>67</v>
      </c>
      <c r="G287" t="s">
        <v>72</v>
      </c>
      <c r="H287" t="s">
        <v>47</v>
      </c>
      <c r="I287" t="s">
        <v>61</v>
      </c>
      <c r="J287" s="1">
        <v>46266</v>
      </c>
      <c r="K287" s="1">
        <v>46266</v>
      </c>
      <c r="L287" s="3">
        <v>39300</v>
      </c>
      <c r="M287" s="4">
        <v>0</v>
      </c>
      <c r="N287" s="4">
        <v>0</v>
      </c>
      <c r="O287" t="s">
        <v>116</v>
      </c>
      <c r="P287">
        <v>3</v>
      </c>
      <c r="Q287" t="str">
        <f>IFERROR(VLOOKUP(E287,Lookups!$A$5:$B$24,2,FALSE),"Other")</f>
        <v>Outbound</v>
      </c>
      <c r="R287" t="str">
        <f>IFERROR(VLOOKUP(F287,Lookups!$D$5:$F$10,2,FALSE),"Unknown Product")</f>
        <v>Revenue Operations Suite</v>
      </c>
      <c r="S287" t="str">
        <f>IFERROR(VLOOKUP(F287,Lookups!$D$5:$F$10,3,FALSE),"Unknown")</f>
        <v>Revenue Ops</v>
      </c>
      <c r="T287" t="str">
        <f t="shared" si="44"/>
        <v>Mid-Market</v>
      </c>
      <c r="U287" t="str">
        <f t="shared" si="45"/>
        <v>Lost</v>
      </c>
      <c r="V287" s="3">
        <f t="shared" si="46"/>
        <v>0</v>
      </c>
      <c r="W287" s="3">
        <f t="shared" si="47"/>
        <v>0</v>
      </c>
      <c r="X287" s="5">
        <f t="shared" si="48"/>
        <v>25</v>
      </c>
      <c r="Y287" s="5">
        <f>IF(U287="Open",Lookups!$B$2-B287,X287)</f>
        <v>25</v>
      </c>
      <c r="Z287" t="str">
        <f t="shared" si="49"/>
        <v>OK</v>
      </c>
      <c r="AA287" t="str">
        <f t="shared" si="50"/>
        <v>2026-08</v>
      </c>
      <c r="AB287" t="str">
        <f t="shared" si="51"/>
        <v>2026-09</v>
      </c>
      <c r="AC287" t="str">
        <f t="shared" si="52"/>
        <v>Q3-2026</v>
      </c>
      <c r="AD287" s="5">
        <f t="shared" si="53"/>
        <v>51</v>
      </c>
      <c r="AE287" t="str">
        <f t="shared" si="54"/>
        <v>Lost</v>
      </c>
    </row>
    <row r="288" spans="1:31">
      <c r="A288" t="s">
        <v>390</v>
      </c>
      <c r="B288" s="1">
        <v>45949</v>
      </c>
      <c r="C288" t="s">
        <v>69</v>
      </c>
      <c r="D288" t="s">
        <v>57</v>
      </c>
      <c r="E288" t="s">
        <v>96</v>
      </c>
      <c r="F288" t="s">
        <v>67</v>
      </c>
      <c r="G288" t="s">
        <v>60</v>
      </c>
      <c r="H288" t="s">
        <v>53</v>
      </c>
      <c r="I288" t="s">
        <v>61</v>
      </c>
      <c r="J288" s="1">
        <v>45998</v>
      </c>
      <c r="K288" s="1">
        <v>45998</v>
      </c>
      <c r="L288" s="3">
        <v>76200</v>
      </c>
      <c r="M288" s="4">
        <v>0</v>
      </c>
      <c r="N288" s="4">
        <v>0</v>
      </c>
      <c r="O288" t="s">
        <v>79</v>
      </c>
      <c r="P288">
        <v>5</v>
      </c>
      <c r="Q288" t="str">
        <f>IFERROR(VLOOKUP(E288,Lookups!$A$5:$B$24,2,FALSE),"Other")</f>
        <v>LinkedIn</v>
      </c>
      <c r="R288" t="str">
        <f>IFERROR(VLOOKUP(F288,Lookups!$D$5:$F$10,2,FALSE),"Unknown Product")</f>
        <v>Revenue Operations Suite</v>
      </c>
      <c r="S288" t="str">
        <f>IFERROR(VLOOKUP(F288,Lookups!$D$5:$F$10,3,FALSE),"Unknown")</f>
        <v>Revenue Ops</v>
      </c>
      <c r="T288" t="str">
        <f t="shared" si="44"/>
        <v>Enterprise</v>
      </c>
      <c r="U288" t="str">
        <f t="shared" si="45"/>
        <v>Lost</v>
      </c>
      <c r="V288" s="3">
        <f t="shared" si="46"/>
        <v>0</v>
      </c>
      <c r="W288" s="3">
        <f t="shared" si="47"/>
        <v>0</v>
      </c>
      <c r="X288" s="5">
        <f t="shared" si="48"/>
        <v>49</v>
      </c>
      <c r="Y288" s="5">
        <f>IF(U288="Open",Lookups!$B$2-B288,X288)</f>
        <v>49</v>
      </c>
      <c r="Z288" t="str">
        <f t="shared" si="49"/>
        <v>OK</v>
      </c>
      <c r="AA288" t="str">
        <f t="shared" si="50"/>
        <v>2025-10</v>
      </c>
      <c r="AB288" t="str">
        <f t="shared" si="51"/>
        <v>2025-12</v>
      </c>
      <c r="AC288" t="str">
        <f t="shared" si="52"/>
        <v>Q4-2025</v>
      </c>
      <c r="AD288" s="5">
        <f t="shared" si="53"/>
        <v>66</v>
      </c>
      <c r="AE288" t="str">
        <f t="shared" si="54"/>
        <v>Lost</v>
      </c>
    </row>
    <row r="289" spans="1:31">
      <c r="A289" t="s">
        <v>391</v>
      </c>
      <c r="B289" s="1">
        <v>46204</v>
      </c>
      <c r="C289" t="s">
        <v>42</v>
      </c>
      <c r="D289" t="s">
        <v>43</v>
      </c>
      <c r="E289" t="s">
        <v>83</v>
      </c>
      <c r="F289" t="s">
        <v>133</v>
      </c>
      <c r="G289" t="s">
        <v>94</v>
      </c>
      <c r="H289" t="s">
        <v>84</v>
      </c>
      <c r="I289" t="s">
        <v>105</v>
      </c>
      <c r="J289" s="1">
        <v>46250</v>
      </c>
      <c r="K289" s="1"/>
      <c r="L289" s="3">
        <v>65300</v>
      </c>
      <c r="M289" s="4">
        <v>0</v>
      </c>
      <c r="N289" s="4">
        <v>0.4</v>
      </c>
      <c r="P289">
        <v>3</v>
      </c>
      <c r="Q289" t="str">
        <f>IFERROR(VLOOKUP(E289,Lookups!$A$5:$B$24,2,FALSE),"Other")</f>
        <v>Organic Search</v>
      </c>
      <c r="R289" t="str">
        <f>IFERROR(VLOOKUP(F289,Lookups!$D$5:$F$10,2,FALSE),"Unknown Product")</f>
        <v>Analytics Plus</v>
      </c>
      <c r="S289" t="str">
        <f>IFERROR(VLOOKUP(F289,Lookups!$D$5:$F$10,3,FALSE),"Unknown")</f>
        <v>Analytics</v>
      </c>
      <c r="T289" t="str">
        <f t="shared" si="44"/>
        <v>Enterprise</v>
      </c>
      <c r="U289" t="str">
        <f t="shared" si="45"/>
        <v>Open</v>
      </c>
      <c r="V289" s="3">
        <f t="shared" si="46"/>
        <v>0</v>
      </c>
      <c r="W289" s="3">
        <f t="shared" si="47"/>
        <v>26120</v>
      </c>
      <c r="X289" s="5" t="str">
        <f t="shared" si="48"/>
        <v/>
      </c>
      <c r="Y289" s="5">
        <f>IF(U289="Open",Lookups!$B$2-B289,X289)</f>
        <v>62</v>
      </c>
      <c r="Z289" t="str">
        <f t="shared" si="49"/>
        <v>STALE</v>
      </c>
      <c r="AA289" t="str">
        <f t="shared" si="50"/>
        <v>2026-07</v>
      </c>
      <c r="AB289" t="str">
        <f t="shared" si="51"/>
        <v/>
      </c>
      <c r="AC289" t="str">
        <f t="shared" si="52"/>
        <v>Q3-2026</v>
      </c>
      <c r="AD289" s="5">
        <f t="shared" si="53"/>
        <v>80</v>
      </c>
      <c r="AE289" t="str">
        <f t="shared" si="54"/>
        <v>Pipeline</v>
      </c>
    </row>
    <row r="290" spans="1:31">
      <c r="A290" t="s">
        <v>392</v>
      </c>
      <c r="B290" s="1">
        <v>46216</v>
      </c>
      <c r="C290" t="s">
        <v>56</v>
      </c>
      <c r="D290" t="s">
        <v>57</v>
      </c>
      <c r="E290" t="s">
        <v>160</v>
      </c>
      <c r="F290" t="s">
        <v>59</v>
      </c>
      <c r="G290" t="s">
        <v>99</v>
      </c>
      <c r="H290" t="s">
        <v>84</v>
      </c>
      <c r="I290" t="s">
        <v>77</v>
      </c>
      <c r="J290" s="1">
        <v>46260</v>
      </c>
      <c r="K290" s="1">
        <v>46260</v>
      </c>
      <c r="L290" s="3">
        <v>64900</v>
      </c>
      <c r="M290" s="4">
        <v>0.03</v>
      </c>
      <c r="N290" s="4">
        <v>1</v>
      </c>
      <c r="P290">
        <v>6</v>
      </c>
      <c r="Q290" t="str">
        <f>IFERROR(VLOOKUP(E290,Lookups!$A$5:$B$24,2,FALSE),"Other")</f>
        <v>Email</v>
      </c>
      <c r="R290" t="str">
        <f>IFERROR(VLOOKUP(F290,Lookups!$D$5:$F$10,2,FALSE),"Unknown Product")</f>
        <v>NexaCRM Pro</v>
      </c>
      <c r="S290" t="str">
        <f>IFERROR(VLOOKUP(F290,Lookups!$D$5:$F$10,3,FALSE),"Unknown")</f>
        <v>CRM</v>
      </c>
      <c r="T290" t="str">
        <f t="shared" si="44"/>
        <v>Enterprise</v>
      </c>
      <c r="U290" t="str">
        <f t="shared" si="45"/>
        <v>Won</v>
      </c>
      <c r="V290" s="3">
        <f t="shared" si="46"/>
        <v>62953</v>
      </c>
      <c r="W290" s="3">
        <f t="shared" si="47"/>
        <v>0</v>
      </c>
      <c r="X290" s="5">
        <f t="shared" si="48"/>
        <v>44</v>
      </c>
      <c r="Y290" s="5">
        <f>IF(U290="Open",Lookups!$B$2-B290,X290)</f>
        <v>44</v>
      </c>
      <c r="Z290" t="str">
        <f t="shared" si="49"/>
        <v>OK</v>
      </c>
      <c r="AA290" t="str">
        <f t="shared" si="50"/>
        <v>2026-07</v>
      </c>
      <c r="AB290" t="str">
        <f t="shared" si="51"/>
        <v>2026-08</v>
      </c>
      <c r="AC290" t="str">
        <f t="shared" si="52"/>
        <v>Q3-2026</v>
      </c>
      <c r="AD290" s="5">
        <f t="shared" si="53"/>
        <v>78</v>
      </c>
      <c r="AE290" t="str">
        <f t="shared" si="54"/>
        <v>Won</v>
      </c>
    </row>
    <row r="291" spans="1:31">
      <c r="A291" t="s">
        <v>393</v>
      </c>
      <c r="B291" s="1">
        <v>45925</v>
      </c>
      <c r="C291" t="s">
        <v>50</v>
      </c>
      <c r="D291" t="s">
        <v>43</v>
      </c>
      <c r="E291" t="s">
        <v>58</v>
      </c>
      <c r="F291" t="s">
        <v>45</v>
      </c>
      <c r="G291" t="s">
        <v>60</v>
      </c>
      <c r="H291" t="s">
        <v>53</v>
      </c>
      <c r="I291" t="s">
        <v>77</v>
      </c>
      <c r="J291" s="1">
        <v>45986</v>
      </c>
      <c r="K291" s="1">
        <v>45986</v>
      </c>
      <c r="L291" s="3">
        <v>34400</v>
      </c>
      <c r="M291" s="4">
        <v>0.1</v>
      </c>
      <c r="N291" s="4">
        <v>1</v>
      </c>
      <c r="P291">
        <v>6</v>
      </c>
      <c r="Q291" t="str">
        <f>IFERROR(VLOOKUP(E291,Lookups!$A$5:$B$24,2,FALSE),"Other")</f>
        <v>Email</v>
      </c>
      <c r="R291" t="str">
        <f>IFERROR(VLOOKUP(F291,Lookups!$D$5:$F$10,2,FALSE),"Unknown Product")</f>
        <v>Service Cloud</v>
      </c>
      <c r="S291" t="str">
        <f>IFERROR(VLOOKUP(F291,Lookups!$D$5:$F$10,3,FALSE),"Unknown")</f>
        <v>Customer Service</v>
      </c>
      <c r="T291" t="str">
        <f t="shared" si="44"/>
        <v>Mid-Market</v>
      </c>
      <c r="U291" t="str">
        <f t="shared" si="45"/>
        <v>Won</v>
      </c>
      <c r="V291" s="3">
        <f t="shared" si="46"/>
        <v>30960</v>
      </c>
      <c r="W291" s="3">
        <f t="shared" si="47"/>
        <v>0</v>
      </c>
      <c r="X291" s="5">
        <f t="shared" si="48"/>
        <v>61</v>
      </c>
      <c r="Y291" s="5">
        <f>IF(U291="Open",Lookups!$B$2-B291,X291)</f>
        <v>61</v>
      </c>
      <c r="Z291" t="str">
        <f t="shared" si="49"/>
        <v>OK</v>
      </c>
      <c r="AA291" t="str">
        <f t="shared" si="50"/>
        <v>2025-09</v>
      </c>
      <c r="AB291" t="str">
        <f t="shared" si="51"/>
        <v>2025-11</v>
      </c>
      <c r="AC291" t="str">
        <f t="shared" si="52"/>
        <v>Q3-2025</v>
      </c>
      <c r="AD291" s="5">
        <f t="shared" si="53"/>
        <v>63</v>
      </c>
      <c r="AE291" t="str">
        <f t="shared" si="54"/>
        <v>Won</v>
      </c>
    </row>
    <row r="292" spans="1:31">
      <c r="A292" t="s">
        <v>394</v>
      </c>
      <c r="B292" s="1">
        <v>46051</v>
      </c>
      <c r="C292" t="s">
        <v>69</v>
      </c>
      <c r="D292" t="s">
        <v>57</v>
      </c>
      <c r="E292" t="s">
        <v>146</v>
      </c>
      <c r="F292" t="s">
        <v>133</v>
      </c>
      <c r="G292" t="s">
        <v>72</v>
      </c>
      <c r="H292" t="s">
        <v>53</v>
      </c>
      <c r="I292" t="s">
        <v>77</v>
      </c>
      <c r="J292" s="1">
        <v>46104</v>
      </c>
      <c r="K292" s="1">
        <v>46104</v>
      </c>
      <c r="L292" s="3">
        <v>30100</v>
      </c>
      <c r="M292" s="4">
        <v>0.1</v>
      </c>
      <c r="N292" s="4">
        <v>1</v>
      </c>
      <c r="P292">
        <v>6</v>
      </c>
      <c r="Q292" t="str">
        <f>IFERROR(VLOOKUP(E292,Lookups!$A$5:$B$24,2,FALSE),"Other")</f>
        <v>LinkedIn</v>
      </c>
      <c r="R292" t="str">
        <f>IFERROR(VLOOKUP(F292,Lookups!$D$5:$F$10,2,FALSE),"Unknown Product")</f>
        <v>Analytics Plus</v>
      </c>
      <c r="S292" t="str">
        <f>IFERROR(VLOOKUP(F292,Lookups!$D$5:$F$10,3,FALSE),"Unknown")</f>
        <v>Analytics</v>
      </c>
      <c r="T292" t="str">
        <f t="shared" si="44"/>
        <v>Mid-Market</v>
      </c>
      <c r="U292" t="str">
        <f t="shared" si="45"/>
        <v>Won</v>
      </c>
      <c r="V292" s="3">
        <f t="shared" si="46"/>
        <v>27090</v>
      </c>
      <c r="W292" s="3">
        <f t="shared" si="47"/>
        <v>0</v>
      </c>
      <c r="X292" s="5">
        <f t="shared" si="48"/>
        <v>53</v>
      </c>
      <c r="Y292" s="5">
        <f>IF(U292="Open",Lookups!$B$2-B292,X292)</f>
        <v>53</v>
      </c>
      <c r="Z292" t="str">
        <f t="shared" si="49"/>
        <v>OK</v>
      </c>
      <c r="AA292" t="str">
        <f t="shared" si="50"/>
        <v>2026-01</v>
      </c>
      <c r="AB292" t="str">
        <f t="shared" si="51"/>
        <v>2026-03</v>
      </c>
      <c r="AC292" t="str">
        <f t="shared" si="52"/>
        <v>Q1-2026</v>
      </c>
      <c r="AD292" s="5">
        <f t="shared" si="53"/>
        <v>59</v>
      </c>
      <c r="AE292" t="str">
        <f t="shared" si="54"/>
        <v>Won</v>
      </c>
    </row>
    <row r="293" spans="1:31">
      <c r="A293" t="s">
        <v>395</v>
      </c>
      <c r="B293" s="1">
        <v>45882</v>
      </c>
      <c r="C293" t="s">
        <v>64</v>
      </c>
      <c r="D293" t="s">
        <v>57</v>
      </c>
      <c r="E293" t="s">
        <v>109</v>
      </c>
      <c r="F293" t="s">
        <v>52</v>
      </c>
      <c r="G293" t="s">
        <v>60</v>
      </c>
      <c r="H293" t="s">
        <v>47</v>
      </c>
      <c r="I293" t="s">
        <v>61</v>
      </c>
      <c r="J293" s="1">
        <v>45919</v>
      </c>
      <c r="K293" s="1">
        <v>45919</v>
      </c>
      <c r="L293" s="3">
        <v>4700</v>
      </c>
      <c r="M293" s="4">
        <v>0</v>
      </c>
      <c r="N293" s="4">
        <v>0</v>
      </c>
      <c r="O293" t="s">
        <v>116</v>
      </c>
      <c r="P293">
        <v>5</v>
      </c>
      <c r="Q293" t="str">
        <f>IFERROR(VLOOKUP(E293,Lookups!$A$5:$B$24,2,FALSE),"Other")</f>
        <v>Outbound</v>
      </c>
      <c r="R293" t="str">
        <f>IFERROR(VLOOKUP(F293,Lookups!$D$5:$F$10,2,FALSE),"Unknown Product")</f>
        <v>NexaCRM Core</v>
      </c>
      <c r="S293" t="str">
        <f>IFERROR(VLOOKUP(F293,Lookups!$D$5:$F$10,3,FALSE),"Unknown")</f>
        <v>CRM</v>
      </c>
      <c r="T293" t="str">
        <f t="shared" si="44"/>
        <v>SMB</v>
      </c>
      <c r="U293" t="str">
        <f t="shared" si="45"/>
        <v>Lost</v>
      </c>
      <c r="V293" s="3">
        <f t="shared" si="46"/>
        <v>0</v>
      </c>
      <c r="W293" s="3">
        <f t="shared" si="47"/>
        <v>0</v>
      </c>
      <c r="X293" s="5">
        <f t="shared" si="48"/>
        <v>37</v>
      </c>
      <c r="Y293" s="5">
        <f>IF(U293="Open",Lookups!$B$2-B293,X293)</f>
        <v>37</v>
      </c>
      <c r="Z293" t="str">
        <f t="shared" si="49"/>
        <v>OK</v>
      </c>
      <c r="AA293" t="str">
        <f t="shared" si="50"/>
        <v>2025-08</v>
      </c>
      <c r="AB293" t="str">
        <f t="shared" si="51"/>
        <v>2025-09</v>
      </c>
      <c r="AC293" t="str">
        <f t="shared" si="52"/>
        <v>Q3-2025</v>
      </c>
      <c r="AD293" s="5">
        <f t="shared" si="53"/>
        <v>43</v>
      </c>
      <c r="AE293" t="str">
        <f t="shared" si="54"/>
        <v>Lost</v>
      </c>
    </row>
    <row r="294" spans="1:31">
      <c r="A294" t="s">
        <v>396</v>
      </c>
      <c r="B294" s="1">
        <v>46168</v>
      </c>
      <c r="C294" t="s">
        <v>56</v>
      </c>
      <c r="D294" t="s">
        <v>57</v>
      </c>
      <c r="E294" t="s">
        <v>109</v>
      </c>
      <c r="F294" t="s">
        <v>133</v>
      </c>
      <c r="G294" t="s">
        <v>112</v>
      </c>
      <c r="H294" t="s">
        <v>53</v>
      </c>
      <c r="I294" t="s">
        <v>77</v>
      </c>
      <c r="J294" s="1">
        <v>46254</v>
      </c>
      <c r="K294" s="1">
        <v>46254</v>
      </c>
      <c r="L294" s="3">
        <v>51000</v>
      </c>
      <c r="M294" s="4">
        <v>0.1</v>
      </c>
      <c r="N294" s="4">
        <v>1</v>
      </c>
      <c r="P294">
        <v>6</v>
      </c>
      <c r="Q294" t="str">
        <f>IFERROR(VLOOKUP(E294,Lookups!$A$5:$B$24,2,FALSE),"Other")</f>
        <v>Outbound</v>
      </c>
      <c r="R294" t="str">
        <f>IFERROR(VLOOKUP(F294,Lookups!$D$5:$F$10,2,FALSE),"Unknown Product")</f>
        <v>Analytics Plus</v>
      </c>
      <c r="S294" t="str">
        <f>IFERROR(VLOOKUP(F294,Lookups!$D$5:$F$10,3,FALSE),"Unknown")</f>
        <v>Analytics</v>
      </c>
      <c r="T294" t="str">
        <f t="shared" si="44"/>
        <v>Enterprise</v>
      </c>
      <c r="U294" t="str">
        <f t="shared" si="45"/>
        <v>Won</v>
      </c>
      <c r="V294" s="3">
        <f t="shared" si="46"/>
        <v>45900</v>
      </c>
      <c r="W294" s="3">
        <f t="shared" si="47"/>
        <v>0</v>
      </c>
      <c r="X294" s="5">
        <f t="shared" si="48"/>
        <v>86</v>
      </c>
      <c r="Y294" s="5">
        <f>IF(U294="Open",Lookups!$B$2-B294,X294)</f>
        <v>86</v>
      </c>
      <c r="Z294" t="str">
        <f t="shared" si="49"/>
        <v>OK</v>
      </c>
      <c r="AA294" t="str">
        <f t="shared" si="50"/>
        <v>2026-05</v>
      </c>
      <c r="AB294" t="str">
        <f t="shared" si="51"/>
        <v>2026-08</v>
      </c>
      <c r="AC294" t="str">
        <f t="shared" si="52"/>
        <v>Q2-2026</v>
      </c>
      <c r="AD294" s="5">
        <f t="shared" si="53"/>
        <v>71</v>
      </c>
      <c r="AE294" t="str">
        <f t="shared" si="54"/>
        <v>Won</v>
      </c>
    </row>
    <row r="295" spans="1:31">
      <c r="A295" t="s">
        <v>397</v>
      </c>
      <c r="B295" s="1">
        <v>46163</v>
      </c>
      <c r="C295" t="s">
        <v>69</v>
      </c>
      <c r="D295" t="s">
        <v>57</v>
      </c>
      <c r="E295" t="s">
        <v>51</v>
      </c>
      <c r="F295" t="s">
        <v>45</v>
      </c>
      <c r="G295" t="s">
        <v>112</v>
      </c>
      <c r="H295" t="s">
        <v>47</v>
      </c>
      <c r="I295" t="s">
        <v>61</v>
      </c>
      <c r="J295" s="1">
        <v>46212</v>
      </c>
      <c r="K295" s="1">
        <v>46212</v>
      </c>
      <c r="L295" s="3">
        <v>20500</v>
      </c>
      <c r="M295" s="4">
        <v>0</v>
      </c>
      <c r="N295" s="4">
        <v>0</v>
      </c>
      <c r="O295" t="s">
        <v>62</v>
      </c>
      <c r="P295">
        <v>3</v>
      </c>
      <c r="Q295" t="str">
        <f>IFERROR(VLOOKUP(E295,Lookups!$A$5:$B$24,2,FALSE),"Other")</f>
        <v>Paid Search</v>
      </c>
      <c r="R295" t="str">
        <f>IFERROR(VLOOKUP(F295,Lookups!$D$5:$F$10,2,FALSE),"Unknown Product")</f>
        <v>Service Cloud</v>
      </c>
      <c r="S295" t="str">
        <f>IFERROR(VLOOKUP(F295,Lookups!$D$5:$F$10,3,FALSE),"Unknown")</f>
        <v>Customer Service</v>
      </c>
      <c r="T295" t="str">
        <f t="shared" si="44"/>
        <v>Mid-Market</v>
      </c>
      <c r="U295" t="str">
        <f t="shared" si="45"/>
        <v>Lost</v>
      </c>
      <c r="V295" s="3">
        <f t="shared" si="46"/>
        <v>0</v>
      </c>
      <c r="W295" s="3">
        <f t="shared" si="47"/>
        <v>0</v>
      </c>
      <c r="X295" s="5">
        <f t="shared" si="48"/>
        <v>49</v>
      </c>
      <c r="Y295" s="5">
        <f>IF(U295="Open",Lookups!$B$2-B295,X295)</f>
        <v>49</v>
      </c>
      <c r="Z295" t="str">
        <f t="shared" si="49"/>
        <v>OK</v>
      </c>
      <c r="AA295" t="str">
        <f t="shared" si="50"/>
        <v>2026-05</v>
      </c>
      <c r="AB295" t="str">
        <f t="shared" si="51"/>
        <v>2026-07</v>
      </c>
      <c r="AC295" t="str">
        <f t="shared" si="52"/>
        <v>Q2-2026</v>
      </c>
      <c r="AD295" s="5">
        <f t="shared" si="53"/>
        <v>56</v>
      </c>
      <c r="AE295" t="str">
        <f t="shared" si="54"/>
        <v>Lost</v>
      </c>
    </row>
    <row r="296" spans="1:31">
      <c r="A296" t="s">
        <v>398</v>
      </c>
      <c r="B296" s="1">
        <v>46149</v>
      </c>
      <c r="C296" t="s">
        <v>50</v>
      </c>
      <c r="D296" t="s">
        <v>43</v>
      </c>
      <c r="E296" t="s">
        <v>58</v>
      </c>
      <c r="F296" t="s">
        <v>52</v>
      </c>
      <c r="G296" t="s">
        <v>72</v>
      </c>
      <c r="H296" t="s">
        <v>53</v>
      </c>
      <c r="I296" t="s">
        <v>61</v>
      </c>
      <c r="J296" s="1">
        <v>46202</v>
      </c>
      <c r="K296" s="1">
        <v>46202</v>
      </c>
      <c r="L296" s="3">
        <v>8900</v>
      </c>
      <c r="M296" s="4">
        <v>0</v>
      </c>
      <c r="N296" s="4">
        <v>0</v>
      </c>
      <c r="O296" t="s">
        <v>116</v>
      </c>
      <c r="P296">
        <v>2</v>
      </c>
      <c r="Q296" t="str">
        <f>IFERROR(VLOOKUP(E296,Lookups!$A$5:$B$24,2,FALSE),"Other")</f>
        <v>Email</v>
      </c>
      <c r="R296" t="str">
        <f>IFERROR(VLOOKUP(F296,Lookups!$D$5:$F$10,2,FALSE),"Unknown Product")</f>
        <v>NexaCRM Core</v>
      </c>
      <c r="S296" t="str">
        <f>IFERROR(VLOOKUP(F296,Lookups!$D$5:$F$10,3,FALSE),"Unknown")</f>
        <v>CRM</v>
      </c>
      <c r="T296" t="str">
        <f t="shared" si="44"/>
        <v>SMB</v>
      </c>
      <c r="U296" t="str">
        <f t="shared" si="45"/>
        <v>Lost</v>
      </c>
      <c r="V296" s="3">
        <f t="shared" si="46"/>
        <v>0</v>
      </c>
      <c r="W296" s="3">
        <f t="shared" si="47"/>
        <v>0</v>
      </c>
      <c r="X296" s="5">
        <f t="shared" si="48"/>
        <v>53</v>
      </c>
      <c r="Y296" s="5">
        <f>IF(U296="Open",Lookups!$B$2-B296,X296)</f>
        <v>53</v>
      </c>
      <c r="Z296" t="str">
        <f t="shared" si="49"/>
        <v>OK</v>
      </c>
      <c r="AA296" t="str">
        <f t="shared" si="50"/>
        <v>2026-05</v>
      </c>
      <c r="AB296" t="str">
        <f t="shared" si="51"/>
        <v>2026-06</v>
      </c>
      <c r="AC296" t="str">
        <f t="shared" si="52"/>
        <v>Q2-2026</v>
      </c>
      <c r="AD296" s="5">
        <f t="shared" si="53"/>
        <v>55</v>
      </c>
      <c r="AE296" t="str">
        <f t="shared" si="54"/>
        <v>Lost</v>
      </c>
    </row>
    <row r="297" spans="1:31">
      <c r="A297" t="s">
        <v>399</v>
      </c>
      <c r="B297" s="1">
        <v>46138</v>
      </c>
      <c r="C297" t="s">
        <v>148</v>
      </c>
      <c r="D297" t="s">
        <v>43</v>
      </c>
      <c r="E297" t="s">
        <v>65</v>
      </c>
      <c r="F297" t="s">
        <v>67</v>
      </c>
      <c r="G297" t="s">
        <v>46</v>
      </c>
      <c r="H297" t="s">
        <v>47</v>
      </c>
      <c r="I297" t="s">
        <v>54</v>
      </c>
      <c r="J297" s="1">
        <v>46196</v>
      </c>
      <c r="K297" s="1"/>
      <c r="L297" s="3">
        <v>44700</v>
      </c>
      <c r="M297" s="4">
        <v>0.05</v>
      </c>
      <c r="N297" s="4">
        <v>0.65</v>
      </c>
      <c r="P297">
        <v>4</v>
      </c>
      <c r="Q297" t="str">
        <f>IFERROR(VLOOKUP(E297,Lookups!$A$5:$B$24,2,FALSE),"Other")</f>
        <v>Paid Search</v>
      </c>
      <c r="R297" t="str">
        <f>IFERROR(VLOOKUP(F297,Lookups!$D$5:$F$10,2,FALSE),"Unknown Product")</f>
        <v>Revenue Operations Suite</v>
      </c>
      <c r="S297" t="str">
        <f>IFERROR(VLOOKUP(F297,Lookups!$D$5:$F$10,3,FALSE),"Unknown")</f>
        <v>Revenue Ops</v>
      </c>
      <c r="T297" t="str">
        <f t="shared" si="44"/>
        <v>Mid-Market</v>
      </c>
      <c r="U297" t="str">
        <f t="shared" si="45"/>
        <v>Open</v>
      </c>
      <c r="V297" s="3">
        <f t="shared" si="46"/>
        <v>0</v>
      </c>
      <c r="W297" s="3">
        <f t="shared" si="47"/>
        <v>29055</v>
      </c>
      <c r="X297" s="5" t="str">
        <f t="shared" si="48"/>
        <v/>
      </c>
      <c r="Y297" s="5">
        <f>IF(U297="Open",Lookups!$B$2-B297,X297)</f>
        <v>128</v>
      </c>
      <c r="Z297" t="str">
        <f t="shared" si="49"/>
        <v>STALE</v>
      </c>
      <c r="AA297" t="str">
        <f t="shared" si="50"/>
        <v>2026-04</v>
      </c>
      <c r="AB297" t="str">
        <f t="shared" si="51"/>
        <v/>
      </c>
      <c r="AC297" t="str">
        <f t="shared" si="52"/>
        <v>Q2-2026</v>
      </c>
      <c r="AD297" s="5">
        <f t="shared" si="53"/>
        <v>51</v>
      </c>
      <c r="AE297" t="str">
        <f t="shared" si="54"/>
        <v>Best Case</v>
      </c>
    </row>
    <row r="298" spans="1:31">
      <c r="A298" t="s">
        <v>400</v>
      </c>
      <c r="B298" s="1">
        <v>46030</v>
      </c>
      <c r="C298" t="s">
        <v>69</v>
      </c>
      <c r="D298" t="s">
        <v>57</v>
      </c>
      <c r="E298" t="s">
        <v>96</v>
      </c>
      <c r="F298" t="s">
        <v>52</v>
      </c>
      <c r="G298" t="s">
        <v>46</v>
      </c>
      <c r="H298" t="s">
        <v>53</v>
      </c>
      <c r="I298" t="s">
        <v>61</v>
      </c>
      <c r="J298" s="1">
        <v>46062</v>
      </c>
      <c r="K298" s="1">
        <v>46062</v>
      </c>
      <c r="L298" s="3">
        <v>11100</v>
      </c>
      <c r="M298" s="4">
        <v>0</v>
      </c>
      <c r="N298" s="4">
        <v>0</v>
      </c>
      <c r="O298" t="s">
        <v>116</v>
      </c>
      <c r="P298">
        <v>4</v>
      </c>
      <c r="Q298" t="str">
        <f>IFERROR(VLOOKUP(E298,Lookups!$A$5:$B$24,2,FALSE),"Other")</f>
        <v>LinkedIn</v>
      </c>
      <c r="R298" t="str">
        <f>IFERROR(VLOOKUP(F298,Lookups!$D$5:$F$10,2,FALSE),"Unknown Product")</f>
        <v>NexaCRM Core</v>
      </c>
      <c r="S298" t="str">
        <f>IFERROR(VLOOKUP(F298,Lookups!$D$5:$F$10,3,FALSE),"Unknown")</f>
        <v>CRM</v>
      </c>
      <c r="T298" t="str">
        <f t="shared" si="44"/>
        <v>SMB</v>
      </c>
      <c r="U298" t="str">
        <f t="shared" si="45"/>
        <v>Lost</v>
      </c>
      <c r="V298" s="3">
        <f t="shared" si="46"/>
        <v>0</v>
      </c>
      <c r="W298" s="3">
        <f t="shared" si="47"/>
        <v>0</v>
      </c>
      <c r="X298" s="5">
        <f t="shared" si="48"/>
        <v>32</v>
      </c>
      <c r="Y298" s="5">
        <f>IF(U298="Open",Lookups!$B$2-B298,X298)</f>
        <v>32</v>
      </c>
      <c r="Z298" t="str">
        <f t="shared" si="49"/>
        <v>OK</v>
      </c>
      <c r="AA298" t="str">
        <f t="shared" si="50"/>
        <v>2026-01</v>
      </c>
      <c r="AB298" t="str">
        <f t="shared" si="51"/>
        <v>2026-02</v>
      </c>
      <c r="AC298" t="str">
        <f t="shared" si="52"/>
        <v>Q1-2026</v>
      </c>
      <c r="AD298" s="5">
        <f t="shared" si="53"/>
        <v>51</v>
      </c>
      <c r="AE298" t="str">
        <f t="shared" si="54"/>
        <v>Lost</v>
      </c>
    </row>
    <row r="299" spans="1:31">
      <c r="A299" t="s">
        <v>401</v>
      </c>
      <c r="B299" s="1">
        <v>45879</v>
      </c>
      <c r="C299" t="s">
        <v>56</v>
      </c>
      <c r="D299" t="s">
        <v>57</v>
      </c>
      <c r="E299" t="s">
        <v>44</v>
      </c>
      <c r="F299" t="s">
        <v>52</v>
      </c>
      <c r="G299" t="s">
        <v>46</v>
      </c>
      <c r="H299" t="s">
        <v>47</v>
      </c>
      <c r="I299" t="s">
        <v>77</v>
      </c>
      <c r="J299" s="1">
        <v>45922</v>
      </c>
      <c r="K299" s="1">
        <v>45922</v>
      </c>
      <c r="L299" s="3">
        <v>8100</v>
      </c>
      <c r="M299" s="4">
        <v>0.1</v>
      </c>
      <c r="N299" s="4">
        <v>1</v>
      </c>
      <c r="P299">
        <v>6</v>
      </c>
      <c r="Q299" t="str">
        <f>IFERROR(VLOOKUP(E299,Lookups!$A$5:$B$24,2,FALSE),"Other")</f>
        <v>Organic Search</v>
      </c>
      <c r="R299" t="str">
        <f>IFERROR(VLOOKUP(F299,Lookups!$D$5:$F$10,2,FALSE),"Unknown Product")</f>
        <v>NexaCRM Core</v>
      </c>
      <c r="S299" t="str">
        <f>IFERROR(VLOOKUP(F299,Lookups!$D$5:$F$10,3,FALSE),"Unknown")</f>
        <v>CRM</v>
      </c>
      <c r="T299" t="str">
        <f t="shared" si="44"/>
        <v>SMB</v>
      </c>
      <c r="U299" t="str">
        <f t="shared" si="45"/>
        <v>Won</v>
      </c>
      <c r="V299" s="3">
        <f t="shared" si="46"/>
        <v>7290</v>
      </c>
      <c r="W299" s="3">
        <f t="shared" si="47"/>
        <v>0</v>
      </c>
      <c r="X299" s="5">
        <f t="shared" si="48"/>
        <v>43</v>
      </c>
      <c r="Y299" s="5">
        <f>IF(U299="Open",Lookups!$B$2-B299,X299)</f>
        <v>43</v>
      </c>
      <c r="Z299" t="str">
        <f t="shared" si="49"/>
        <v>OK</v>
      </c>
      <c r="AA299" t="str">
        <f t="shared" si="50"/>
        <v>2025-08</v>
      </c>
      <c r="AB299" t="str">
        <f t="shared" si="51"/>
        <v>2025-09</v>
      </c>
      <c r="AC299" t="str">
        <f t="shared" si="52"/>
        <v>Q3-2025</v>
      </c>
      <c r="AD299" s="5">
        <f t="shared" si="53"/>
        <v>49</v>
      </c>
      <c r="AE299" t="str">
        <f t="shared" si="54"/>
        <v>Won</v>
      </c>
    </row>
    <row r="300" spans="1:31">
      <c r="A300" t="s">
        <v>402</v>
      </c>
      <c r="B300" s="1">
        <v>45840</v>
      </c>
      <c r="C300" t="s">
        <v>69</v>
      </c>
      <c r="D300" t="s">
        <v>57</v>
      </c>
      <c r="E300" t="s">
        <v>96</v>
      </c>
      <c r="F300" t="s">
        <v>71</v>
      </c>
      <c r="G300" t="s">
        <v>112</v>
      </c>
      <c r="H300" t="s">
        <v>47</v>
      </c>
      <c r="I300" t="s">
        <v>48</v>
      </c>
      <c r="J300" s="1">
        <v>46188</v>
      </c>
      <c r="K300" s="1"/>
      <c r="L300" s="3">
        <v>9700</v>
      </c>
      <c r="M300" s="4">
        <v>0.05</v>
      </c>
      <c r="N300" s="4">
        <v>0.85</v>
      </c>
      <c r="P300">
        <v>5</v>
      </c>
      <c r="Q300" t="str">
        <f>IFERROR(VLOOKUP(E300,Lookups!$A$5:$B$24,2,FALSE),"Other")</f>
        <v>LinkedIn</v>
      </c>
      <c r="R300" t="str">
        <f>IFERROR(VLOOKUP(F300,Lookups!$D$5:$F$10,2,FALSE),"Unknown Product")</f>
        <v>Marketing Automation</v>
      </c>
      <c r="S300" t="str">
        <f>IFERROR(VLOOKUP(F300,Lookups!$D$5:$F$10,3,FALSE),"Unknown")</f>
        <v>Marketing</v>
      </c>
      <c r="T300" t="str">
        <f t="shared" si="44"/>
        <v>SMB</v>
      </c>
      <c r="U300" t="str">
        <f t="shared" si="45"/>
        <v>Open</v>
      </c>
      <c r="V300" s="3">
        <f t="shared" si="46"/>
        <v>0</v>
      </c>
      <c r="W300" s="3">
        <f t="shared" si="47"/>
        <v>8245</v>
      </c>
      <c r="X300" s="5" t="str">
        <f t="shared" si="48"/>
        <v/>
      </c>
      <c r="Y300" s="5">
        <f>IF(U300="Open",Lookups!$B$2-B300,X300)</f>
        <v>426</v>
      </c>
      <c r="Z300" t="str">
        <f t="shared" si="49"/>
        <v>STALE</v>
      </c>
      <c r="AA300" t="str">
        <f t="shared" si="50"/>
        <v>2025-07</v>
      </c>
      <c r="AB300" t="str">
        <f t="shared" si="51"/>
        <v/>
      </c>
      <c r="AC300" t="str">
        <f t="shared" si="52"/>
        <v>Q3-2025</v>
      </c>
      <c r="AD300" s="5">
        <f t="shared" si="53"/>
        <v>48</v>
      </c>
      <c r="AE300" t="str">
        <f t="shared" si="54"/>
        <v>Commit</v>
      </c>
    </row>
    <row r="301" spans="1:31">
      <c r="A301" t="s">
        <v>403</v>
      </c>
      <c r="B301" s="1">
        <v>45864</v>
      </c>
      <c r="C301" t="s">
        <v>56</v>
      </c>
      <c r="D301" t="s">
        <v>57</v>
      </c>
      <c r="E301" t="s">
        <v>83</v>
      </c>
      <c r="F301" t="s">
        <v>59</v>
      </c>
      <c r="G301" t="s">
        <v>60</v>
      </c>
      <c r="H301" t="s">
        <v>84</v>
      </c>
      <c r="I301" t="s">
        <v>61</v>
      </c>
      <c r="J301" s="1">
        <v>45916</v>
      </c>
      <c r="K301" s="1">
        <v>45916</v>
      </c>
      <c r="L301" s="3">
        <v>90300</v>
      </c>
      <c r="M301" s="4">
        <v>0</v>
      </c>
      <c r="N301" s="4">
        <v>0</v>
      </c>
      <c r="O301" t="s">
        <v>102</v>
      </c>
      <c r="P301">
        <v>4</v>
      </c>
      <c r="Q301" t="str">
        <f>IFERROR(VLOOKUP(E301,Lookups!$A$5:$B$24,2,FALSE),"Other")</f>
        <v>Organic Search</v>
      </c>
      <c r="R301" t="str">
        <f>IFERROR(VLOOKUP(F301,Lookups!$D$5:$F$10,2,FALSE),"Unknown Product")</f>
        <v>NexaCRM Pro</v>
      </c>
      <c r="S301" t="str">
        <f>IFERROR(VLOOKUP(F301,Lookups!$D$5:$F$10,3,FALSE),"Unknown")</f>
        <v>CRM</v>
      </c>
      <c r="T301" t="str">
        <f t="shared" si="44"/>
        <v>Enterprise</v>
      </c>
      <c r="U301" t="str">
        <f t="shared" si="45"/>
        <v>Lost</v>
      </c>
      <c r="V301" s="3">
        <f t="shared" si="46"/>
        <v>0</v>
      </c>
      <c r="W301" s="3">
        <f t="shared" si="47"/>
        <v>0</v>
      </c>
      <c r="X301" s="5">
        <f t="shared" si="48"/>
        <v>52</v>
      </c>
      <c r="Y301" s="5">
        <f>IF(U301="Open",Lookups!$B$2-B301,X301)</f>
        <v>52</v>
      </c>
      <c r="Z301" t="str">
        <f t="shared" si="49"/>
        <v>OK</v>
      </c>
      <c r="AA301" t="str">
        <f t="shared" si="50"/>
        <v>2025-07</v>
      </c>
      <c r="AB301" t="str">
        <f t="shared" si="51"/>
        <v>2025-09</v>
      </c>
      <c r="AC301" t="str">
        <f t="shared" si="52"/>
        <v>Q3-2025</v>
      </c>
      <c r="AD301" s="5">
        <f t="shared" si="53"/>
        <v>80</v>
      </c>
      <c r="AE301" t="str">
        <f t="shared" si="54"/>
        <v>Lost</v>
      </c>
    </row>
    <row r="302" spans="1:31">
      <c r="A302" t="s">
        <v>404</v>
      </c>
      <c r="B302" s="1">
        <v>46256</v>
      </c>
      <c r="C302" t="s">
        <v>56</v>
      </c>
      <c r="D302" t="s">
        <v>57</v>
      </c>
      <c r="E302" t="s">
        <v>160</v>
      </c>
      <c r="F302" t="s">
        <v>45</v>
      </c>
      <c r="G302" t="s">
        <v>76</v>
      </c>
      <c r="H302" t="s">
        <v>47</v>
      </c>
      <c r="I302" t="s">
        <v>187</v>
      </c>
      <c r="J302" s="1">
        <v>46262</v>
      </c>
      <c r="K302" s="1"/>
      <c r="L302" s="3">
        <v>15900</v>
      </c>
      <c r="M302" s="4">
        <v>0</v>
      </c>
      <c r="N302" s="4">
        <v>0.05</v>
      </c>
      <c r="P302">
        <v>1</v>
      </c>
      <c r="Q302" t="str">
        <f>IFERROR(VLOOKUP(E302,Lookups!$A$5:$B$24,2,FALSE),"Other")</f>
        <v>Email</v>
      </c>
      <c r="R302" t="str">
        <f>IFERROR(VLOOKUP(F302,Lookups!$D$5:$F$10,2,FALSE),"Unknown Product")</f>
        <v>Service Cloud</v>
      </c>
      <c r="S302" t="str">
        <f>IFERROR(VLOOKUP(F302,Lookups!$D$5:$F$10,3,FALSE),"Unknown")</f>
        <v>Customer Service</v>
      </c>
      <c r="T302" t="str">
        <f t="shared" si="44"/>
        <v>SMB</v>
      </c>
      <c r="U302" t="str">
        <f t="shared" si="45"/>
        <v>Open</v>
      </c>
      <c r="V302" s="3">
        <f t="shared" si="46"/>
        <v>0</v>
      </c>
      <c r="W302" s="3">
        <f t="shared" si="47"/>
        <v>795</v>
      </c>
      <c r="X302" s="5" t="str">
        <f t="shared" si="48"/>
        <v/>
      </c>
      <c r="Y302" s="5">
        <f>IF(U302="Open",Lookups!$B$2-B302,X302)</f>
        <v>10</v>
      </c>
      <c r="Z302" t="str">
        <f t="shared" si="49"/>
        <v>OK</v>
      </c>
      <c r="AA302" t="str">
        <f t="shared" si="50"/>
        <v>2026-08</v>
      </c>
      <c r="AB302" t="str">
        <f t="shared" si="51"/>
        <v/>
      </c>
      <c r="AC302" t="str">
        <f t="shared" si="52"/>
        <v>Q3-2026</v>
      </c>
      <c r="AD302" s="5">
        <f t="shared" si="53"/>
        <v>47</v>
      </c>
      <c r="AE302" t="str">
        <f t="shared" si="54"/>
        <v>Pipeline</v>
      </c>
    </row>
    <row r="303" spans="1:31">
      <c r="A303" t="s">
        <v>405</v>
      </c>
      <c r="B303" s="1">
        <v>45807</v>
      </c>
      <c r="C303" t="s">
        <v>148</v>
      </c>
      <c r="D303" t="s">
        <v>43</v>
      </c>
      <c r="E303" t="s">
        <v>96</v>
      </c>
      <c r="F303" t="s">
        <v>52</v>
      </c>
      <c r="G303" t="s">
        <v>72</v>
      </c>
      <c r="H303" t="s">
        <v>47</v>
      </c>
      <c r="I303" t="s">
        <v>48</v>
      </c>
      <c r="J303" s="1">
        <v>46200</v>
      </c>
      <c r="K303" s="1"/>
      <c r="L303" s="3">
        <v>10000</v>
      </c>
      <c r="M303" s="4">
        <v>0.03</v>
      </c>
      <c r="N303" s="4">
        <v>0.85</v>
      </c>
      <c r="P303">
        <v>5</v>
      </c>
      <c r="Q303" t="str">
        <f>IFERROR(VLOOKUP(E303,Lookups!$A$5:$B$24,2,FALSE),"Other")</f>
        <v>LinkedIn</v>
      </c>
      <c r="R303" t="str">
        <f>IFERROR(VLOOKUP(F303,Lookups!$D$5:$F$10,2,FALSE),"Unknown Product")</f>
        <v>NexaCRM Core</v>
      </c>
      <c r="S303" t="str">
        <f>IFERROR(VLOOKUP(F303,Lookups!$D$5:$F$10,3,FALSE),"Unknown")</f>
        <v>CRM</v>
      </c>
      <c r="T303" t="str">
        <f t="shared" si="44"/>
        <v>SMB</v>
      </c>
      <c r="U303" t="str">
        <f t="shared" si="45"/>
        <v>Open</v>
      </c>
      <c r="V303" s="3">
        <f t="shared" si="46"/>
        <v>0</v>
      </c>
      <c r="W303" s="3">
        <f t="shared" si="47"/>
        <v>8500</v>
      </c>
      <c r="X303" s="5" t="str">
        <f t="shared" si="48"/>
        <v/>
      </c>
      <c r="Y303" s="5">
        <f>IF(U303="Open",Lookups!$B$2-B303,X303)</f>
        <v>459</v>
      </c>
      <c r="Z303" t="str">
        <f t="shared" si="49"/>
        <v>STALE</v>
      </c>
      <c r="AA303" t="str">
        <f t="shared" si="50"/>
        <v>2025-05</v>
      </c>
      <c r="AB303" t="str">
        <f t="shared" si="51"/>
        <v/>
      </c>
      <c r="AC303" t="str">
        <f t="shared" si="52"/>
        <v>Q2-2025</v>
      </c>
      <c r="AD303" s="5">
        <f t="shared" si="53"/>
        <v>43</v>
      </c>
      <c r="AE303" t="str">
        <f t="shared" si="54"/>
        <v>Commit</v>
      </c>
    </row>
    <row r="304" spans="1:31">
      <c r="A304" t="s">
        <v>406</v>
      </c>
      <c r="B304" s="1">
        <v>45987</v>
      </c>
      <c r="C304" t="s">
        <v>148</v>
      </c>
      <c r="D304" t="s">
        <v>43</v>
      </c>
      <c r="E304" t="s">
        <v>166</v>
      </c>
      <c r="F304" t="s">
        <v>59</v>
      </c>
      <c r="G304" t="s">
        <v>112</v>
      </c>
      <c r="H304" t="s">
        <v>47</v>
      </c>
      <c r="I304" t="s">
        <v>48</v>
      </c>
      <c r="J304" s="1">
        <v>46106</v>
      </c>
      <c r="K304" s="1"/>
      <c r="L304" s="3">
        <v>16000</v>
      </c>
      <c r="M304" s="4">
        <v>0</v>
      </c>
      <c r="N304" s="4">
        <v>0.85</v>
      </c>
      <c r="P304">
        <v>5</v>
      </c>
      <c r="Q304" t="str">
        <f>IFERROR(VLOOKUP(E304,Lookups!$A$5:$B$24,2,FALSE),"Other")</f>
        <v>Referral</v>
      </c>
      <c r="R304" t="str">
        <f>IFERROR(VLOOKUP(F304,Lookups!$D$5:$F$10,2,FALSE),"Unknown Product")</f>
        <v>NexaCRM Pro</v>
      </c>
      <c r="S304" t="str">
        <f>IFERROR(VLOOKUP(F304,Lookups!$D$5:$F$10,3,FALSE),"Unknown")</f>
        <v>CRM</v>
      </c>
      <c r="T304" t="str">
        <f t="shared" si="44"/>
        <v>SMB</v>
      </c>
      <c r="U304" t="str">
        <f t="shared" si="45"/>
        <v>Open</v>
      </c>
      <c r="V304" s="3">
        <f t="shared" si="46"/>
        <v>0</v>
      </c>
      <c r="W304" s="3">
        <f t="shared" si="47"/>
        <v>13600</v>
      </c>
      <c r="X304" s="5" t="str">
        <f t="shared" si="48"/>
        <v/>
      </c>
      <c r="Y304" s="5">
        <f>IF(U304="Open",Lookups!$B$2-B304,X304)</f>
        <v>279</v>
      </c>
      <c r="Z304" t="str">
        <f t="shared" si="49"/>
        <v>STALE</v>
      </c>
      <c r="AA304" t="str">
        <f t="shared" si="50"/>
        <v>2025-11</v>
      </c>
      <c r="AB304" t="str">
        <f t="shared" si="51"/>
        <v/>
      </c>
      <c r="AC304" t="str">
        <f t="shared" si="52"/>
        <v>Q4-2025</v>
      </c>
      <c r="AD304" s="5">
        <f t="shared" si="53"/>
        <v>59</v>
      </c>
      <c r="AE304" t="str">
        <f t="shared" si="54"/>
        <v>Commit</v>
      </c>
    </row>
    <row r="305" spans="1:31">
      <c r="A305" t="s">
        <v>407</v>
      </c>
      <c r="B305" s="1">
        <v>45691</v>
      </c>
      <c r="C305" t="s">
        <v>90</v>
      </c>
      <c r="D305" t="s">
        <v>57</v>
      </c>
      <c r="E305" t="s">
        <v>51</v>
      </c>
      <c r="F305" t="s">
        <v>52</v>
      </c>
      <c r="G305" t="s">
        <v>76</v>
      </c>
      <c r="H305" t="s">
        <v>53</v>
      </c>
      <c r="I305" t="s">
        <v>61</v>
      </c>
      <c r="J305" s="1">
        <v>45719</v>
      </c>
      <c r="K305" s="1">
        <v>45719</v>
      </c>
      <c r="L305" s="3">
        <v>9100</v>
      </c>
      <c r="M305" s="4">
        <v>0</v>
      </c>
      <c r="N305" s="4">
        <v>0</v>
      </c>
      <c r="O305" t="s">
        <v>79</v>
      </c>
      <c r="P305">
        <v>4</v>
      </c>
      <c r="Q305" t="str">
        <f>IFERROR(VLOOKUP(E305,Lookups!$A$5:$B$24,2,FALSE),"Other")</f>
        <v>Paid Search</v>
      </c>
      <c r="R305" t="str">
        <f>IFERROR(VLOOKUP(F305,Lookups!$D$5:$F$10,2,FALSE),"Unknown Product")</f>
        <v>NexaCRM Core</v>
      </c>
      <c r="S305" t="str">
        <f>IFERROR(VLOOKUP(F305,Lookups!$D$5:$F$10,3,FALSE),"Unknown")</f>
        <v>CRM</v>
      </c>
      <c r="T305" t="str">
        <f t="shared" si="44"/>
        <v>SMB</v>
      </c>
      <c r="U305" t="str">
        <f t="shared" si="45"/>
        <v>Lost</v>
      </c>
      <c r="V305" s="3">
        <f t="shared" si="46"/>
        <v>0</v>
      </c>
      <c r="W305" s="3">
        <f t="shared" si="47"/>
        <v>0</v>
      </c>
      <c r="X305" s="5">
        <f t="shared" si="48"/>
        <v>28</v>
      </c>
      <c r="Y305" s="5">
        <f>IF(U305="Open",Lookups!$B$2-B305,X305)</f>
        <v>28</v>
      </c>
      <c r="Z305" t="str">
        <f t="shared" si="49"/>
        <v>OK</v>
      </c>
      <c r="AA305" t="str">
        <f t="shared" si="50"/>
        <v>2025-02</v>
      </c>
      <c r="AB305" t="str">
        <f t="shared" si="51"/>
        <v>2025-03</v>
      </c>
      <c r="AC305" t="str">
        <f t="shared" si="52"/>
        <v>Q1-2025</v>
      </c>
      <c r="AD305" s="5">
        <f t="shared" si="53"/>
        <v>51</v>
      </c>
      <c r="AE305" t="str">
        <f t="shared" si="54"/>
        <v>Lost</v>
      </c>
    </row>
    <row r="306" spans="1:31">
      <c r="A306" t="s">
        <v>408</v>
      </c>
      <c r="B306" s="1">
        <v>46143</v>
      </c>
      <c r="C306" t="s">
        <v>50</v>
      </c>
      <c r="D306" t="s">
        <v>43</v>
      </c>
      <c r="E306" t="s">
        <v>146</v>
      </c>
      <c r="F306" t="s">
        <v>133</v>
      </c>
      <c r="G306" t="s">
        <v>60</v>
      </c>
      <c r="H306" t="s">
        <v>47</v>
      </c>
      <c r="I306" t="s">
        <v>61</v>
      </c>
      <c r="J306" s="1">
        <v>46185</v>
      </c>
      <c r="K306" s="1">
        <v>46185</v>
      </c>
      <c r="L306" s="3">
        <v>28800</v>
      </c>
      <c r="M306" s="4">
        <v>0</v>
      </c>
      <c r="N306" s="4">
        <v>0</v>
      </c>
      <c r="O306" t="s">
        <v>79</v>
      </c>
      <c r="P306">
        <v>5</v>
      </c>
      <c r="Q306" t="str">
        <f>IFERROR(VLOOKUP(E306,Lookups!$A$5:$B$24,2,FALSE),"Other")</f>
        <v>LinkedIn</v>
      </c>
      <c r="R306" t="str">
        <f>IFERROR(VLOOKUP(F306,Lookups!$D$5:$F$10,2,FALSE),"Unknown Product")</f>
        <v>Analytics Plus</v>
      </c>
      <c r="S306" t="str">
        <f>IFERROR(VLOOKUP(F306,Lookups!$D$5:$F$10,3,FALSE),"Unknown")</f>
        <v>Analytics</v>
      </c>
      <c r="T306" t="str">
        <f t="shared" si="44"/>
        <v>Mid-Market</v>
      </c>
      <c r="U306" t="str">
        <f t="shared" si="45"/>
        <v>Lost</v>
      </c>
      <c r="V306" s="3">
        <f t="shared" si="46"/>
        <v>0</v>
      </c>
      <c r="W306" s="3">
        <f t="shared" si="47"/>
        <v>0</v>
      </c>
      <c r="X306" s="5">
        <f t="shared" si="48"/>
        <v>42</v>
      </c>
      <c r="Y306" s="5">
        <f>IF(U306="Open",Lookups!$B$2-B306,X306)</f>
        <v>42</v>
      </c>
      <c r="Z306" t="str">
        <f t="shared" si="49"/>
        <v>OK</v>
      </c>
      <c r="AA306" t="str">
        <f t="shared" si="50"/>
        <v>2026-05</v>
      </c>
      <c r="AB306" t="str">
        <f t="shared" si="51"/>
        <v>2026-06</v>
      </c>
      <c r="AC306" t="str">
        <f t="shared" si="52"/>
        <v>Q2-2026</v>
      </c>
      <c r="AD306" s="5">
        <f t="shared" si="53"/>
        <v>51</v>
      </c>
      <c r="AE306" t="str">
        <f t="shared" si="54"/>
        <v>Lost</v>
      </c>
    </row>
    <row r="307" spans="1:31">
      <c r="A307" t="s">
        <v>409</v>
      </c>
      <c r="B307" s="1">
        <v>46140</v>
      </c>
      <c r="C307" t="s">
        <v>86</v>
      </c>
      <c r="D307" t="s">
        <v>87</v>
      </c>
      <c r="E307" t="s">
        <v>138</v>
      </c>
      <c r="F307" t="s">
        <v>52</v>
      </c>
      <c r="G307" t="s">
        <v>112</v>
      </c>
      <c r="H307" t="s">
        <v>53</v>
      </c>
      <c r="I307" t="s">
        <v>61</v>
      </c>
      <c r="J307" s="1">
        <v>46222</v>
      </c>
      <c r="K307" s="1">
        <v>46222</v>
      </c>
      <c r="L307" s="3">
        <v>14500</v>
      </c>
      <c r="M307" s="4">
        <v>0</v>
      </c>
      <c r="N307" s="4">
        <v>0</v>
      </c>
      <c r="O307" t="s">
        <v>79</v>
      </c>
      <c r="P307">
        <v>3</v>
      </c>
      <c r="Q307" t="str">
        <f>IFERROR(VLOOKUP(E307,Lookups!$A$5:$B$24,2,FALSE),"Other")</f>
        <v>Organic Search</v>
      </c>
      <c r="R307" t="str">
        <f>IFERROR(VLOOKUP(F307,Lookups!$D$5:$F$10,2,FALSE),"Unknown Product")</f>
        <v>NexaCRM Core</v>
      </c>
      <c r="S307" t="str">
        <f>IFERROR(VLOOKUP(F307,Lookups!$D$5:$F$10,3,FALSE),"Unknown")</f>
        <v>CRM</v>
      </c>
      <c r="T307" t="str">
        <f t="shared" si="44"/>
        <v>SMB</v>
      </c>
      <c r="U307" t="str">
        <f t="shared" si="45"/>
        <v>Lost</v>
      </c>
      <c r="V307" s="3">
        <f t="shared" si="46"/>
        <v>0</v>
      </c>
      <c r="W307" s="3">
        <f t="shared" si="47"/>
        <v>0</v>
      </c>
      <c r="X307" s="5">
        <f t="shared" si="48"/>
        <v>82</v>
      </c>
      <c r="Y307" s="5">
        <f>IF(U307="Open",Lookups!$B$2-B307,X307)</f>
        <v>82</v>
      </c>
      <c r="Z307" t="str">
        <f t="shared" si="49"/>
        <v>OK</v>
      </c>
      <c r="AA307" t="str">
        <f t="shared" si="50"/>
        <v>2026-04</v>
      </c>
      <c r="AB307" t="str">
        <f t="shared" si="51"/>
        <v>2026-07</v>
      </c>
      <c r="AC307" t="str">
        <f t="shared" si="52"/>
        <v>Q2-2026</v>
      </c>
      <c r="AD307" s="5">
        <f t="shared" si="53"/>
        <v>62</v>
      </c>
      <c r="AE307" t="str">
        <f t="shared" si="54"/>
        <v>Lost</v>
      </c>
    </row>
    <row r="308" spans="1:31">
      <c r="A308" t="s">
        <v>410</v>
      </c>
      <c r="B308" s="1">
        <v>46046</v>
      </c>
      <c r="C308" t="s">
        <v>69</v>
      </c>
      <c r="D308" t="s">
        <v>57</v>
      </c>
      <c r="E308" t="s">
        <v>88</v>
      </c>
      <c r="F308" t="s">
        <v>67</v>
      </c>
      <c r="G308" t="s">
        <v>99</v>
      </c>
      <c r="H308" t="s">
        <v>84</v>
      </c>
      <c r="I308" t="s">
        <v>48</v>
      </c>
      <c r="J308" s="1">
        <v>46126</v>
      </c>
      <c r="K308" s="1"/>
      <c r="L308" s="3">
        <v>160000</v>
      </c>
      <c r="M308" s="4">
        <v>0.03</v>
      </c>
      <c r="N308" s="4">
        <v>0.85</v>
      </c>
      <c r="P308">
        <v>5</v>
      </c>
      <c r="Q308" t="str">
        <f>IFERROR(VLOOKUP(E308,Lookups!$A$5:$B$24,2,FALSE),"Other")</f>
        <v>Other</v>
      </c>
      <c r="R308" t="str">
        <f>IFERROR(VLOOKUP(F308,Lookups!$D$5:$F$10,2,FALSE),"Unknown Product")</f>
        <v>Revenue Operations Suite</v>
      </c>
      <c r="S308" t="str">
        <f>IFERROR(VLOOKUP(F308,Lookups!$D$5:$F$10,3,FALSE),"Unknown")</f>
        <v>Revenue Ops</v>
      </c>
      <c r="T308" t="str">
        <f t="shared" si="44"/>
        <v>Enterprise</v>
      </c>
      <c r="U308" t="str">
        <f t="shared" si="45"/>
        <v>Open</v>
      </c>
      <c r="V308" s="3">
        <f t="shared" si="46"/>
        <v>0</v>
      </c>
      <c r="W308" s="3">
        <f t="shared" si="47"/>
        <v>136000</v>
      </c>
      <c r="X308" s="5" t="str">
        <f t="shared" si="48"/>
        <v/>
      </c>
      <c r="Y308" s="5">
        <f>IF(U308="Open",Lookups!$B$2-B308,X308)</f>
        <v>220</v>
      </c>
      <c r="Z308" t="str">
        <f t="shared" si="49"/>
        <v>STALE</v>
      </c>
      <c r="AA308" t="str">
        <f t="shared" si="50"/>
        <v>2026-01</v>
      </c>
      <c r="AB308" t="str">
        <f t="shared" si="51"/>
        <v/>
      </c>
      <c r="AC308" t="str">
        <f t="shared" si="52"/>
        <v>Q1-2026</v>
      </c>
      <c r="AD308" s="5">
        <f t="shared" si="53"/>
        <v>74</v>
      </c>
      <c r="AE308" t="str">
        <f t="shared" si="54"/>
        <v>Commit</v>
      </c>
    </row>
    <row r="309" spans="1:31">
      <c r="A309" t="s">
        <v>411</v>
      </c>
      <c r="B309" s="1">
        <v>46064</v>
      </c>
      <c r="C309" t="s">
        <v>148</v>
      </c>
      <c r="D309" t="s">
        <v>43</v>
      </c>
      <c r="E309" t="s">
        <v>83</v>
      </c>
      <c r="F309" t="s">
        <v>71</v>
      </c>
      <c r="G309" t="s">
        <v>46</v>
      </c>
      <c r="H309" t="s">
        <v>53</v>
      </c>
      <c r="I309" t="s">
        <v>61</v>
      </c>
      <c r="J309" s="1">
        <v>46100</v>
      </c>
      <c r="K309" s="1">
        <v>46100</v>
      </c>
      <c r="L309" s="3">
        <v>27500</v>
      </c>
      <c r="M309" s="4">
        <v>0</v>
      </c>
      <c r="N309" s="4">
        <v>0</v>
      </c>
      <c r="O309" t="s">
        <v>79</v>
      </c>
      <c r="P309">
        <v>2</v>
      </c>
      <c r="Q309" t="str">
        <f>IFERROR(VLOOKUP(E309,Lookups!$A$5:$B$24,2,FALSE),"Other")</f>
        <v>Organic Search</v>
      </c>
      <c r="R309" t="str">
        <f>IFERROR(VLOOKUP(F309,Lookups!$D$5:$F$10,2,FALSE),"Unknown Product")</f>
        <v>Marketing Automation</v>
      </c>
      <c r="S309" t="str">
        <f>IFERROR(VLOOKUP(F309,Lookups!$D$5:$F$10,3,FALSE),"Unknown")</f>
        <v>Marketing</v>
      </c>
      <c r="T309" t="str">
        <f t="shared" si="44"/>
        <v>Mid-Market</v>
      </c>
      <c r="U309" t="str">
        <f t="shared" si="45"/>
        <v>Lost</v>
      </c>
      <c r="V309" s="3">
        <f t="shared" si="46"/>
        <v>0</v>
      </c>
      <c r="W309" s="3">
        <f t="shared" si="47"/>
        <v>0</v>
      </c>
      <c r="X309" s="5">
        <f t="shared" si="48"/>
        <v>36</v>
      </c>
      <c r="Y309" s="5">
        <f>IF(U309="Open",Lookups!$B$2-B309,X309)</f>
        <v>36</v>
      </c>
      <c r="Z309" t="str">
        <f t="shared" si="49"/>
        <v>OK</v>
      </c>
      <c r="AA309" t="str">
        <f t="shared" si="50"/>
        <v>2026-02</v>
      </c>
      <c r="AB309" t="str">
        <f t="shared" si="51"/>
        <v>2026-03</v>
      </c>
      <c r="AC309" t="str">
        <f t="shared" si="52"/>
        <v>Q1-2026</v>
      </c>
      <c r="AD309" s="5">
        <f t="shared" si="53"/>
        <v>65</v>
      </c>
      <c r="AE309" t="str">
        <f t="shared" si="54"/>
        <v>Lost</v>
      </c>
    </row>
    <row r="310" spans="1:31">
      <c r="A310" t="s">
        <v>412</v>
      </c>
      <c r="B310" s="1">
        <v>46160</v>
      </c>
      <c r="C310" t="s">
        <v>56</v>
      </c>
      <c r="D310" t="s">
        <v>57</v>
      </c>
      <c r="E310" t="s">
        <v>115</v>
      </c>
      <c r="F310" t="s">
        <v>45</v>
      </c>
      <c r="G310" t="s">
        <v>76</v>
      </c>
      <c r="H310" t="s">
        <v>84</v>
      </c>
      <c r="I310" t="s">
        <v>54</v>
      </c>
      <c r="J310" s="1">
        <v>46239</v>
      </c>
      <c r="K310" s="1"/>
      <c r="L310" s="3">
        <v>90000</v>
      </c>
      <c r="M310" s="4">
        <v>0.05</v>
      </c>
      <c r="N310" s="4">
        <v>0.65</v>
      </c>
      <c r="P310">
        <v>4</v>
      </c>
      <c r="Q310" t="str">
        <f>IFERROR(VLOOKUP(E310,Lookups!$A$5:$B$24,2,FALSE),"Other")</f>
        <v>Outbound</v>
      </c>
      <c r="R310" t="str">
        <f>IFERROR(VLOOKUP(F310,Lookups!$D$5:$F$10,2,FALSE),"Unknown Product")</f>
        <v>Service Cloud</v>
      </c>
      <c r="S310" t="str">
        <f>IFERROR(VLOOKUP(F310,Lookups!$D$5:$F$10,3,FALSE),"Unknown")</f>
        <v>Customer Service</v>
      </c>
      <c r="T310" t="str">
        <f t="shared" si="44"/>
        <v>Enterprise</v>
      </c>
      <c r="U310" t="str">
        <f t="shared" si="45"/>
        <v>Open</v>
      </c>
      <c r="V310" s="3">
        <f t="shared" si="46"/>
        <v>0</v>
      </c>
      <c r="W310" s="3">
        <f t="shared" si="47"/>
        <v>58500</v>
      </c>
      <c r="X310" s="5" t="str">
        <f t="shared" si="48"/>
        <v/>
      </c>
      <c r="Y310" s="5">
        <f>IF(U310="Open",Lookups!$B$2-B310,X310)</f>
        <v>106</v>
      </c>
      <c r="Z310" t="str">
        <f t="shared" si="49"/>
        <v>STALE</v>
      </c>
      <c r="AA310" t="str">
        <f t="shared" si="50"/>
        <v>2026-05</v>
      </c>
      <c r="AB310" t="str">
        <f t="shared" si="51"/>
        <v/>
      </c>
      <c r="AC310" t="str">
        <f t="shared" si="52"/>
        <v>Q2-2026</v>
      </c>
      <c r="AD310" s="5">
        <f t="shared" si="53"/>
        <v>74</v>
      </c>
      <c r="AE310" t="str">
        <f t="shared" si="54"/>
        <v>Best Case</v>
      </c>
    </row>
    <row r="311" spans="1:31">
      <c r="A311" t="s">
        <v>413</v>
      </c>
      <c r="B311" s="1">
        <v>45899</v>
      </c>
      <c r="C311" t="s">
        <v>50</v>
      </c>
      <c r="D311" t="s">
        <v>43</v>
      </c>
      <c r="E311" t="s">
        <v>44</v>
      </c>
      <c r="F311" t="s">
        <v>59</v>
      </c>
      <c r="G311" t="s">
        <v>99</v>
      </c>
      <c r="H311" t="s">
        <v>47</v>
      </c>
      <c r="I311" t="s">
        <v>48</v>
      </c>
      <c r="J311" s="1">
        <v>46038</v>
      </c>
      <c r="K311" s="1"/>
      <c r="L311" s="3">
        <v>24200</v>
      </c>
      <c r="M311" s="4">
        <v>0</v>
      </c>
      <c r="N311" s="4">
        <v>0.85</v>
      </c>
      <c r="P311">
        <v>5</v>
      </c>
      <c r="Q311" t="str">
        <f>IFERROR(VLOOKUP(E311,Lookups!$A$5:$B$24,2,FALSE),"Other")</f>
        <v>Organic Search</v>
      </c>
      <c r="R311" t="str">
        <f>IFERROR(VLOOKUP(F311,Lookups!$D$5:$F$10,2,FALSE),"Unknown Product")</f>
        <v>NexaCRM Pro</v>
      </c>
      <c r="S311" t="str">
        <f>IFERROR(VLOOKUP(F311,Lookups!$D$5:$F$10,3,FALSE),"Unknown")</f>
        <v>CRM</v>
      </c>
      <c r="T311" t="str">
        <f t="shared" si="44"/>
        <v>Mid-Market</v>
      </c>
      <c r="U311" t="str">
        <f t="shared" si="45"/>
        <v>Open</v>
      </c>
      <c r="V311" s="3">
        <f t="shared" si="46"/>
        <v>0</v>
      </c>
      <c r="W311" s="3">
        <f t="shared" si="47"/>
        <v>20570</v>
      </c>
      <c r="X311" s="5" t="str">
        <f t="shared" si="48"/>
        <v/>
      </c>
      <c r="Y311" s="5">
        <f>IF(U311="Open",Lookups!$B$2-B311,X311)</f>
        <v>367</v>
      </c>
      <c r="Z311" t="str">
        <f t="shared" si="49"/>
        <v>STALE</v>
      </c>
      <c r="AA311" t="str">
        <f t="shared" si="50"/>
        <v>2025-08</v>
      </c>
      <c r="AB311" t="str">
        <f t="shared" si="51"/>
        <v/>
      </c>
      <c r="AC311" t="str">
        <f t="shared" si="52"/>
        <v>Q3-2025</v>
      </c>
      <c r="AD311" s="5">
        <f t="shared" si="53"/>
        <v>57</v>
      </c>
      <c r="AE311" t="str">
        <f t="shared" si="54"/>
        <v>Commit</v>
      </c>
    </row>
    <row r="312" spans="1:31">
      <c r="A312" t="s">
        <v>414</v>
      </c>
      <c r="B312" s="1">
        <v>46109</v>
      </c>
      <c r="C312" t="s">
        <v>64</v>
      </c>
      <c r="D312" t="s">
        <v>57</v>
      </c>
      <c r="E312" t="s">
        <v>83</v>
      </c>
      <c r="F312" t="s">
        <v>52</v>
      </c>
      <c r="G312" t="s">
        <v>72</v>
      </c>
      <c r="H312" t="s">
        <v>53</v>
      </c>
      <c r="I312" t="s">
        <v>61</v>
      </c>
      <c r="J312" s="1">
        <v>46154</v>
      </c>
      <c r="K312" s="1">
        <v>46154</v>
      </c>
      <c r="L312" s="3">
        <v>15900</v>
      </c>
      <c r="M312" s="4">
        <v>0</v>
      </c>
      <c r="N312" s="4">
        <v>0</v>
      </c>
      <c r="O312" t="s">
        <v>62</v>
      </c>
      <c r="P312">
        <v>2</v>
      </c>
      <c r="Q312" t="str">
        <f>IFERROR(VLOOKUP(E312,Lookups!$A$5:$B$24,2,FALSE),"Other")</f>
        <v>Organic Search</v>
      </c>
      <c r="R312" t="str">
        <f>IFERROR(VLOOKUP(F312,Lookups!$D$5:$F$10,2,FALSE),"Unknown Product")</f>
        <v>NexaCRM Core</v>
      </c>
      <c r="S312" t="str">
        <f>IFERROR(VLOOKUP(F312,Lookups!$D$5:$F$10,3,FALSE),"Unknown")</f>
        <v>CRM</v>
      </c>
      <c r="T312" t="str">
        <f t="shared" si="44"/>
        <v>SMB</v>
      </c>
      <c r="U312" t="str">
        <f t="shared" si="45"/>
        <v>Lost</v>
      </c>
      <c r="V312" s="3">
        <f t="shared" si="46"/>
        <v>0</v>
      </c>
      <c r="W312" s="3">
        <f t="shared" si="47"/>
        <v>0</v>
      </c>
      <c r="X312" s="5">
        <f t="shared" si="48"/>
        <v>45</v>
      </c>
      <c r="Y312" s="5">
        <f>IF(U312="Open",Lookups!$B$2-B312,X312)</f>
        <v>45</v>
      </c>
      <c r="Z312" t="str">
        <f t="shared" si="49"/>
        <v>OK</v>
      </c>
      <c r="AA312" t="str">
        <f t="shared" si="50"/>
        <v>2026-03</v>
      </c>
      <c r="AB312" t="str">
        <f t="shared" si="51"/>
        <v>2026-05</v>
      </c>
      <c r="AC312" t="str">
        <f t="shared" si="52"/>
        <v>Q1-2026</v>
      </c>
      <c r="AD312" s="5">
        <f t="shared" si="53"/>
        <v>57</v>
      </c>
      <c r="AE312" t="str">
        <f t="shared" si="54"/>
        <v>Lost</v>
      </c>
    </row>
    <row r="313" spans="1:31">
      <c r="A313" t="s">
        <v>415</v>
      </c>
      <c r="B313" s="1">
        <v>45661</v>
      </c>
      <c r="C313" t="s">
        <v>148</v>
      </c>
      <c r="D313" t="s">
        <v>43</v>
      </c>
      <c r="E313" t="s">
        <v>75</v>
      </c>
      <c r="F313" t="s">
        <v>52</v>
      </c>
      <c r="G313" t="s">
        <v>94</v>
      </c>
      <c r="H313" t="s">
        <v>53</v>
      </c>
      <c r="I313" t="s">
        <v>61</v>
      </c>
      <c r="J313" s="1">
        <v>45692</v>
      </c>
      <c r="K313" s="1">
        <v>45692</v>
      </c>
      <c r="L313" s="3">
        <v>17400</v>
      </c>
      <c r="M313" s="4">
        <v>0</v>
      </c>
      <c r="N313" s="4">
        <v>0</v>
      </c>
      <c r="O313" t="s">
        <v>110</v>
      </c>
      <c r="P313">
        <v>3</v>
      </c>
      <c r="Q313" t="str">
        <f>IFERROR(VLOOKUP(E313,Lookups!$A$5:$B$24,2,FALSE),"Other")</f>
        <v>Webinar</v>
      </c>
      <c r="R313" t="str">
        <f>IFERROR(VLOOKUP(F313,Lookups!$D$5:$F$10,2,FALSE),"Unknown Product")</f>
        <v>NexaCRM Core</v>
      </c>
      <c r="S313" t="str">
        <f>IFERROR(VLOOKUP(F313,Lookups!$D$5:$F$10,3,FALSE),"Unknown")</f>
        <v>CRM</v>
      </c>
      <c r="T313" t="str">
        <f t="shared" si="44"/>
        <v>SMB</v>
      </c>
      <c r="U313" t="str">
        <f t="shared" si="45"/>
        <v>Lost</v>
      </c>
      <c r="V313" s="3">
        <f t="shared" si="46"/>
        <v>0</v>
      </c>
      <c r="W313" s="3">
        <f t="shared" si="47"/>
        <v>0</v>
      </c>
      <c r="X313" s="5">
        <f t="shared" si="48"/>
        <v>31</v>
      </c>
      <c r="Y313" s="5">
        <f>IF(U313="Open",Lookups!$B$2-B313,X313)</f>
        <v>31</v>
      </c>
      <c r="Z313" t="str">
        <f t="shared" si="49"/>
        <v>OK</v>
      </c>
      <c r="AA313" t="str">
        <f t="shared" si="50"/>
        <v>2025-01</v>
      </c>
      <c r="AB313" t="str">
        <f t="shared" si="51"/>
        <v>2025-02</v>
      </c>
      <c r="AC313" t="str">
        <f t="shared" si="52"/>
        <v>Q1-2025</v>
      </c>
      <c r="AD313" s="5">
        <f t="shared" si="53"/>
        <v>51</v>
      </c>
      <c r="AE313" t="str">
        <f t="shared" si="54"/>
        <v>Lost</v>
      </c>
    </row>
    <row r="314" spans="1:31">
      <c r="A314" t="s">
        <v>416</v>
      </c>
      <c r="B314" s="1">
        <v>45755</v>
      </c>
      <c r="C314" t="s">
        <v>148</v>
      </c>
      <c r="D314" t="s">
        <v>43</v>
      </c>
      <c r="E314" t="s">
        <v>127</v>
      </c>
      <c r="F314" t="s">
        <v>45</v>
      </c>
      <c r="G314" t="s">
        <v>112</v>
      </c>
      <c r="H314" t="s">
        <v>47</v>
      </c>
      <c r="I314" t="s">
        <v>61</v>
      </c>
      <c r="J314" s="1">
        <v>45787</v>
      </c>
      <c r="K314" s="1">
        <v>45787</v>
      </c>
      <c r="L314" s="3">
        <v>14700</v>
      </c>
      <c r="M314" s="4">
        <v>0</v>
      </c>
      <c r="N314" s="4">
        <v>0</v>
      </c>
      <c r="O314" t="s">
        <v>79</v>
      </c>
      <c r="P314">
        <v>3</v>
      </c>
      <c r="Q314" t="str">
        <f>IFERROR(VLOOKUP(E314,Lookups!$A$5:$B$24,2,FALSE),"Other")</f>
        <v>Paid Search</v>
      </c>
      <c r="R314" t="str">
        <f>IFERROR(VLOOKUP(F314,Lookups!$D$5:$F$10,2,FALSE),"Unknown Product")</f>
        <v>Service Cloud</v>
      </c>
      <c r="S314" t="str">
        <f>IFERROR(VLOOKUP(F314,Lookups!$D$5:$F$10,3,FALSE),"Unknown")</f>
        <v>Customer Service</v>
      </c>
      <c r="T314" t="str">
        <f t="shared" si="44"/>
        <v>SMB</v>
      </c>
      <c r="U314" t="str">
        <f t="shared" si="45"/>
        <v>Lost</v>
      </c>
      <c r="V314" s="3">
        <f t="shared" si="46"/>
        <v>0</v>
      </c>
      <c r="W314" s="3">
        <f t="shared" si="47"/>
        <v>0</v>
      </c>
      <c r="X314" s="5">
        <f t="shared" si="48"/>
        <v>32</v>
      </c>
      <c r="Y314" s="5">
        <f>IF(U314="Open",Lookups!$B$2-B314,X314)</f>
        <v>32</v>
      </c>
      <c r="Z314" t="str">
        <f t="shared" si="49"/>
        <v>OK</v>
      </c>
      <c r="AA314" t="str">
        <f t="shared" si="50"/>
        <v>2025-04</v>
      </c>
      <c r="AB314" t="str">
        <f t="shared" si="51"/>
        <v>2025-05</v>
      </c>
      <c r="AC314" t="str">
        <f t="shared" si="52"/>
        <v>Q2-2025</v>
      </c>
      <c r="AD314" s="5">
        <f t="shared" si="53"/>
        <v>48</v>
      </c>
      <c r="AE314" t="str">
        <f t="shared" si="54"/>
        <v>Lost</v>
      </c>
    </row>
    <row r="315" spans="1:31">
      <c r="A315" t="s">
        <v>417</v>
      </c>
      <c r="B315" s="1">
        <v>45886</v>
      </c>
      <c r="C315" t="s">
        <v>64</v>
      </c>
      <c r="D315" t="s">
        <v>57</v>
      </c>
      <c r="E315" t="s">
        <v>123</v>
      </c>
      <c r="F315" t="s">
        <v>133</v>
      </c>
      <c r="G315" t="s">
        <v>99</v>
      </c>
      <c r="H315" t="s">
        <v>47</v>
      </c>
      <c r="I315" t="s">
        <v>61</v>
      </c>
      <c r="J315" s="1">
        <v>45922</v>
      </c>
      <c r="K315" s="1">
        <v>45922</v>
      </c>
      <c r="L315" s="3">
        <v>19000</v>
      </c>
      <c r="M315" s="4">
        <v>0</v>
      </c>
      <c r="N315" s="4">
        <v>0</v>
      </c>
      <c r="O315" t="s">
        <v>102</v>
      </c>
      <c r="P315">
        <v>3</v>
      </c>
      <c r="Q315" t="str">
        <f>IFERROR(VLOOKUP(E315,Lookups!$A$5:$B$24,2,FALSE),"Other")</f>
        <v>Email</v>
      </c>
      <c r="R315" t="str">
        <f>IFERROR(VLOOKUP(F315,Lookups!$D$5:$F$10,2,FALSE),"Unknown Product")</f>
        <v>Analytics Plus</v>
      </c>
      <c r="S315" t="str">
        <f>IFERROR(VLOOKUP(F315,Lookups!$D$5:$F$10,3,FALSE),"Unknown")</f>
        <v>Analytics</v>
      </c>
      <c r="T315" t="str">
        <f t="shared" si="44"/>
        <v>SMB</v>
      </c>
      <c r="U315" t="str">
        <f t="shared" si="45"/>
        <v>Lost</v>
      </c>
      <c r="V315" s="3">
        <f t="shared" si="46"/>
        <v>0</v>
      </c>
      <c r="W315" s="3">
        <f t="shared" si="47"/>
        <v>0</v>
      </c>
      <c r="X315" s="5">
        <f t="shared" si="48"/>
        <v>36</v>
      </c>
      <c r="Y315" s="5">
        <f>IF(U315="Open",Lookups!$B$2-B315,X315)</f>
        <v>36</v>
      </c>
      <c r="Z315" t="str">
        <f t="shared" si="49"/>
        <v>OK</v>
      </c>
      <c r="AA315" t="str">
        <f t="shared" si="50"/>
        <v>2025-08</v>
      </c>
      <c r="AB315" t="str">
        <f t="shared" si="51"/>
        <v>2025-09</v>
      </c>
      <c r="AC315" t="str">
        <f t="shared" si="52"/>
        <v>Q3-2025</v>
      </c>
      <c r="AD315" s="5">
        <f t="shared" si="53"/>
        <v>47</v>
      </c>
      <c r="AE315" t="str">
        <f t="shared" si="54"/>
        <v>Lost</v>
      </c>
    </row>
    <row r="316" spans="1:31">
      <c r="A316" t="s">
        <v>418</v>
      </c>
      <c r="B316" s="1">
        <v>45847</v>
      </c>
      <c r="C316" t="s">
        <v>69</v>
      </c>
      <c r="D316" t="s">
        <v>57</v>
      </c>
      <c r="E316" t="s">
        <v>160</v>
      </c>
      <c r="F316" t="s">
        <v>71</v>
      </c>
      <c r="G316" t="s">
        <v>99</v>
      </c>
      <c r="H316" t="s">
        <v>47</v>
      </c>
      <c r="I316" t="s">
        <v>77</v>
      </c>
      <c r="J316" s="1">
        <v>45900</v>
      </c>
      <c r="K316" s="1">
        <v>45900</v>
      </c>
      <c r="L316" s="3">
        <v>9700</v>
      </c>
      <c r="M316" s="4">
        <v>0.12</v>
      </c>
      <c r="N316" s="4">
        <v>1</v>
      </c>
      <c r="P316">
        <v>6</v>
      </c>
      <c r="Q316" t="str">
        <f>IFERROR(VLOOKUP(E316,Lookups!$A$5:$B$24,2,FALSE),"Other")</f>
        <v>Email</v>
      </c>
      <c r="R316" t="str">
        <f>IFERROR(VLOOKUP(F316,Lookups!$D$5:$F$10,2,FALSE),"Unknown Product")</f>
        <v>Marketing Automation</v>
      </c>
      <c r="S316" t="str">
        <f>IFERROR(VLOOKUP(F316,Lookups!$D$5:$F$10,3,FALSE),"Unknown")</f>
        <v>Marketing</v>
      </c>
      <c r="T316" t="str">
        <f t="shared" si="44"/>
        <v>SMB</v>
      </c>
      <c r="U316" t="str">
        <f t="shared" si="45"/>
        <v>Won</v>
      </c>
      <c r="V316" s="3">
        <f t="shared" si="46"/>
        <v>8536</v>
      </c>
      <c r="W316" s="3">
        <f t="shared" si="47"/>
        <v>0</v>
      </c>
      <c r="X316" s="5">
        <f t="shared" si="48"/>
        <v>53</v>
      </c>
      <c r="Y316" s="5">
        <f>IF(U316="Open",Lookups!$B$2-B316,X316)</f>
        <v>53</v>
      </c>
      <c r="Z316" t="str">
        <f t="shared" si="49"/>
        <v>OK</v>
      </c>
      <c r="AA316" t="str">
        <f t="shared" si="50"/>
        <v>2025-07</v>
      </c>
      <c r="AB316" t="str">
        <f t="shared" si="51"/>
        <v>2025-08</v>
      </c>
      <c r="AC316" t="str">
        <f t="shared" si="52"/>
        <v>Q3-2025</v>
      </c>
      <c r="AD316" s="5">
        <f t="shared" si="53"/>
        <v>47</v>
      </c>
      <c r="AE316" t="str">
        <f t="shared" si="54"/>
        <v>Won</v>
      </c>
    </row>
    <row r="317" spans="1:31">
      <c r="A317" t="s">
        <v>419</v>
      </c>
      <c r="B317" s="1">
        <v>45944</v>
      </c>
      <c r="C317" t="s">
        <v>86</v>
      </c>
      <c r="D317" t="s">
        <v>87</v>
      </c>
      <c r="E317" t="s">
        <v>119</v>
      </c>
      <c r="F317" t="s">
        <v>59</v>
      </c>
      <c r="G317" t="s">
        <v>46</v>
      </c>
      <c r="H317" t="s">
        <v>47</v>
      </c>
      <c r="I317" t="s">
        <v>77</v>
      </c>
      <c r="J317" s="1">
        <v>45962</v>
      </c>
      <c r="K317" s="1">
        <v>45962</v>
      </c>
      <c r="L317" s="3">
        <v>21100</v>
      </c>
      <c r="M317" s="4">
        <v>0.08</v>
      </c>
      <c r="N317" s="4">
        <v>1</v>
      </c>
      <c r="P317">
        <v>6</v>
      </c>
      <c r="Q317" t="str">
        <f>IFERROR(VLOOKUP(E317,Lookups!$A$5:$B$24,2,FALSE),"Other")</f>
        <v>Referral</v>
      </c>
      <c r="R317" t="str">
        <f>IFERROR(VLOOKUP(F317,Lookups!$D$5:$F$10,2,FALSE),"Unknown Product")</f>
        <v>NexaCRM Pro</v>
      </c>
      <c r="S317" t="str">
        <f>IFERROR(VLOOKUP(F317,Lookups!$D$5:$F$10,3,FALSE),"Unknown")</f>
        <v>CRM</v>
      </c>
      <c r="T317" t="str">
        <f t="shared" si="44"/>
        <v>Mid-Market</v>
      </c>
      <c r="U317" t="str">
        <f t="shared" si="45"/>
        <v>Won</v>
      </c>
      <c r="V317" s="3">
        <f t="shared" si="46"/>
        <v>19412</v>
      </c>
      <c r="W317" s="3">
        <f t="shared" si="47"/>
        <v>0</v>
      </c>
      <c r="X317" s="5">
        <f t="shared" si="48"/>
        <v>18</v>
      </c>
      <c r="Y317" s="5">
        <f>IF(U317="Open",Lookups!$B$2-B317,X317)</f>
        <v>18</v>
      </c>
      <c r="Z317" t="str">
        <f t="shared" si="49"/>
        <v>OK</v>
      </c>
      <c r="AA317" t="str">
        <f t="shared" si="50"/>
        <v>2025-10</v>
      </c>
      <c r="AB317" t="str">
        <f t="shared" si="51"/>
        <v>2025-11</v>
      </c>
      <c r="AC317" t="str">
        <f t="shared" si="52"/>
        <v>Q4-2025</v>
      </c>
      <c r="AD317" s="5">
        <f t="shared" si="53"/>
        <v>62</v>
      </c>
      <c r="AE317" t="str">
        <f t="shared" si="54"/>
        <v>Won</v>
      </c>
    </row>
    <row r="318" spans="1:31">
      <c r="A318" t="s">
        <v>420</v>
      </c>
      <c r="B318" s="1">
        <v>45853</v>
      </c>
      <c r="C318" t="s">
        <v>69</v>
      </c>
      <c r="D318" t="s">
        <v>57</v>
      </c>
      <c r="E318" t="s">
        <v>83</v>
      </c>
      <c r="F318" t="s">
        <v>133</v>
      </c>
      <c r="G318" t="s">
        <v>46</v>
      </c>
      <c r="H318" t="s">
        <v>47</v>
      </c>
      <c r="I318" t="s">
        <v>61</v>
      </c>
      <c r="J318" s="1">
        <v>45866</v>
      </c>
      <c r="K318" s="1">
        <v>45866</v>
      </c>
      <c r="L318" s="3">
        <v>19900</v>
      </c>
      <c r="M318" s="4">
        <v>0</v>
      </c>
      <c r="N318" s="4">
        <v>0</v>
      </c>
      <c r="O318" t="s">
        <v>102</v>
      </c>
      <c r="P318">
        <v>5</v>
      </c>
      <c r="Q318" t="str">
        <f>IFERROR(VLOOKUP(E318,Lookups!$A$5:$B$24,2,FALSE),"Other")</f>
        <v>Organic Search</v>
      </c>
      <c r="R318" t="str">
        <f>IFERROR(VLOOKUP(F318,Lookups!$D$5:$F$10,2,FALSE),"Unknown Product")</f>
        <v>Analytics Plus</v>
      </c>
      <c r="S318" t="str">
        <f>IFERROR(VLOOKUP(F318,Lookups!$D$5:$F$10,3,FALSE),"Unknown")</f>
        <v>Analytics</v>
      </c>
      <c r="T318" t="str">
        <f t="shared" si="44"/>
        <v>SMB</v>
      </c>
      <c r="U318" t="str">
        <f t="shared" si="45"/>
        <v>Lost</v>
      </c>
      <c r="V318" s="3">
        <f t="shared" si="46"/>
        <v>0</v>
      </c>
      <c r="W318" s="3">
        <f t="shared" si="47"/>
        <v>0</v>
      </c>
      <c r="X318" s="5">
        <f t="shared" si="48"/>
        <v>13</v>
      </c>
      <c r="Y318" s="5">
        <f>IF(U318="Open",Lookups!$B$2-B318,X318)</f>
        <v>13</v>
      </c>
      <c r="Z318" t="str">
        <f t="shared" si="49"/>
        <v>OK</v>
      </c>
      <c r="AA318" t="str">
        <f t="shared" si="50"/>
        <v>2025-07</v>
      </c>
      <c r="AB318" t="str">
        <f t="shared" si="51"/>
        <v>2025-07</v>
      </c>
      <c r="AC318" t="str">
        <f t="shared" si="52"/>
        <v>Q3-2025</v>
      </c>
      <c r="AD318" s="5">
        <f t="shared" si="53"/>
        <v>49</v>
      </c>
      <c r="AE318" t="str">
        <f t="shared" si="54"/>
        <v>Lost</v>
      </c>
    </row>
    <row r="319" spans="1:31">
      <c r="A319" t="s">
        <v>421</v>
      </c>
      <c r="B319" s="1">
        <v>45915</v>
      </c>
      <c r="C319" t="s">
        <v>148</v>
      </c>
      <c r="D319" t="s">
        <v>43</v>
      </c>
      <c r="E319" t="s">
        <v>83</v>
      </c>
      <c r="F319" t="s">
        <v>52</v>
      </c>
      <c r="G319" t="s">
        <v>112</v>
      </c>
      <c r="H319" t="s">
        <v>47</v>
      </c>
      <c r="I319" t="s">
        <v>61</v>
      </c>
      <c r="J319" s="1">
        <v>45951</v>
      </c>
      <c r="K319" s="1">
        <v>45951</v>
      </c>
      <c r="L319" s="3">
        <v>10200</v>
      </c>
      <c r="M319" s="4">
        <v>0</v>
      </c>
      <c r="N319" s="4">
        <v>0</v>
      </c>
      <c r="O319" t="s">
        <v>79</v>
      </c>
      <c r="P319">
        <v>3</v>
      </c>
      <c r="Q319" t="str">
        <f>IFERROR(VLOOKUP(E319,Lookups!$A$5:$B$24,2,FALSE),"Other")</f>
        <v>Organic Search</v>
      </c>
      <c r="R319" t="str">
        <f>IFERROR(VLOOKUP(F319,Lookups!$D$5:$F$10,2,FALSE),"Unknown Product")</f>
        <v>NexaCRM Core</v>
      </c>
      <c r="S319" t="str">
        <f>IFERROR(VLOOKUP(F319,Lookups!$D$5:$F$10,3,FALSE),"Unknown")</f>
        <v>CRM</v>
      </c>
      <c r="T319" t="str">
        <f t="shared" si="44"/>
        <v>SMB</v>
      </c>
      <c r="U319" t="str">
        <f t="shared" si="45"/>
        <v>Lost</v>
      </c>
      <c r="V319" s="3">
        <f t="shared" si="46"/>
        <v>0</v>
      </c>
      <c r="W319" s="3">
        <f t="shared" si="47"/>
        <v>0</v>
      </c>
      <c r="X319" s="5">
        <f t="shared" si="48"/>
        <v>36</v>
      </c>
      <c r="Y319" s="5">
        <f>IF(U319="Open",Lookups!$B$2-B319,X319)</f>
        <v>36</v>
      </c>
      <c r="Z319" t="str">
        <f t="shared" si="49"/>
        <v>OK</v>
      </c>
      <c r="AA319" t="str">
        <f t="shared" si="50"/>
        <v>2025-09</v>
      </c>
      <c r="AB319" t="str">
        <f t="shared" si="51"/>
        <v>2025-10</v>
      </c>
      <c r="AC319" t="str">
        <f t="shared" si="52"/>
        <v>Q3-2025</v>
      </c>
      <c r="AD319" s="5">
        <f t="shared" si="53"/>
        <v>54</v>
      </c>
      <c r="AE319" t="str">
        <f t="shared" si="54"/>
        <v>Lost</v>
      </c>
    </row>
    <row r="320" spans="1:31">
      <c r="A320" t="s">
        <v>422</v>
      </c>
      <c r="B320" s="1">
        <v>45904</v>
      </c>
      <c r="C320" t="s">
        <v>50</v>
      </c>
      <c r="D320" t="s">
        <v>43</v>
      </c>
      <c r="E320" t="s">
        <v>138</v>
      </c>
      <c r="F320" t="s">
        <v>71</v>
      </c>
      <c r="G320" t="s">
        <v>112</v>
      </c>
      <c r="H320" t="s">
        <v>84</v>
      </c>
      <c r="I320" t="s">
        <v>61</v>
      </c>
      <c r="J320" s="1">
        <v>45961</v>
      </c>
      <c r="K320" s="1">
        <v>45961</v>
      </c>
      <c r="L320" s="3">
        <v>66100</v>
      </c>
      <c r="M320" s="4">
        <v>0</v>
      </c>
      <c r="N320" s="4">
        <v>0</v>
      </c>
      <c r="O320" t="s">
        <v>79</v>
      </c>
      <c r="P320">
        <v>5</v>
      </c>
      <c r="Q320" t="str">
        <f>IFERROR(VLOOKUP(E320,Lookups!$A$5:$B$24,2,FALSE),"Other")</f>
        <v>Organic Search</v>
      </c>
      <c r="R320" t="str">
        <f>IFERROR(VLOOKUP(F320,Lookups!$D$5:$F$10,2,FALSE),"Unknown Product")</f>
        <v>Marketing Automation</v>
      </c>
      <c r="S320" t="str">
        <f>IFERROR(VLOOKUP(F320,Lookups!$D$5:$F$10,3,FALSE),"Unknown")</f>
        <v>Marketing</v>
      </c>
      <c r="T320" t="str">
        <f t="shared" si="44"/>
        <v>Enterprise</v>
      </c>
      <c r="U320" t="str">
        <f t="shared" si="45"/>
        <v>Lost</v>
      </c>
      <c r="V320" s="3">
        <f t="shared" si="46"/>
        <v>0</v>
      </c>
      <c r="W320" s="3">
        <f t="shared" si="47"/>
        <v>0</v>
      </c>
      <c r="X320" s="5">
        <f t="shared" si="48"/>
        <v>57</v>
      </c>
      <c r="Y320" s="5">
        <f>IF(U320="Open",Lookups!$B$2-B320,X320)</f>
        <v>57</v>
      </c>
      <c r="Z320" t="str">
        <f t="shared" si="49"/>
        <v>OK</v>
      </c>
      <c r="AA320" t="str">
        <f t="shared" si="50"/>
        <v>2025-09</v>
      </c>
      <c r="AB320" t="str">
        <f t="shared" si="51"/>
        <v>2025-10</v>
      </c>
      <c r="AC320" t="str">
        <f t="shared" si="52"/>
        <v>Q3-2025</v>
      </c>
      <c r="AD320" s="5">
        <f t="shared" si="53"/>
        <v>85</v>
      </c>
      <c r="AE320" t="str">
        <f t="shared" si="54"/>
        <v>Lost</v>
      </c>
    </row>
    <row r="321" spans="1:31">
      <c r="A321" t="s">
        <v>423</v>
      </c>
      <c r="B321" s="1">
        <v>46228</v>
      </c>
      <c r="C321" t="s">
        <v>56</v>
      </c>
      <c r="D321" t="s">
        <v>57</v>
      </c>
      <c r="E321" t="s">
        <v>127</v>
      </c>
      <c r="F321" t="s">
        <v>133</v>
      </c>
      <c r="G321" t="s">
        <v>46</v>
      </c>
      <c r="H321" t="s">
        <v>47</v>
      </c>
      <c r="I321" t="s">
        <v>187</v>
      </c>
      <c r="J321" s="1">
        <v>46251</v>
      </c>
      <c r="K321" s="1"/>
      <c r="L321" s="3">
        <v>28700</v>
      </c>
      <c r="M321" s="4">
        <v>0.03</v>
      </c>
      <c r="N321" s="4">
        <v>0.05</v>
      </c>
      <c r="P321">
        <v>1</v>
      </c>
      <c r="Q321" t="str">
        <f>IFERROR(VLOOKUP(E321,Lookups!$A$5:$B$24,2,FALSE),"Other")</f>
        <v>Paid Search</v>
      </c>
      <c r="R321" t="str">
        <f>IFERROR(VLOOKUP(F321,Lookups!$D$5:$F$10,2,FALSE),"Unknown Product")</f>
        <v>Analytics Plus</v>
      </c>
      <c r="S321" t="str">
        <f>IFERROR(VLOOKUP(F321,Lookups!$D$5:$F$10,3,FALSE),"Unknown")</f>
        <v>Analytics</v>
      </c>
      <c r="T321" t="str">
        <f t="shared" si="44"/>
        <v>Mid-Market</v>
      </c>
      <c r="U321" t="str">
        <f t="shared" si="45"/>
        <v>Open</v>
      </c>
      <c r="V321" s="3">
        <f t="shared" si="46"/>
        <v>0</v>
      </c>
      <c r="W321" s="3">
        <f t="shared" si="47"/>
        <v>1435</v>
      </c>
      <c r="X321" s="5" t="str">
        <f t="shared" si="48"/>
        <v/>
      </c>
      <c r="Y321" s="5">
        <f>IF(U321="Open",Lookups!$B$2-B321,X321)</f>
        <v>38</v>
      </c>
      <c r="Z321" t="str">
        <f t="shared" si="49"/>
        <v>STALE</v>
      </c>
      <c r="AA321" t="str">
        <f t="shared" si="50"/>
        <v>2026-07</v>
      </c>
      <c r="AB321" t="str">
        <f t="shared" si="51"/>
        <v/>
      </c>
      <c r="AC321" t="str">
        <f t="shared" si="52"/>
        <v>Q3-2026</v>
      </c>
      <c r="AD321" s="5">
        <f t="shared" si="53"/>
        <v>51</v>
      </c>
      <c r="AE321" t="str">
        <f t="shared" si="54"/>
        <v>Pipeline</v>
      </c>
    </row>
    <row r="322" spans="1:31">
      <c r="A322" t="s">
        <v>424</v>
      </c>
      <c r="B322" s="1">
        <v>46080</v>
      </c>
      <c r="C322" t="s">
        <v>56</v>
      </c>
      <c r="D322" t="s">
        <v>57</v>
      </c>
      <c r="E322" t="s">
        <v>88</v>
      </c>
      <c r="F322" t="s">
        <v>52</v>
      </c>
      <c r="G322" t="s">
        <v>72</v>
      </c>
      <c r="H322" t="s">
        <v>84</v>
      </c>
      <c r="I322" t="s">
        <v>77</v>
      </c>
      <c r="J322" s="1">
        <v>46144</v>
      </c>
      <c r="K322" s="1">
        <v>46144</v>
      </c>
      <c r="L322" s="3">
        <v>30500</v>
      </c>
      <c r="M322" s="4">
        <v>0.05</v>
      </c>
      <c r="N322" s="4">
        <v>1</v>
      </c>
      <c r="P322">
        <v>6</v>
      </c>
      <c r="Q322" t="str">
        <f>IFERROR(VLOOKUP(E322,Lookups!$A$5:$B$24,2,FALSE),"Other")</f>
        <v>Other</v>
      </c>
      <c r="R322" t="str">
        <f>IFERROR(VLOOKUP(F322,Lookups!$D$5:$F$10,2,FALSE),"Unknown Product")</f>
        <v>NexaCRM Core</v>
      </c>
      <c r="S322" t="str">
        <f>IFERROR(VLOOKUP(F322,Lookups!$D$5:$F$10,3,FALSE),"Unknown")</f>
        <v>CRM</v>
      </c>
      <c r="T322" t="str">
        <f t="shared" ref="T322:T385" si="55">IF(L322&gt;=50000,"Enterprise",IF(L322&gt;=20000,"Mid-Market","SMB"))</f>
        <v>Mid-Market</v>
      </c>
      <c r="U322" t="str">
        <f t="shared" ref="U322:U385" si="56">IF(I322="Closed Won","Won",IF(I322="Closed Lost","Lost","Open"))</f>
        <v>Won</v>
      </c>
      <c r="V322" s="3">
        <f t="shared" ref="V322:V385" si="57">IF(U322="Won",L322*(1-M322),0)</f>
        <v>28975</v>
      </c>
      <c r="W322" s="3">
        <f t="shared" ref="W322:W385" si="58">IF(U322="Open",L322*N322,0)</f>
        <v>0</v>
      </c>
      <c r="X322" s="5">
        <f t="shared" ref="X322:X385" si="59">IF(U322="Open","",IFERROR(K322-B322,""))</f>
        <v>64</v>
      </c>
      <c r="Y322" s="5">
        <f>IF(U322="Open",Lookups!$B$2-B322,X322)</f>
        <v>64</v>
      </c>
      <c r="Z322" t="str">
        <f t="shared" ref="Z322:Z385" si="60">IF(AND(U322="Open",Y322&gt;30),"STALE","OK")</f>
        <v>OK</v>
      </c>
      <c r="AA322" t="str">
        <f t="shared" ref="AA322:AA385" si="61">TEXT(B322,"yyyy-mm")</f>
        <v>2026-02</v>
      </c>
      <c r="AB322" t="str">
        <f t="shared" ref="AB322:AB385" si="62">IF(K322="","",TEXT(K322,"yyyy-mm"))</f>
        <v>2026-05</v>
      </c>
      <c r="AC322" t="str">
        <f t="shared" ref="AC322:AC385" si="63">"Q"&amp;ROUNDUP(MONTH(B322)/3,0)&amp;"-"&amp;YEAR(B322)</f>
        <v>Q1-2026</v>
      </c>
      <c r="AD322" s="5">
        <f t="shared" ref="AD322:AD385" si="64">MIN(100,IF(H322="Enterprise",30,IF(H322="Mid-Market",22,14))+IF(T322="Enterprise",25,IF(T322="Mid-Market",18,10))+IF(Q322="Referral",25,IF(Q322="Organic Search",20,IF(Q322="Email",18,14)))+IF(G322="Technology",10,5))</f>
        <v>67</v>
      </c>
      <c r="AE322" t="str">
        <f t="shared" ref="AE322:AE385" si="65">IF(U322&lt;&gt;"Open",U322,IF(N322&gt;=0.8,"Commit",IF(N322&gt;=0.5,"Best Case","Pipeline")))</f>
        <v>Won</v>
      </c>
    </row>
    <row r="323" spans="1:31">
      <c r="A323" t="s">
        <v>425</v>
      </c>
      <c r="B323" s="1">
        <v>46064</v>
      </c>
      <c r="C323" t="s">
        <v>42</v>
      </c>
      <c r="D323" t="s">
        <v>43</v>
      </c>
      <c r="E323" t="s">
        <v>138</v>
      </c>
      <c r="F323" t="s">
        <v>45</v>
      </c>
      <c r="G323" t="s">
        <v>112</v>
      </c>
      <c r="H323" t="s">
        <v>47</v>
      </c>
      <c r="I323" t="s">
        <v>77</v>
      </c>
      <c r="J323" s="1">
        <v>46151</v>
      </c>
      <c r="K323" s="1">
        <v>46151</v>
      </c>
      <c r="L323" s="3">
        <v>24700</v>
      </c>
      <c r="M323" s="4">
        <v>0.08</v>
      </c>
      <c r="N323" s="4">
        <v>1</v>
      </c>
      <c r="P323">
        <v>6</v>
      </c>
      <c r="Q323" t="str">
        <f>IFERROR(VLOOKUP(E323,Lookups!$A$5:$B$24,2,FALSE),"Other")</f>
        <v>Organic Search</v>
      </c>
      <c r="R323" t="str">
        <f>IFERROR(VLOOKUP(F323,Lookups!$D$5:$F$10,2,FALSE),"Unknown Product")</f>
        <v>Service Cloud</v>
      </c>
      <c r="S323" t="str">
        <f>IFERROR(VLOOKUP(F323,Lookups!$D$5:$F$10,3,FALSE),"Unknown")</f>
        <v>Customer Service</v>
      </c>
      <c r="T323" t="str">
        <f t="shared" si="55"/>
        <v>Mid-Market</v>
      </c>
      <c r="U323" t="str">
        <f t="shared" si="56"/>
        <v>Won</v>
      </c>
      <c r="V323" s="3">
        <f t="shared" si="57"/>
        <v>22724</v>
      </c>
      <c r="W323" s="3">
        <f t="shared" si="58"/>
        <v>0</v>
      </c>
      <c r="X323" s="5">
        <f t="shared" si="59"/>
        <v>87</v>
      </c>
      <c r="Y323" s="5">
        <f>IF(U323="Open",Lookups!$B$2-B323,X323)</f>
        <v>87</v>
      </c>
      <c r="Z323" t="str">
        <f t="shared" si="60"/>
        <v>OK</v>
      </c>
      <c r="AA323" t="str">
        <f t="shared" si="61"/>
        <v>2026-02</v>
      </c>
      <c r="AB323" t="str">
        <f t="shared" si="62"/>
        <v>2026-05</v>
      </c>
      <c r="AC323" t="str">
        <f t="shared" si="63"/>
        <v>Q1-2026</v>
      </c>
      <c r="AD323" s="5">
        <f t="shared" si="64"/>
        <v>62</v>
      </c>
      <c r="AE323" t="str">
        <f t="shared" si="65"/>
        <v>Won</v>
      </c>
    </row>
    <row r="324" spans="1:31">
      <c r="A324" t="s">
        <v>426</v>
      </c>
      <c r="B324" s="1">
        <v>46150</v>
      </c>
      <c r="C324" t="s">
        <v>56</v>
      </c>
      <c r="D324" t="s">
        <v>57</v>
      </c>
      <c r="E324" t="s">
        <v>166</v>
      </c>
      <c r="F324" t="s">
        <v>45</v>
      </c>
      <c r="G324" t="s">
        <v>46</v>
      </c>
      <c r="H324" t="s">
        <v>84</v>
      </c>
      <c r="I324" t="s">
        <v>61</v>
      </c>
      <c r="J324" s="1">
        <v>46175</v>
      </c>
      <c r="K324" s="1">
        <v>46175</v>
      </c>
      <c r="L324" s="3">
        <v>44500</v>
      </c>
      <c r="M324" s="4">
        <v>0</v>
      </c>
      <c r="N324" s="4">
        <v>0</v>
      </c>
      <c r="O324" t="s">
        <v>81</v>
      </c>
      <c r="P324">
        <v>4</v>
      </c>
      <c r="Q324" t="str">
        <f>IFERROR(VLOOKUP(E324,Lookups!$A$5:$B$24,2,FALSE),"Other")</f>
        <v>Referral</v>
      </c>
      <c r="R324" t="str">
        <f>IFERROR(VLOOKUP(F324,Lookups!$D$5:$F$10,2,FALSE),"Unknown Product")</f>
        <v>Service Cloud</v>
      </c>
      <c r="S324" t="str">
        <f>IFERROR(VLOOKUP(F324,Lookups!$D$5:$F$10,3,FALSE),"Unknown")</f>
        <v>Customer Service</v>
      </c>
      <c r="T324" t="str">
        <f t="shared" si="55"/>
        <v>Mid-Market</v>
      </c>
      <c r="U324" t="str">
        <f t="shared" si="56"/>
        <v>Lost</v>
      </c>
      <c r="V324" s="3">
        <f t="shared" si="57"/>
        <v>0</v>
      </c>
      <c r="W324" s="3">
        <f t="shared" si="58"/>
        <v>0</v>
      </c>
      <c r="X324" s="5">
        <f t="shared" si="59"/>
        <v>25</v>
      </c>
      <c r="Y324" s="5">
        <f>IF(U324="Open",Lookups!$B$2-B324,X324)</f>
        <v>25</v>
      </c>
      <c r="Z324" t="str">
        <f t="shared" si="60"/>
        <v>OK</v>
      </c>
      <c r="AA324" t="str">
        <f t="shared" si="61"/>
        <v>2026-05</v>
      </c>
      <c r="AB324" t="str">
        <f t="shared" si="62"/>
        <v>2026-06</v>
      </c>
      <c r="AC324" t="str">
        <f t="shared" si="63"/>
        <v>Q2-2026</v>
      </c>
      <c r="AD324" s="5">
        <f t="shared" si="64"/>
        <v>78</v>
      </c>
      <c r="AE324" t="str">
        <f t="shared" si="65"/>
        <v>Lost</v>
      </c>
    </row>
    <row r="325" spans="1:31">
      <c r="A325" t="s">
        <v>427</v>
      </c>
      <c r="B325" s="1">
        <v>45805</v>
      </c>
      <c r="C325" t="s">
        <v>69</v>
      </c>
      <c r="D325" t="s">
        <v>57</v>
      </c>
      <c r="E325" t="s">
        <v>75</v>
      </c>
      <c r="F325" t="s">
        <v>67</v>
      </c>
      <c r="G325" t="s">
        <v>99</v>
      </c>
      <c r="H325" t="s">
        <v>47</v>
      </c>
      <c r="I325" t="s">
        <v>61</v>
      </c>
      <c r="J325" s="1">
        <v>45845</v>
      </c>
      <c r="K325" s="1">
        <v>45845</v>
      </c>
      <c r="L325" s="3">
        <v>47400</v>
      </c>
      <c r="M325" s="4">
        <v>0</v>
      </c>
      <c r="N325" s="4">
        <v>0</v>
      </c>
      <c r="O325" t="s">
        <v>79</v>
      </c>
      <c r="P325">
        <v>4</v>
      </c>
      <c r="Q325" t="str">
        <f>IFERROR(VLOOKUP(E325,Lookups!$A$5:$B$24,2,FALSE),"Other")</f>
        <v>Webinar</v>
      </c>
      <c r="R325" t="str">
        <f>IFERROR(VLOOKUP(F325,Lookups!$D$5:$F$10,2,FALSE),"Unknown Product")</f>
        <v>Revenue Operations Suite</v>
      </c>
      <c r="S325" t="str">
        <f>IFERROR(VLOOKUP(F325,Lookups!$D$5:$F$10,3,FALSE),"Unknown")</f>
        <v>Revenue Ops</v>
      </c>
      <c r="T325" t="str">
        <f t="shared" si="55"/>
        <v>Mid-Market</v>
      </c>
      <c r="U325" t="str">
        <f t="shared" si="56"/>
        <v>Lost</v>
      </c>
      <c r="V325" s="3">
        <f t="shared" si="57"/>
        <v>0</v>
      </c>
      <c r="W325" s="3">
        <f t="shared" si="58"/>
        <v>0</v>
      </c>
      <c r="X325" s="5">
        <f t="shared" si="59"/>
        <v>40</v>
      </c>
      <c r="Y325" s="5">
        <f>IF(U325="Open",Lookups!$B$2-B325,X325)</f>
        <v>40</v>
      </c>
      <c r="Z325" t="str">
        <f t="shared" si="60"/>
        <v>OK</v>
      </c>
      <c r="AA325" t="str">
        <f t="shared" si="61"/>
        <v>2025-05</v>
      </c>
      <c r="AB325" t="str">
        <f t="shared" si="62"/>
        <v>2025-07</v>
      </c>
      <c r="AC325" t="str">
        <f t="shared" si="63"/>
        <v>Q2-2025</v>
      </c>
      <c r="AD325" s="5">
        <f t="shared" si="64"/>
        <v>51</v>
      </c>
      <c r="AE325" t="str">
        <f t="shared" si="65"/>
        <v>Lost</v>
      </c>
    </row>
    <row r="326" spans="1:31">
      <c r="A326" t="s">
        <v>428</v>
      </c>
      <c r="B326" s="1">
        <v>46134</v>
      </c>
      <c r="C326" t="s">
        <v>64</v>
      </c>
      <c r="D326" t="s">
        <v>57</v>
      </c>
      <c r="E326" t="s">
        <v>138</v>
      </c>
      <c r="F326" t="s">
        <v>52</v>
      </c>
      <c r="G326" t="s">
        <v>99</v>
      </c>
      <c r="H326" t="s">
        <v>47</v>
      </c>
      <c r="I326" t="s">
        <v>61</v>
      </c>
      <c r="J326" s="1">
        <v>46180</v>
      </c>
      <c r="K326" s="1">
        <v>46180</v>
      </c>
      <c r="L326" s="3">
        <v>9100</v>
      </c>
      <c r="M326" s="4">
        <v>0</v>
      </c>
      <c r="N326" s="4">
        <v>0</v>
      </c>
      <c r="O326" t="s">
        <v>62</v>
      </c>
      <c r="P326">
        <v>5</v>
      </c>
      <c r="Q326" t="str">
        <f>IFERROR(VLOOKUP(E326,Lookups!$A$5:$B$24,2,FALSE),"Other")</f>
        <v>Organic Search</v>
      </c>
      <c r="R326" t="str">
        <f>IFERROR(VLOOKUP(F326,Lookups!$D$5:$F$10,2,FALSE),"Unknown Product")</f>
        <v>NexaCRM Core</v>
      </c>
      <c r="S326" t="str">
        <f>IFERROR(VLOOKUP(F326,Lookups!$D$5:$F$10,3,FALSE),"Unknown")</f>
        <v>CRM</v>
      </c>
      <c r="T326" t="str">
        <f t="shared" si="55"/>
        <v>SMB</v>
      </c>
      <c r="U326" t="str">
        <f t="shared" si="56"/>
        <v>Lost</v>
      </c>
      <c r="V326" s="3">
        <f t="shared" si="57"/>
        <v>0</v>
      </c>
      <c r="W326" s="3">
        <f t="shared" si="58"/>
        <v>0</v>
      </c>
      <c r="X326" s="5">
        <f t="shared" si="59"/>
        <v>46</v>
      </c>
      <c r="Y326" s="5">
        <f>IF(U326="Open",Lookups!$B$2-B326,X326)</f>
        <v>46</v>
      </c>
      <c r="Z326" t="str">
        <f t="shared" si="60"/>
        <v>OK</v>
      </c>
      <c r="AA326" t="str">
        <f t="shared" si="61"/>
        <v>2026-04</v>
      </c>
      <c r="AB326" t="str">
        <f t="shared" si="62"/>
        <v>2026-06</v>
      </c>
      <c r="AC326" t="str">
        <f t="shared" si="63"/>
        <v>Q2-2026</v>
      </c>
      <c r="AD326" s="5">
        <f t="shared" si="64"/>
        <v>49</v>
      </c>
      <c r="AE326" t="str">
        <f t="shared" si="65"/>
        <v>Lost</v>
      </c>
    </row>
    <row r="327" spans="1:31">
      <c r="A327" t="s">
        <v>429</v>
      </c>
      <c r="B327" s="1">
        <v>45781</v>
      </c>
      <c r="C327" t="s">
        <v>64</v>
      </c>
      <c r="D327" t="s">
        <v>57</v>
      </c>
      <c r="E327" t="s">
        <v>160</v>
      </c>
      <c r="F327" t="s">
        <v>133</v>
      </c>
      <c r="G327" t="s">
        <v>99</v>
      </c>
      <c r="H327" t="s">
        <v>84</v>
      </c>
      <c r="I327" t="s">
        <v>48</v>
      </c>
      <c r="J327" s="1">
        <v>46131</v>
      </c>
      <c r="K327" s="1"/>
      <c r="L327" s="3">
        <v>90500</v>
      </c>
      <c r="M327" s="4">
        <v>0</v>
      </c>
      <c r="N327" s="4">
        <v>0.85</v>
      </c>
      <c r="P327">
        <v>5</v>
      </c>
      <c r="Q327" t="str">
        <f>IFERROR(VLOOKUP(E327,Lookups!$A$5:$B$24,2,FALSE),"Other")</f>
        <v>Email</v>
      </c>
      <c r="R327" t="str">
        <f>IFERROR(VLOOKUP(F327,Lookups!$D$5:$F$10,2,FALSE),"Unknown Product")</f>
        <v>Analytics Plus</v>
      </c>
      <c r="S327" t="str">
        <f>IFERROR(VLOOKUP(F327,Lookups!$D$5:$F$10,3,FALSE),"Unknown")</f>
        <v>Analytics</v>
      </c>
      <c r="T327" t="str">
        <f t="shared" si="55"/>
        <v>Enterprise</v>
      </c>
      <c r="U327" t="str">
        <f t="shared" si="56"/>
        <v>Open</v>
      </c>
      <c r="V327" s="3">
        <f t="shared" si="57"/>
        <v>0</v>
      </c>
      <c r="W327" s="3">
        <f t="shared" si="58"/>
        <v>76925</v>
      </c>
      <c r="X327" s="5" t="str">
        <f t="shared" si="59"/>
        <v/>
      </c>
      <c r="Y327" s="5">
        <f>IF(U327="Open",Lookups!$B$2-B327,X327)</f>
        <v>485</v>
      </c>
      <c r="Z327" t="str">
        <f t="shared" si="60"/>
        <v>STALE</v>
      </c>
      <c r="AA327" t="str">
        <f t="shared" si="61"/>
        <v>2025-05</v>
      </c>
      <c r="AB327" t="str">
        <f t="shared" si="62"/>
        <v/>
      </c>
      <c r="AC327" t="str">
        <f t="shared" si="63"/>
        <v>Q2-2025</v>
      </c>
      <c r="AD327" s="5">
        <f t="shared" si="64"/>
        <v>78</v>
      </c>
      <c r="AE327" t="str">
        <f t="shared" si="65"/>
        <v>Commit</v>
      </c>
    </row>
    <row r="328" spans="1:31">
      <c r="A328" t="s">
        <v>430</v>
      </c>
      <c r="B328" s="1">
        <v>46077</v>
      </c>
      <c r="C328" t="s">
        <v>64</v>
      </c>
      <c r="D328" t="s">
        <v>57</v>
      </c>
      <c r="E328" t="s">
        <v>92</v>
      </c>
      <c r="F328" t="s">
        <v>71</v>
      </c>
      <c r="G328" t="s">
        <v>99</v>
      </c>
      <c r="H328" t="s">
        <v>47</v>
      </c>
      <c r="I328" t="s">
        <v>48</v>
      </c>
      <c r="J328" s="1">
        <v>46170</v>
      </c>
      <c r="K328" s="1"/>
      <c r="L328" s="3">
        <v>14000</v>
      </c>
      <c r="M328" s="4">
        <v>0.03</v>
      </c>
      <c r="N328" s="4">
        <v>0.85</v>
      </c>
      <c r="P328">
        <v>5</v>
      </c>
      <c r="Q328" t="str">
        <f>IFERROR(VLOOKUP(E328,Lookups!$A$5:$B$24,2,FALSE),"Other")</f>
        <v>Webinar</v>
      </c>
      <c r="R328" t="str">
        <f>IFERROR(VLOOKUP(F328,Lookups!$D$5:$F$10,2,FALSE),"Unknown Product")</f>
        <v>Marketing Automation</v>
      </c>
      <c r="S328" t="str">
        <f>IFERROR(VLOOKUP(F328,Lookups!$D$5:$F$10,3,FALSE),"Unknown")</f>
        <v>Marketing</v>
      </c>
      <c r="T328" t="str">
        <f t="shared" si="55"/>
        <v>SMB</v>
      </c>
      <c r="U328" t="str">
        <f t="shared" si="56"/>
        <v>Open</v>
      </c>
      <c r="V328" s="3">
        <f t="shared" si="57"/>
        <v>0</v>
      </c>
      <c r="W328" s="3">
        <f t="shared" si="58"/>
        <v>11900</v>
      </c>
      <c r="X328" s="5" t="str">
        <f t="shared" si="59"/>
        <v/>
      </c>
      <c r="Y328" s="5">
        <f>IF(U328="Open",Lookups!$B$2-B328,X328)</f>
        <v>189</v>
      </c>
      <c r="Z328" t="str">
        <f t="shared" si="60"/>
        <v>STALE</v>
      </c>
      <c r="AA328" t="str">
        <f t="shared" si="61"/>
        <v>2026-02</v>
      </c>
      <c r="AB328" t="str">
        <f t="shared" si="62"/>
        <v/>
      </c>
      <c r="AC328" t="str">
        <f t="shared" si="63"/>
        <v>Q1-2026</v>
      </c>
      <c r="AD328" s="5">
        <f t="shared" si="64"/>
        <v>43</v>
      </c>
      <c r="AE328" t="str">
        <f t="shared" si="65"/>
        <v>Commit</v>
      </c>
    </row>
    <row r="329" spans="1:31">
      <c r="A329" t="s">
        <v>431</v>
      </c>
      <c r="B329" s="1">
        <v>45673</v>
      </c>
      <c r="C329" t="s">
        <v>56</v>
      </c>
      <c r="D329" t="s">
        <v>57</v>
      </c>
      <c r="E329" t="s">
        <v>44</v>
      </c>
      <c r="F329" t="s">
        <v>133</v>
      </c>
      <c r="G329" t="s">
        <v>46</v>
      </c>
      <c r="H329" t="s">
        <v>53</v>
      </c>
      <c r="I329" t="s">
        <v>61</v>
      </c>
      <c r="J329" s="1">
        <v>45725</v>
      </c>
      <c r="K329" s="1">
        <v>45725</v>
      </c>
      <c r="L329" s="3">
        <v>52300</v>
      </c>
      <c r="M329" s="4">
        <v>0</v>
      </c>
      <c r="N329" s="4">
        <v>0</v>
      </c>
      <c r="O329" t="s">
        <v>116</v>
      </c>
      <c r="P329">
        <v>4</v>
      </c>
      <c r="Q329" t="str">
        <f>IFERROR(VLOOKUP(E329,Lookups!$A$5:$B$24,2,FALSE),"Other")</f>
        <v>Organic Search</v>
      </c>
      <c r="R329" t="str">
        <f>IFERROR(VLOOKUP(F329,Lookups!$D$5:$F$10,2,FALSE),"Unknown Product")</f>
        <v>Analytics Plus</v>
      </c>
      <c r="S329" t="str">
        <f>IFERROR(VLOOKUP(F329,Lookups!$D$5:$F$10,3,FALSE),"Unknown")</f>
        <v>Analytics</v>
      </c>
      <c r="T329" t="str">
        <f t="shared" si="55"/>
        <v>Enterprise</v>
      </c>
      <c r="U329" t="str">
        <f t="shared" si="56"/>
        <v>Lost</v>
      </c>
      <c r="V329" s="3">
        <f t="shared" si="57"/>
        <v>0</v>
      </c>
      <c r="W329" s="3">
        <f t="shared" si="58"/>
        <v>0</v>
      </c>
      <c r="X329" s="5">
        <f t="shared" si="59"/>
        <v>52</v>
      </c>
      <c r="Y329" s="5">
        <f>IF(U329="Open",Lookups!$B$2-B329,X329)</f>
        <v>52</v>
      </c>
      <c r="Z329" t="str">
        <f t="shared" si="60"/>
        <v>OK</v>
      </c>
      <c r="AA329" t="str">
        <f t="shared" si="61"/>
        <v>2025-01</v>
      </c>
      <c r="AB329" t="str">
        <f t="shared" si="62"/>
        <v>2025-03</v>
      </c>
      <c r="AC329" t="str">
        <f t="shared" si="63"/>
        <v>Q1-2025</v>
      </c>
      <c r="AD329" s="5">
        <f t="shared" si="64"/>
        <v>72</v>
      </c>
      <c r="AE329" t="str">
        <f t="shared" si="65"/>
        <v>Lost</v>
      </c>
    </row>
    <row r="330" spans="1:31">
      <c r="A330" t="s">
        <v>432</v>
      </c>
      <c r="B330" s="1">
        <v>46061</v>
      </c>
      <c r="C330" t="s">
        <v>86</v>
      </c>
      <c r="D330" t="s">
        <v>87</v>
      </c>
      <c r="E330" t="s">
        <v>115</v>
      </c>
      <c r="F330" t="s">
        <v>71</v>
      </c>
      <c r="G330" t="s">
        <v>72</v>
      </c>
      <c r="H330" t="s">
        <v>84</v>
      </c>
      <c r="I330" t="s">
        <v>61</v>
      </c>
      <c r="J330" s="1">
        <v>46108</v>
      </c>
      <c r="K330" s="1">
        <v>46108</v>
      </c>
      <c r="L330" s="3">
        <v>67100</v>
      </c>
      <c r="M330" s="4">
        <v>0</v>
      </c>
      <c r="N330" s="4">
        <v>0</v>
      </c>
      <c r="O330" t="s">
        <v>79</v>
      </c>
      <c r="P330">
        <v>4</v>
      </c>
      <c r="Q330" t="str">
        <f>IFERROR(VLOOKUP(E330,Lookups!$A$5:$B$24,2,FALSE),"Other")</f>
        <v>Outbound</v>
      </c>
      <c r="R330" t="str">
        <f>IFERROR(VLOOKUP(F330,Lookups!$D$5:$F$10,2,FALSE),"Unknown Product")</f>
        <v>Marketing Automation</v>
      </c>
      <c r="S330" t="str">
        <f>IFERROR(VLOOKUP(F330,Lookups!$D$5:$F$10,3,FALSE),"Unknown")</f>
        <v>Marketing</v>
      </c>
      <c r="T330" t="str">
        <f t="shared" si="55"/>
        <v>Enterprise</v>
      </c>
      <c r="U330" t="str">
        <f t="shared" si="56"/>
        <v>Lost</v>
      </c>
      <c r="V330" s="3">
        <f t="shared" si="57"/>
        <v>0</v>
      </c>
      <c r="W330" s="3">
        <f t="shared" si="58"/>
        <v>0</v>
      </c>
      <c r="X330" s="5">
        <f t="shared" si="59"/>
        <v>47</v>
      </c>
      <c r="Y330" s="5">
        <f>IF(U330="Open",Lookups!$B$2-B330,X330)</f>
        <v>47</v>
      </c>
      <c r="Z330" t="str">
        <f t="shared" si="60"/>
        <v>OK</v>
      </c>
      <c r="AA330" t="str">
        <f t="shared" si="61"/>
        <v>2026-02</v>
      </c>
      <c r="AB330" t="str">
        <f t="shared" si="62"/>
        <v>2026-03</v>
      </c>
      <c r="AC330" t="str">
        <f t="shared" si="63"/>
        <v>Q1-2026</v>
      </c>
      <c r="AD330" s="5">
        <f t="shared" si="64"/>
        <v>74</v>
      </c>
      <c r="AE330" t="str">
        <f t="shared" si="65"/>
        <v>Lost</v>
      </c>
    </row>
    <row r="331" spans="1:31">
      <c r="A331" t="s">
        <v>433</v>
      </c>
      <c r="B331" s="1">
        <v>45959</v>
      </c>
      <c r="C331" t="s">
        <v>64</v>
      </c>
      <c r="D331" t="s">
        <v>57</v>
      </c>
      <c r="E331" t="s">
        <v>51</v>
      </c>
      <c r="F331" t="s">
        <v>45</v>
      </c>
      <c r="G331" t="s">
        <v>46</v>
      </c>
      <c r="H331" t="s">
        <v>47</v>
      </c>
      <c r="I331" t="s">
        <v>77</v>
      </c>
      <c r="J331" s="1">
        <v>46049</v>
      </c>
      <c r="K331" s="1">
        <v>46049</v>
      </c>
      <c r="L331" s="3">
        <v>18800</v>
      </c>
      <c r="M331" s="4">
        <v>0.03</v>
      </c>
      <c r="N331" s="4">
        <v>1</v>
      </c>
      <c r="P331">
        <v>6</v>
      </c>
      <c r="Q331" t="str">
        <f>IFERROR(VLOOKUP(E331,Lookups!$A$5:$B$24,2,FALSE),"Other")</f>
        <v>Paid Search</v>
      </c>
      <c r="R331" t="str">
        <f>IFERROR(VLOOKUP(F331,Lookups!$D$5:$F$10,2,FALSE),"Unknown Product")</f>
        <v>Service Cloud</v>
      </c>
      <c r="S331" t="str">
        <f>IFERROR(VLOOKUP(F331,Lookups!$D$5:$F$10,3,FALSE),"Unknown")</f>
        <v>Customer Service</v>
      </c>
      <c r="T331" t="str">
        <f t="shared" si="55"/>
        <v>SMB</v>
      </c>
      <c r="U331" t="str">
        <f t="shared" si="56"/>
        <v>Won</v>
      </c>
      <c r="V331" s="3">
        <f t="shared" si="57"/>
        <v>18236</v>
      </c>
      <c r="W331" s="3">
        <f t="shared" si="58"/>
        <v>0</v>
      </c>
      <c r="X331" s="5">
        <f t="shared" si="59"/>
        <v>90</v>
      </c>
      <c r="Y331" s="5">
        <f>IF(U331="Open",Lookups!$B$2-B331,X331)</f>
        <v>90</v>
      </c>
      <c r="Z331" t="str">
        <f t="shared" si="60"/>
        <v>OK</v>
      </c>
      <c r="AA331" t="str">
        <f t="shared" si="61"/>
        <v>2025-10</v>
      </c>
      <c r="AB331" t="str">
        <f t="shared" si="62"/>
        <v>2026-01</v>
      </c>
      <c r="AC331" t="str">
        <f t="shared" si="63"/>
        <v>Q4-2025</v>
      </c>
      <c r="AD331" s="5">
        <f t="shared" si="64"/>
        <v>43</v>
      </c>
      <c r="AE331" t="str">
        <f t="shared" si="65"/>
        <v>Won</v>
      </c>
    </row>
    <row r="332" spans="1:31">
      <c r="A332" t="s">
        <v>434</v>
      </c>
      <c r="B332" s="1">
        <v>45973</v>
      </c>
      <c r="C332" t="s">
        <v>42</v>
      </c>
      <c r="D332" t="s">
        <v>43</v>
      </c>
      <c r="E332" t="s">
        <v>58</v>
      </c>
      <c r="F332" t="s">
        <v>133</v>
      </c>
      <c r="G332" t="s">
        <v>112</v>
      </c>
      <c r="H332" t="s">
        <v>53</v>
      </c>
      <c r="I332" t="s">
        <v>61</v>
      </c>
      <c r="J332" s="1">
        <v>46011</v>
      </c>
      <c r="K332" s="1">
        <v>46011</v>
      </c>
      <c r="L332" s="3">
        <v>32800</v>
      </c>
      <c r="M332" s="4">
        <v>0</v>
      </c>
      <c r="N332" s="4">
        <v>0</v>
      </c>
      <c r="O332" t="s">
        <v>62</v>
      </c>
      <c r="P332">
        <v>4</v>
      </c>
      <c r="Q332" t="str">
        <f>IFERROR(VLOOKUP(E332,Lookups!$A$5:$B$24,2,FALSE),"Other")</f>
        <v>Email</v>
      </c>
      <c r="R332" t="str">
        <f>IFERROR(VLOOKUP(F332,Lookups!$D$5:$F$10,2,FALSE),"Unknown Product")</f>
        <v>Analytics Plus</v>
      </c>
      <c r="S332" t="str">
        <f>IFERROR(VLOOKUP(F332,Lookups!$D$5:$F$10,3,FALSE),"Unknown")</f>
        <v>Analytics</v>
      </c>
      <c r="T332" t="str">
        <f t="shared" si="55"/>
        <v>Mid-Market</v>
      </c>
      <c r="U332" t="str">
        <f t="shared" si="56"/>
        <v>Lost</v>
      </c>
      <c r="V332" s="3">
        <f t="shared" si="57"/>
        <v>0</v>
      </c>
      <c r="W332" s="3">
        <f t="shared" si="58"/>
        <v>0</v>
      </c>
      <c r="X332" s="5">
        <f t="shared" si="59"/>
        <v>38</v>
      </c>
      <c r="Y332" s="5">
        <f>IF(U332="Open",Lookups!$B$2-B332,X332)</f>
        <v>38</v>
      </c>
      <c r="Z332" t="str">
        <f t="shared" si="60"/>
        <v>OK</v>
      </c>
      <c r="AA332" t="str">
        <f t="shared" si="61"/>
        <v>2025-11</v>
      </c>
      <c r="AB332" t="str">
        <f t="shared" si="62"/>
        <v>2025-12</v>
      </c>
      <c r="AC332" t="str">
        <f t="shared" si="63"/>
        <v>Q4-2025</v>
      </c>
      <c r="AD332" s="5">
        <f t="shared" si="64"/>
        <v>68</v>
      </c>
      <c r="AE332" t="str">
        <f t="shared" si="65"/>
        <v>Lost</v>
      </c>
    </row>
    <row r="333" spans="1:31">
      <c r="A333" t="s">
        <v>435</v>
      </c>
      <c r="B333" s="1">
        <v>45680</v>
      </c>
      <c r="C333" t="s">
        <v>50</v>
      </c>
      <c r="D333" t="s">
        <v>43</v>
      </c>
      <c r="E333" t="s">
        <v>58</v>
      </c>
      <c r="F333" t="s">
        <v>133</v>
      </c>
      <c r="G333" t="s">
        <v>60</v>
      </c>
      <c r="H333" t="s">
        <v>53</v>
      </c>
      <c r="I333" t="s">
        <v>77</v>
      </c>
      <c r="J333" s="1">
        <v>45759</v>
      </c>
      <c r="K333" s="1">
        <v>45759</v>
      </c>
      <c r="L333" s="3">
        <v>23600</v>
      </c>
      <c r="M333" s="4">
        <v>0.12</v>
      </c>
      <c r="N333" s="4">
        <v>1</v>
      </c>
      <c r="P333">
        <v>6</v>
      </c>
      <c r="Q333" t="str">
        <f>IFERROR(VLOOKUP(E333,Lookups!$A$5:$B$24,2,FALSE),"Other")</f>
        <v>Email</v>
      </c>
      <c r="R333" t="str">
        <f>IFERROR(VLOOKUP(F333,Lookups!$D$5:$F$10,2,FALSE),"Unknown Product")</f>
        <v>Analytics Plus</v>
      </c>
      <c r="S333" t="str">
        <f>IFERROR(VLOOKUP(F333,Lookups!$D$5:$F$10,3,FALSE),"Unknown")</f>
        <v>Analytics</v>
      </c>
      <c r="T333" t="str">
        <f t="shared" si="55"/>
        <v>Mid-Market</v>
      </c>
      <c r="U333" t="str">
        <f t="shared" si="56"/>
        <v>Won</v>
      </c>
      <c r="V333" s="3">
        <f t="shared" si="57"/>
        <v>20768</v>
      </c>
      <c r="W333" s="3">
        <f t="shared" si="58"/>
        <v>0</v>
      </c>
      <c r="X333" s="5">
        <f t="shared" si="59"/>
        <v>79</v>
      </c>
      <c r="Y333" s="5">
        <f>IF(U333="Open",Lookups!$B$2-B333,X333)</f>
        <v>79</v>
      </c>
      <c r="Z333" t="str">
        <f t="shared" si="60"/>
        <v>OK</v>
      </c>
      <c r="AA333" t="str">
        <f t="shared" si="61"/>
        <v>2025-01</v>
      </c>
      <c r="AB333" t="str">
        <f t="shared" si="62"/>
        <v>2025-04</v>
      </c>
      <c r="AC333" t="str">
        <f t="shared" si="63"/>
        <v>Q1-2025</v>
      </c>
      <c r="AD333" s="5">
        <f t="shared" si="64"/>
        <v>63</v>
      </c>
      <c r="AE333" t="str">
        <f t="shared" si="65"/>
        <v>Won</v>
      </c>
    </row>
    <row r="334" spans="1:31">
      <c r="A334" t="s">
        <v>436</v>
      </c>
      <c r="B334" s="1">
        <v>45753</v>
      </c>
      <c r="C334" t="s">
        <v>50</v>
      </c>
      <c r="D334" t="s">
        <v>43</v>
      </c>
      <c r="E334" t="s">
        <v>146</v>
      </c>
      <c r="F334" t="s">
        <v>52</v>
      </c>
      <c r="G334" t="s">
        <v>112</v>
      </c>
      <c r="H334" t="s">
        <v>53</v>
      </c>
      <c r="I334" t="s">
        <v>61</v>
      </c>
      <c r="J334" s="1">
        <v>45791</v>
      </c>
      <c r="K334" s="1">
        <v>45791</v>
      </c>
      <c r="L334" s="3">
        <v>18200</v>
      </c>
      <c r="M334" s="4">
        <v>0</v>
      </c>
      <c r="N334" s="4">
        <v>0</v>
      </c>
      <c r="O334" t="s">
        <v>62</v>
      </c>
      <c r="P334">
        <v>5</v>
      </c>
      <c r="Q334" t="str">
        <f>IFERROR(VLOOKUP(E334,Lookups!$A$5:$B$24,2,FALSE),"Other")</f>
        <v>LinkedIn</v>
      </c>
      <c r="R334" t="str">
        <f>IFERROR(VLOOKUP(F334,Lookups!$D$5:$F$10,2,FALSE),"Unknown Product")</f>
        <v>NexaCRM Core</v>
      </c>
      <c r="S334" t="str">
        <f>IFERROR(VLOOKUP(F334,Lookups!$D$5:$F$10,3,FALSE),"Unknown")</f>
        <v>CRM</v>
      </c>
      <c r="T334" t="str">
        <f t="shared" si="55"/>
        <v>SMB</v>
      </c>
      <c r="U334" t="str">
        <f t="shared" si="56"/>
        <v>Lost</v>
      </c>
      <c r="V334" s="3">
        <f t="shared" si="57"/>
        <v>0</v>
      </c>
      <c r="W334" s="3">
        <f t="shared" si="58"/>
        <v>0</v>
      </c>
      <c r="X334" s="5">
        <f t="shared" si="59"/>
        <v>38</v>
      </c>
      <c r="Y334" s="5">
        <f>IF(U334="Open",Lookups!$B$2-B334,X334)</f>
        <v>38</v>
      </c>
      <c r="Z334" t="str">
        <f t="shared" si="60"/>
        <v>OK</v>
      </c>
      <c r="AA334" t="str">
        <f t="shared" si="61"/>
        <v>2025-04</v>
      </c>
      <c r="AB334" t="str">
        <f t="shared" si="62"/>
        <v>2025-05</v>
      </c>
      <c r="AC334" t="str">
        <f t="shared" si="63"/>
        <v>Q2-2025</v>
      </c>
      <c r="AD334" s="5">
        <f t="shared" si="64"/>
        <v>56</v>
      </c>
      <c r="AE334" t="str">
        <f t="shared" si="65"/>
        <v>Lost</v>
      </c>
    </row>
    <row r="335" spans="1:31">
      <c r="A335" t="s">
        <v>437</v>
      </c>
      <c r="B335" s="1">
        <v>45889</v>
      </c>
      <c r="C335" t="s">
        <v>50</v>
      </c>
      <c r="D335" t="s">
        <v>43</v>
      </c>
      <c r="E335" t="s">
        <v>107</v>
      </c>
      <c r="F335" t="s">
        <v>71</v>
      </c>
      <c r="G335" t="s">
        <v>76</v>
      </c>
      <c r="H335" t="s">
        <v>47</v>
      </c>
      <c r="I335" t="s">
        <v>48</v>
      </c>
      <c r="J335" s="1">
        <v>46156</v>
      </c>
      <c r="K335" s="1"/>
      <c r="L335" s="3">
        <v>15100</v>
      </c>
      <c r="M335" s="4">
        <v>0.05</v>
      </c>
      <c r="N335" s="4">
        <v>0.85</v>
      </c>
      <c r="P335">
        <v>5</v>
      </c>
      <c r="Q335" t="str">
        <f>IFERROR(VLOOKUP(E335,Lookups!$A$5:$B$24,2,FALSE),"Other")</f>
        <v>Referral</v>
      </c>
      <c r="R335" t="str">
        <f>IFERROR(VLOOKUP(F335,Lookups!$D$5:$F$10,2,FALSE),"Unknown Product")</f>
        <v>Marketing Automation</v>
      </c>
      <c r="S335" t="str">
        <f>IFERROR(VLOOKUP(F335,Lookups!$D$5:$F$10,3,FALSE),"Unknown")</f>
        <v>Marketing</v>
      </c>
      <c r="T335" t="str">
        <f t="shared" si="55"/>
        <v>SMB</v>
      </c>
      <c r="U335" t="str">
        <f t="shared" si="56"/>
        <v>Open</v>
      </c>
      <c r="V335" s="3">
        <f t="shared" si="57"/>
        <v>0</v>
      </c>
      <c r="W335" s="3">
        <f t="shared" si="58"/>
        <v>12835</v>
      </c>
      <c r="X335" s="5" t="str">
        <f t="shared" si="59"/>
        <v/>
      </c>
      <c r="Y335" s="5">
        <f>IF(U335="Open",Lookups!$B$2-B335,X335)</f>
        <v>377</v>
      </c>
      <c r="Z335" t="str">
        <f t="shared" si="60"/>
        <v>STALE</v>
      </c>
      <c r="AA335" t="str">
        <f t="shared" si="61"/>
        <v>2025-08</v>
      </c>
      <c r="AB335" t="str">
        <f t="shared" si="62"/>
        <v/>
      </c>
      <c r="AC335" t="str">
        <f t="shared" si="63"/>
        <v>Q3-2025</v>
      </c>
      <c r="AD335" s="5">
        <f t="shared" si="64"/>
        <v>54</v>
      </c>
      <c r="AE335" t="str">
        <f t="shared" si="65"/>
        <v>Commit</v>
      </c>
    </row>
    <row r="336" spans="1:31">
      <c r="A336" t="s">
        <v>438</v>
      </c>
      <c r="B336" s="1">
        <v>45879</v>
      </c>
      <c r="C336" t="s">
        <v>148</v>
      </c>
      <c r="D336" t="s">
        <v>43</v>
      </c>
      <c r="E336" t="s">
        <v>58</v>
      </c>
      <c r="F336" t="s">
        <v>71</v>
      </c>
      <c r="G336" t="s">
        <v>94</v>
      </c>
      <c r="H336" t="s">
        <v>53</v>
      </c>
      <c r="I336" t="s">
        <v>48</v>
      </c>
      <c r="J336" s="1">
        <v>46119</v>
      </c>
      <c r="K336" s="1"/>
      <c r="L336" s="3">
        <v>20600</v>
      </c>
      <c r="M336" s="4">
        <v>0.05</v>
      </c>
      <c r="N336" s="4">
        <v>0.85</v>
      </c>
      <c r="P336">
        <v>5</v>
      </c>
      <c r="Q336" t="str">
        <f>IFERROR(VLOOKUP(E336,Lookups!$A$5:$B$24,2,FALSE),"Other")</f>
        <v>Email</v>
      </c>
      <c r="R336" t="str">
        <f>IFERROR(VLOOKUP(F336,Lookups!$D$5:$F$10,2,FALSE),"Unknown Product")</f>
        <v>Marketing Automation</v>
      </c>
      <c r="S336" t="str">
        <f>IFERROR(VLOOKUP(F336,Lookups!$D$5:$F$10,3,FALSE),"Unknown")</f>
        <v>Marketing</v>
      </c>
      <c r="T336" t="str">
        <f t="shared" si="55"/>
        <v>Mid-Market</v>
      </c>
      <c r="U336" t="str">
        <f t="shared" si="56"/>
        <v>Open</v>
      </c>
      <c r="V336" s="3">
        <f t="shared" si="57"/>
        <v>0</v>
      </c>
      <c r="W336" s="3">
        <f t="shared" si="58"/>
        <v>17510</v>
      </c>
      <c r="X336" s="5" t="str">
        <f t="shared" si="59"/>
        <v/>
      </c>
      <c r="Y336" s="5">
        <f>IF(U336="Open",Lookups!$B$2-B336,X336)</f>
        <v>387</v>
      </c>
      <c r="Z336" t="str">
        <f t="shared" si="60"/>
        <v>STALE</v>
      </c>
      <c r="AA336" t="str">
        <f t="shared" si="61"/>
        <v>2025-08</v>
      </c>
      <c r="AB336" t="str">
        <f t="shared" si="62"/>
        <v/>
      </c>
      <c r="AC336" t="str">
        <f t="shared" si="63"/>
        <v>Q3-2025</v>
      </c>
      <c r="AD336" s="5">
        <f t="shared" si="64"/>
        <v>63</v>
      </c>
      <c r="AE336" t="str">
        <f t="shared" si="65"/>
        <v>Commit</v>
      </c>
    </row>
    <row r="337" spans="1:31">
      <c r="A337" t="s">
        <v>439</v>
      </c>
      <c r="B337" s="1">
        <v>45696</v>
      </c>
      <c r="C337" t="s">
        <v>64</v>
      </c>
      <c r="D337" t="s">
        <v>57</v>
      </c>
      <c r="E337" t="s">
        <v>65</v>
      </c>
      <c r="F337" t="s">
        <v>67</v>
      </c>
      <c r="G337" t="s">
        <v>46</v>
      </c>
      <c r="H337" t="s">
        <v>47</v>
      </c>
      <c r="I337" t="s">
        <v>61</v>
      </c>
      <c r="J337" s="1">
        <v>45733</v>
      </c>
      <c r="K337" s="1">
        <v>45733</v>
      </c>
      <c r="L337" s="3">
        <v>23600</v>
      </c>
      <c r="M337" s="4">
        <v>0</v>
      </c>
      <c r="N337" s="4">
        <v>0</v>
      </c>
      <c r="O337" t="s">
        <v>62</v>
      </c>
      <c r="P337">
        <v>5</v>
      </c>
      <c r="Q337" t="str">
        <f>IFERROR(VLOOKUP(E337,Lookups!$A$5:$B$24,2,FALSE),"Other")</f>
        <v>Paid Search</v>
      </c>
      <c r="R337" t="str">
        <f>IFERROR(VLOOKUP(F337,Lookups!$D$5:$F$10,2,FALSE),"Unknown Product")</f>
        <v>Revenue Operations Suite</v>
      </c>
      <c r="S337" t="str">
        <f>IFERROR(VLOOKUP(F337,Lookups!$D$5:$F$10,3,FALSE),"Unknown")</f>
        <v>Revenue Ops</v>
      </c>
      <c r="T337" t="str">
        <f t="shared" si="55"/>
        <v>Mid-Market</v>
      </c>
      <c r="U337" t="str">
        <f t="shared" si="56"/>
        <v>Lost</v>
      </c>
      <c r="V337" s="3">
        <f t="shared" si="57"/>
        <v>0</v>
      </c>
      <c r="W337" s="3">
        <f t="shared" si="58"/>
        <v>0</v>
      </c>
      <c r="X337" s="5">
        <f t="shared" si="59"/>
        <v>37</v>
      </c>
      <c r="Y337" s="5">
        <f>IF(U337="Open",Lookups!$B$2-B337,X337)</f>
        <v>37</v>
      </c>
      <c r="Z337" t="str">
        <f t="shared" si="60"/>
        <v>OK</v>
      </c>
      <c r="AA337" t="str">
        <f t="shared" si="61"/>
        <v>2025-02</v>
      </c>
      <c r="AB337" t="str">
        <f t="shared" si="62"/>
        <v>2025-03</v>
      </c>
      <c r="AC337" t="str">
        <f t="shared" si="63"/>
        <v>Q1-2025</v>
      </c>
      <c r="AD337" s="5">
        <f t="shared" si="64"/>
        <v>51</v>
      </c>
      <c r="AE337" t="str">
        <f t="shared" si="65"/>
        <v>Lost</v>
      </c>
    </row>
    <row r="338" spans="1:31">
      <c r="A338" t="s">
        <v>440</v>
      </c>
      <c r="B338" s="1">
        <v>46247</v>
      </c>
      <c r="C338" t="s">
        <v>69</v>
      </c>
      <c r="D338" t="s">
        <v>57</v>
      </c>
      <c r="E338" t="s">
        <v>83</v>
      </c>
      <c r="F338" t="s">
        <v>71</v>
      </c>
      <c r="G338" t="s">
        <v>112</v>
      </c>
      <c r="H338" t="s">
        <v>47</v>
      </c>
      <c r="I338" t="s">
        <v>73</v>
      </c>
      <c r="J338" s="1">
        <v>46255</v>
      </c>
      <c r="K338" s="1"/>
      <c r="L338" s="3">
        <v>14700</v>
      </c>
      <c r="M338" s="4">
        <v>0</v>
      </c>
      <c r="N338" s="4">
        <v>0.2</v>
      </c>
      <c r="P338">
        <v>2</v>
      </c>
      <c r="Q338" t="str">
        <f>IFERROR(VLOOKUP(E338,Lookups!$A$5:$B$24,2,FALSE),"Other")</f>
        <v>Organic Search</v>
      </c>
      <c r="R338" t="str">
        <f>IFERROR(VLOOKUP(F338,Lookups!$D$5:$F$10,2,FALSE),"Unknown Product")</f>
        <v>Marketing Automation</v>
      </c>
      <c r="S338" t="str">
        <f>IFERROR(VLOOKUP(F338,Lookups!$D$5:$F$10,3,FALSE),"Unknown")</f>
        <v>Marketing</v>
      </c>
      <c r="T338" t="str">
        <f t="shared" si="55"/>
        <v>SMB</v>
      </c>
      <c r="U338" t="str">
        <f t="shared" si="56"/>
        <v>Open</v>
      </c>
      <c r="V338" s="3">
        <f t="shared" si="57"/>
        <v>0</v>
      </c>
      <c r="W338" s="3">
        <f t="shared" si="58"/>
        <v>2940</v>
      </c>
      <c r="X338" s="5" t="str">
        <f t="shared" si="59"/>
        <v/>
      </c>
      <c r="Y338" s="5">
        <f>IF(U338="Open",Lookups!$B$2-B338,X338)</f>
        <v>19</v>
      </c>
      <c r="Z338" t="str">
        <f t="shared" si="60"/>
        <v>OK</v>
      </c>
      <c r="AA338" t="str">
        <f t="shared" si="61"/>
        <v>2026-08</v>
      </c>
      <c r="AB338" t="str">
        <f t="shared" si="62"/>
        <v/>
      </c>
      <c r="AC338" t="str">
        <f t="shared" si="63"/>
        <v>Q3-2026</v>
      </c>
      <c r="AD338" s="5">
        <f t="shared" si="64"/>
        <v>54</v>
      </c>
      <c r="AE338" t="str">
        <f t="shared" si="65"/>
        <v>Pipeline</v>
      </c>
    </row>
    <row r="339" spans="1:31">
      <c r="A339" t="s">
        <v>441</v>
      </c>
      <c r="B339" s="1">
        <v>46211</v>
      </c>
      <c r="C339" t="s">
        <v>42</v>
      </c>
      <c r="D339" t="s">
        <v>43</v>
      </c>
      <c r="E339" t="s">
        <v>65</v>
      </c>
      <c r="F339" t="s">
        <v>71</v>
      </c>
      <c r="G339" t="s">
        <v>112</v>
      </c>
      <c r="H339" t="s">
        <v>47</v>
      </c>
      <c r="I339" t="s">
        <v>61</v>
      </c>
      <c r="J339" s="1">
        <v>46250</v>
      </c>
      <c r="K339" s="1">
        <v>46250</v>
      </c>
      <c r="L339" s="3">
        <v>20200</v>
      </c>
      <c r="M339" s="4">
        <v>0</v>
      </c>
      <c r="N339" s="4">
        <v>0</v>
      </c>
      <c r="O339" t="s">
        <v>102</v>
      </c>
      <c r="P339">
        <v>5</v>
      </c>
      <c r="Q339" t="str">
        <f>IFERROR(VLOOKUP(E339,Lookups!$A$5:$B$24,2,FALSE),"Other")</f>
        <v>Paid Search</v>
      </c>
      <c r="R339" t="str">
        <f>IFERROR(VLOOKUP(F339,Lookups!$D$5:$F$10,2,FALSE),"Unknown Product")</f>
        <v>Marketing Automation</v>
      </c>
      <c r="S339" t="str">
        <f>IFERROR(VLOOKUP(F339,Lookups!$D$5:$F$10,3,FALSE),"Unknown")</f>
        <v>Marketing</v>
      </c>
      <c r="T339" t="str">
        <f t="shared" si="55"/>
        <v>Mid-Market</v>
      </c>
      <c r="U339" t="str">
        <f t="shared" si="56"/>
        <v>Lost</v>
      </c>
      <c r="V339" s="3">
        <f t="shared" si="57"/>
        <v>0</v>
      </c>
      <c r="W339" s="3">
        <f t="shared" si="58"/>
        <v>0</v>
      </c>
      <c r="X339" s="5">
        <f t="shared" si="59"/>
        <v>39</v>
      </c>
      <c r="Y339" s="5">
        <f>IF(U339="Open",Lookups!$B$2-B339,X339)</f>
        <v>39</v>
      </c>
      <c r="Z339" t="str">
        <f t="shared" si="60"/>
        <v>OK</v>
      </c>
      <c r="AA339" t="str">
        <f t="shared" si="61"/>
        <v>2026-07</v>
      </c>
      <c r="AB339" t="str">
        <f t="shared" si="62"/>
        <v>2026-08</v>
      </c>
      <c r="AC339" t="str">
        <f t="shared" si="63"/>
        <v>Q3-2026</v>
      </c>
      <c r="AD339" s="5">
        <f t="shared" si="64"/>
        <v>56</v>
      </c>
      <c r="AE339" t="str">
        <f t="shared" si="65"/>
        <v>Lost</v>
      </c>
    </row>
    <row r="340" spans="1:31">
      <c r="A340" t="s">
        <v>442</v>
      </c>
      <c r="B340" s="1">
        <v>45970</v>
      </c>
      <c r="C340" t="s">
        <v>56</v>
      </c>
      <c r="D340" t="s">
        <v>57</v>
      </c>
      <c r="E340" t="s">
        <v>115</v>
      </c>
      <c r="F340" t="s">
        <v>67</v>
      </c>
      <c r="G340" t="s">
        <v>112</v>
      </c>
      <c r="H340" t="s">
        <v>47</v>
      </c>
      <c r="I340" t="s">
        <v>77</v>
      </c>
      <c r="J340" s="1">
        <v>46046</v>
      </c>
      <c r="K340" s="1">
        <v>46046</v>
      </c>
      <c r="L340" s="3">
        <v>22600</v>
      </c>
      <c r="M340" s="4">
        <v>0.03</v>
      </c>
      <c r="N340" s="4">
        <v>1</v>
      </c>
      <c r="P340">
        <v>6</v>
      </c>
      <c r="Q340" t="str">
        <f>IFERROR(VLOOKUP(E340,Lookups!$A$5:$B$24,2,FALSE),"Other")</f>
        <v>Outbound</v>
      </c>
      <c r="R340" t="str">
        <f>IFERROR(VLOOKUP(F340,Lookups!$D$5:$F$10,2,FALSE),"Unknown Product")</f>
        <v>Revenue Operations Suite</v>
      </c>
      <c r="S340" t="str">
        <f>IFERROR(VLOOKUP(F340,Lookups!$D$5:$F$10,3,FALSE),"Unknown")</f>
        <v>Revenue Ops</v>
      </c>
      <c r="T340" t="str">
        <f t="shared" si="55"/>
        <v>Mid-Market</v>
      </c>
      <c r="U340" t="str">
        <f t="shared" si="56"/>
        <v>Won</v>
      </c>
      <c r="V340" s="3">
        <f t="shared" si="57"/>
        <v>21922</v>
      </c>
      <c r="W340" s="3">
        <f t="shared" si="58"/>
        <v>0</v>
      </c>
      <c r="X340" s="5">
        <f t="shared" si="59"/>
        <v>76</v>
      </c>
      <c r="Y340" s="5">
        <f>IF(U340="Open",Lookups!$B$2-B340,X340)</f>
        <v>76</v>
      </c>
      <c r="Z340" t="str">
        <f t="shared" si="60"/>
        <v>OK</v>
      </c>
      <c r="AA340" t="str">
        <f t="shared" si="61"/>
        <v>2025-11</v>
      </c>
      <c r="AB340" t="str">
        <f t="shared" si="62"/>
        <v>2026-01</v>
      </c>
      <c r="AC340" t="str">
        <f t="shared" si="63"/>
        <v>Q4-2025</v>
      </c>
      <c r="AD340" s="5">
        <f t="shared" si="64"/>
        <v>56</v>
      </c>
      <c r="AE340" t="str">
        <f t="shared" si="65"/>
        <v>Won</v>
      </c>
    </row>
    <row r="341" spans="1:31">
      <c r="A341" t="s">
        <v>443</v>
      </c>
      <c r="B341" s="1">
        <v>45725</v>
      </c>
      <c r="C341" t="s">
        <v>64</v>
      </c>
      <c r="D341" t="s">
        <v>57</v>
      </c>
      <c r="E341" t="s">
        <v>146</v>
      </c>
      <c r="F341" t="s">
        <v>52</v>
      </c>
      <c r="G341" t="s">
        <v>76</v>
      </c>
      <c r="H341" t="s">
        <v>53</v>
      </c>
      <c r="I341" t="s">
        <v>61</v>
      </c>
      <c r="J341" s="1">
        <v>45786</v>
      </c>
      <c r="K341" s="1">
        <v>45786</v>
      </c>
      <c r="L341" s="3">
        <v>8100</v>
      </c>
      <c r="M341" s="4">
        <v>0</v>
      </c>
      <c r="N341" s="4">
        <v>0</v>
      </c>
      <c r="O341" t="s">
        <v>79</v>
      </c>
      <c r="P341">
        <v>3</v>
      </c>
      <c r="Q341" t="str">
        <f>IFERROR(VLOOKUP(E341,Lookups!$A$5:$B$24,2,FALSE),"Other")</f>
        <v>LinkedIn</v>
      </c>
      <c r="R341" t="str">
        <f>IFERROR(VLOOKUP(F341,Lookups!$D$5:$F$10,2,FALSE),"Unknown Product")</f>
        <v>NexaCRM Core</v>
      </c>
      <c r="S341" t="str">
        <f>IFERROR(VLOOKUP(F341,Lookups!$D$5:$F$10,3,FALSE),"Unknown")</f>
        <v>CRM</v>
      </c>
      <c r="T341" t="str">
        <f t="shared" si="55"/>
        <v>SMB</v>
      </c>
      <c r="U341" t="str">
        <f t="shared" si="56"/>
        <v>Lost</v>
      </c>
      <c r="V341" s="3">
        <f t="shared" si="57"/>
        <v>0</v>
      </c>
      <c r="W341" s="3">
        <f t="shared" si="58"/>
        <v>0</v>
      </c>
      <c r="X341" s="5">
        <f t="shared" si="59"/>
        <v>61</v>
      </c>
      <c r="Y341" s="5">
        <f>IF(U341="Open",Lookups!$B$2-B341,X341)</f>
        <v>61</v>
      </c>
      <c r="Z341" t="str">
        <f t="shared" si="60"/>
        <v>OK</v>
      </c>
      <c r="AA341" t="str">
        <f t="shared" si="61"/>
        <v>2025-03</v>
      </c>
      <c r="AB341" t="str">
        <f t="shared" si="62"/>
        <v>2025-05</v>
      </c>
      <c r="AC341" t="str">
        <f t="shared" si="63"/>
        <v>Q1-2025</v>
      </c>
      <c r="AD341" s="5">
        <f t="shared" si="64"/>
        <v>51</v>
      </c>
      <c r="AE341" t="str">
        <f t="shared" si="65"/>
        <v>Lost</v>
      </c>
    </row>
    <row r="342" spans="1:31">
      <c r="A342" t="s">
        <v>444</v>
      </c>
      <c r="B342" s="1">
        <v>45990</v>
      </c>
      <c r="C342" t="s">
        <v>42</v>
      </c>
      <c r="D342" t="s">
        <v>43</v>
      </c>
      <c r="E342" t="s">
        <v>75</v>
      </c>
      <c r="F342" t="s">
        <v>52</v>
      </c>
      <c r="G342" t="s">
        <v>72</v>
      </c>
      <c r="H342" t="s">
        <v>47</v>
      </c>
      <c r="I342" t="s">
        <v>61</v>
      </c>
      <c r="J342" s="1">
        <v>46067</v>
      </c>
      <c r="K342" s="1">
        <v>46067</v>
      </c>
      <c r="L342" s="3">
        <v>7500</v>
      </c>
      <c r="M342" s="4">
        <v>0</v>
      </c>
      <c r="N342" s="4">
        <v>0</v>
      </c>
      <c r="O342" t="s">
        <v>81</v>
      </c>
      <c r="P342">
        <v>2</v>
      </c>
      <c r="Q342" t="str">
        <f>IFERROR(VLOOKUP(E342,Lookups!$A$5:$B$24,2,FALSE),"Other")</f>
        <v>Webinar</v>
      </c>
      <c r="R342" t="str">
        <f>IFERROR(VLOOKUP(F342,Lookups!$D$5:$F$10,2,FALSE),"Unknown Product")</f>
        <v>NexaCRM Core</v>
      </c>
      <c r="S342" t="str">
        <f>IFERROR(VLOOKUP(F342,Lookups!$D$5:$F$10,3,FALSE),"Unknown")</f>
        <v>CRM</v>
      </c>
      <c r="T342" t="str">
        <f t="shared" si="55"/>
        <v>SMB</v>
      </c>
      <c r="U342" t="str">
        <f t="shared" si="56"/>
        <v>Lost</v>
      </c>
      <c r="V342" s="3">
        <f t="shared" si="57"/>
        <v>0</v>
      </c>
      <c r="W342" s="3">
        <f t="shared" si="58"/>
        <v>0</v>
      </c>
      <c r="X342" s="5">
        <f t="shared" si="59"/>
        <v>77</v>
      </c>
      <c r="Y342" s="5">
        <f>IF(U342="Open",Lookups!$B$2-B342,X342)</f>
        <v>77</v>
      </c>
      <c r="Z342" t="str">
        <f t="shared" si="60"/>
        <v>OK</v>
      </c>
      <c r="AA342" t="str">
        <f t="shared" si="61"/>
        <v>2025-11</v>
      </c>
      <c r="AB342" t="str">
        <f t="shared" si="62"/>
        <v>2026-02</v>
      </c>
      <c r="AC342" t="str">
        <f t="shared" si="63"/>
        <v>Q4-2025</v>
      </c>
      <c r="AD342" s="5">
        <f t="shared" si="64"/>
        <v>43</v>
      </c>
      <c r="AE342" t="str">
        <f t="shared" si="65"/>
        <v>Lost</v>
      </c>
    </row>
    <row r="343" spans="1:31">
      <c r="A343" t="s">
        <v>445</v>
      </c>
      <c r="B343" s="1">
        <v>46107</v>
      </c>
      <c r="C343" t="s">
        <v>148</v>
      </c>
      <c r="D343" t="s">
        <v>43</v>
      </c>
      <c r="E343" t="s">
        <v>107</v>
      </c>
      <c r="F343" t="s">
        <v>59</v>
      </c>
      <c r="G343" t="s">
        <v>46</v>
      </c>
      <c r="H343" t="s">
        <v>47</v>
      </c>
      <c r="I343" t="s">
        <v>61</v>
      </c>
      <c r="J343" s="1">
        <v>46116</v>
      </c>
      <c r="K343" s="1">
        <v>46116</v>
      </c>
      <c r="L343" s="3">
        <v>24500</v>
      </c>
      <c r="M343" s="4">
        <v>0</v>
      </c>
      <c r="N343" s="4">
        <v>0</v>
      </c>
      <c r="O343" t="s">
        <v>81</v>
      </c>
      <c r="P343">
        <v>2</v>
      </c>
      <c r="Q343" t="str">
        <f>IFERROR(VLOOKUP(E343,Lookups!$A$5:$B$24,2,FALSE),"Other")</f>
        <v>Referral</v>
      </c>
      <c r="R343" t="str">
        <f>IFERROR(VLOOKUP(F343,Lookups!$D$5:$F$10,2,FALSE),"Unknown Product")</f>
        <v>NexaCRM Pro</v>
      </c>
      <c r="S343" t="str">
        <f>IFERROR(VLOOKUP(F343,Lookups!$D$5:$F$10,3,FALSE),"Unknown")</f>
        <v>CRM</v>
      </c>
      <c r="T343" t="str">
        <f t="shared" si="55"/>
        <v>Mid-Market</v>
      </c>
      <c r="U343" t="str">
        <f t="shared" si="56"/>
        <v>Lost</v>
      </c>
      <c r="V343" s="3">
        <f t="shared" si="57"/>
        <v>0</v>
      </c>
      <c r="W343" s="3">
        <f t="shared" si="58"/>
        <v>0</v>
      </c>
      <c r="X343" s="5">
        <f t="shared" si="59"/>
        <v>9</v>
      </c>
      <c r="Y343" s="5">
        <f>IF(U343="Open",Lookups!$B$2-B343,X343)</f>
        <v>9</v>
      </c>
      <c r="Z343" t="str">
        <f t="shared" si="60"/>
        <v>OK</v>
      </c>
      <c r="AA343" t="str">
        <f t="shared" si="61"/>
        <v>2026-03</v>
      </c>
      <c r="AB343" t="str">
        <f t="shared" si="62"/>
        <v>2026-04</v>
      </c>
      <c r="AC343" t="str">
        <f t="shared" si="63"/>
        <v>Q1-2026</v>
      </c>
      <c r="AD343" s="5">
        <f t="shared" si="64"/>
        <v>62</v>
      </c>
      <c r="AE343" t="str">
        <f t="shared" si="65"/>
        <v>Lost</v>
      </c>
    </row>
    <row r="344" spans="1:31">
      <c r="A344" t="s">
        <v>446</v>
      </c>
      <c r="B344" s="1">
        <v>45716</v>
      </c>
      <c r="C344" t="s">
        <v>64</v>
      </c>
      <c r="D344" t="s">
        <v>57</v>
      </c>
      <c r="E344" t="s">
        <v>70</v>
      </c>
      <c r="F344" t="s">
        <v>52</v>
      </c>
      <c r="G344" t="s">
        <v>72</v>
      </c>
      <c r="H344" t="s">
        <v>84</v>
      </c>
      <c r="I344" t="s">
        <v>61</v>
      </c>
      <c r="J344" s="1">
        <v>45739</v>
      </c>
      <c r="K344" s="1">
        <v>45739</v>
      </c>
      <c r="L344" s="3">
        <v>23400</v>
      </c>
      <c r="M344" s="4">
        <v>0</v>
      </c>
      <c r="N344" s="4">
        <v>0</v>
      </c>
      <c r="O344" t="s">
        <v>81</v>
      </c>
      <c r="P344">
        <v>5</v>
      </c>
      <c r="Q344" t="str">
        <f>IFERROR(VLOOKUP(E344,Lookups!$A$5:$B$24,2,FALSE),"Other")</f>
        <v>LinkedIn</v>
      </c>
      <c r="R344" t="str">
        <f>IFERROR(VLOOKUP(F344,Lookups!$D$5:$F$10,2,FALSE),"Unknown Product")</f>
        <v>NexaCRM Core</v>
      </c>
      <c r="S344" t="str">
        <f>IFERROR(VLOOKUP(F344,Lookups!$D$5:$F$10,3,FALSE),"Unknown")</f>
        <v>CRM</v>
      </c>
      <c r="T344" t="str">
        <f t="shared" si="55"/>
        <v>Mid-Market</v>
      </c>
      <c r="U344" t="str">
        <f t="shared" si="56"/>
        <v>Lost</v>
      </c>
      <c r="V344" s="3">
        <f t="shared" si="57"/>
        <v>0</v>
      </c>
      <c r="W344" s="3">
        <f t="shared" si="58"/>
        <v>0</v>
      </c>
      <c r="X344" s="5">
        <f t="shared" si="59"/>
        <v>23</v>
      </c>
      <c r="Y344" s="5">
        <f>IF(U344="Open",Lookups!$B$2-B344,X344)</f>
        <v>23</v>
      </c>
      <c r="Z344" t="str">
        <f t="shared" si="60"/>
        <v>OK</v>
      </c>
      <c r="AA344" t="str">
        <f t="shared" si="61"/>
        <v>2025-02</v>
      </c>
      <c r="AB344" t="str">
        <f t="shared" si="62"/>
        <v>2025-03</v>
      </c>
      <c r="AC344" t="str">
        <f t="shared" si="63"/>
        <v>Q1-2025</v>
      </c>
      <c r="AD344" s="5">
        <f t="shared" si="64"/>
        <v>67</v>
      </c>
      <c r="AE344" t="str">
        <f t="shared" si="65"/>
        <v>Lost</v>
      </c>
    </row>
    <row r="345" spans="1:31">
      <c r="A345" t="s">
        <v>447</v>
      </c>
      <c r="B345" s="1">
        <v>46203</v>
      </c>
      <c r="C345" t="s">
        <v>86</v>
      </c>
      <c r="D345" t="s">
        <v>87</v>
      </c>
      <c r="E345" t="s">
        <v>92</v>
      </c>
      <c r="F345" t="s">
        <v>52</v>
      </c>
      <c r="G345" t="s">
        <v>112</v>
      </c>
      <c r="H345" t="s">
        <v>53</v>
      </c>
      <c r="I345" t="s">
        <v>73</v>
      </c>
      <c r="J345" s="1">
        <v>46251</v>
      </c>
      <c r="K345" s="1"/>
      <c r="L345" s="3">
        <v>10600</v>
      </c>
      <c r="M345" s="4">
        <v>0.05</v>
      </c>
      <c r="N345" s="4">
        <v>0.2</v>
      </c>
      <c r="P345">
        <v>2</v>
      </c>
      <c r="Q345" t="str">
        <f>IFERROR(VLOOKUP(E345,Lookups!$A$5:$B$24,2,FALSE),"Other")</f>
        <v>Webinar</v>
      </c>
      <c r="R345" t="str">
        <f>IFERROR(VLOOKUP(F345,Lookups!$D$5:$F$10,2,FALSE),"Unknown Product")</f>
        <v>NexaCRM Core</v>
      </c>
      <c r="S345" t="str">
        <f>IFERROR(VLOOKUP(F345,Lookups!$D$5:$F$10,3,FALSE),"Unknown")</f>
        <v>CRM</v>
      </c>
      <c r="T345" t="str">
        <f t="shared" si="55"/>
        <v>SMB</v>
      </c>
      <c r="U345" t="str">
        <f t="shared" si="56"/>
        <v>Open</v>
      </c>
      <c r="V345" s="3">
        <f t="shared" si="57"/>
        <v>0</v>
      </c>
      <c r="W345" s="3">
        <f t="shared" si="58"/>
        <v>2120</v>
      </c>
      <c r="X345" s="5" t="str">
        <f t="shared" si="59"/>
        <v/>
      </c>
      <c r="Y345" s="5">
        <f>IF(U345="Open",Lookups!$B$2-B345,X345)</f>
        <v>63</v>
      </c>
      <c r="Z345" t="str">
        <f t="shared" si="60"/>
        <v>STALE</v>
      </c>
      <c r="AA345" t="str">
        <f t="shared" si="61"/>
        <v>2026-06</v>
      </c>
      <c r="AB345" t="str">
        <f t="shared" si="62"/>
        <v/>
      </c>
      <c r="AC345" t="str">
        <f t="shared" si="63"/>
        <v>Q2-2026</v>
      </c>
      <c r="AD345" s="5">
        <f t="shared" si="64"/>
        <v>56</v>
      </c>
      <c r="AE345" t="str">
        <f t="shared" si="65"/>
        <v>Pipeline</v>
      </c>
    </row>
    <row r="346" spans="1:31">
      <c r="A346" t="s">
        <v>448</v>
      </c>
      <c r="B346" s="1">
        <v>45776</v>
      </c>
      <c r="C346" t="s">
        <v>69</v>
      </c>
      <c r="D346" t="s">
        <v>57</v>
      </c>
      <c r="E346" t="s">
        <v>98</v>
      </c>
      <c r="F346" t="s">
        <v>71</v>
      </c>
      <c r="G346" t="s">
        <v>46</v>
      </c>
      <c r="H346" t="s">
        <v>53</v>
      </c>
      <c r="I346" t="s">
        <v>77</v>
      </c>
      <c r="J346" s="1">
        <v>45873</v>
      </c>
      <c r="K346" s="1">
        <v>45873</v>
      </c>
      <c r="L346" s="3">
        <v>26800</v>
      </c>
      <c r="M346" s="4">
        <v>0</v>
      </c>
      <c r="N346" s="4">
        <v>1</v>
      </c>
      <c r="P346">
        <v>6</v>
      </c>
      <c r="Q346" t="str">
        <f>IFERROR(VLOOKUP(E346,Lookups!$A$5:$B$24,2,FALSE),"Other")</f>
        <v>Outbound</v>
      </c>
      <c r="R346" t="str">
        <f>IFERROR(VLOOKUP(F346,Lookups!$D$5:$F$10,2,FALSE),"Unknown Product")</f>
        <v>Marketing Automation</v>
      </c>
      <c r="S346" t="str">
        <f>IFERROR(VLOOKUP(F346,Lookups!$D$5:$F$10,3,FALSE),"Unknown")</f>
        <v>Marketing</v>
      </c>
      <c r="T346" t="str">
        <f t="shared" si="55"/>
        <v>Mid-Market</v>
      </c>
      <c r="U346" t="str">
        <f t="shared" si="56"/>
        <v>Won</v>
      </c>
      <c r="V346" s="3">
        <f t="shared" si="57"/>
        <v>26800</v>
      </c>
      <c r="W346" s="3">
        <f t="shared" si="58"/>
        <v>0</v>
      </c>
      <c r="X346" s="5">
        <f t="shared" si="59"/>
        <v>97</v>
      </c>
      <c r="Y346" s="5">
        <f>IF(U346="Open",Lookups!$B$2-B346,X346)</f>
        <v>97</v>
      </c>
      <c r="Z346" t="str">
        <f t="shared" si="60"/>
        <v>OK</v>
      </c>
      <c r="AA346" t="str">
        <f t="shared" si="61"/>
        <v>2025-04</v>
      </c>
      <c r="AB346" t="str">
        <f t="shared" si="62"/>
        <v>2025-08</v>
      </c>
      <c r="AC346" t="str">
        <f t="shared" si="63"/>
        <v>Q2-2025</v>
      </c>
      <c r="AD346" s="5">
        <f t="shared" si="64"/>
        <v>59</v>
      </c>
      <c r="AE346" t="str">
        <f t="shared" si="65"/>
        <v>Won</v>
      </c>
    </row>
    <row r="347" spans="1:31">
      <c r="A347" t="s">
        <v>449</v>
      </c>
      <c r="B347" s="1">
        <v>45809</v>
      </c>
      <c r="C347" t="s">
        <v>42</v>
      </c>
      <c r="D347" t="s">
        <v>43</v>
      </c>
      <c r="E347" t="s">
        <v>65</v>
      </c>
      <c r="F347" t="s">
        <v>45</v>
      </c>
      <c r="G347" t="s">
        <v>46</v>
      </c>
      <c r="H347" t="s">
        <v>84</v>
      </c>
      <c r="I347" t="s">
        <v>61</v>
      </c>
      <c r="J347" s="1">
        <v>45852</v>
      </c>
      <c r="K347" s="1">
        <v>45852</v>
      </c>
      <c r="L347" s="3">
        <v>47800</v>
      </c>
      <c r="M347" s="4">
        <v>0</v>
      </c>
      <c r="N347" s="4">
        <v>0</v>
      </c>
      <c r="O347" t="s">
        <v>110</v>
      </c>
      <c r="P347">
        <v>5</v>
      </c>
      <c r="Q347" t="str">
        <f>IFERROR(VLOOKUP(E347,Lookups!$A$5:$B$24,2,FALSE),"Other")</f>
        <v>Paid Search</v>
      </c>
      <c r="R347" t="str">
        <f>IFERROR(VLOOKUP(F347,Lookups!$D$5:$F$10,2,FALSE),"Unknown Product")</f>
        <v>Service Cloud</v>
      </c>
      <c r="S347" t="str">
        <f>IFERROR(VLOOKUP(F347,Lookups!$D$5:$F$10,3,FALSE),"Unknown")</f>
        <v>Customer Service</v>
      </c>
      <c r="T347" t="str">
        <f t="shared" si="55"/>
        <v>Mid-Market</v>
      </c>
      <c r="U347" t="str">
        <f t="shared" si="56"/>
        <v>Lost</v>
      </c>
      <c r="V347" s="3">
        <f t="shared" si="57"/>
        <v>0</v>
      </c>
      <c r="W347" s="3">
        <f t="shared" si="58"/>
        <v>0</v>
      </c>
      <c r="X347" s="5">
        <f t="shared" si="59"/>
        <v>43</v>
      </c>
      <c r="Y347" s="5">
        <f>IF(U347="Open",Lookups!$B$2-B347,X347)</f>
        <v>43</v>
      </c>
      <c r="Z347" t="str">
        <f t="shared" si="60"/>
        <v>OK</v>
      </c>
      <c r="AA347" t="str">
        <f t="shared" si="61"/>
        <v>2025-06</v>
      </c>
      <c r="AB347" t="str">
        <f t="shared" si="62"/>
        <v>2025-07</v>
      </c>
      <c r="AC347" t="str">
        <f t="shared" si="63"/>
        <v>Q2-2025</v>
      </c>
      <c r="AD347" s="5">
        <f t="shared" si="64"/>
        <v>67</v>
      </c>
      <c r="AE347" t="str">
        <f t="shared" si="65"/>
        <v>Lost</v>
      </c>
    </row>
    <row r="348" spans="1:31">
      <c r="A348" t="s">
        <v>450</v>
      </c>
      <c r="B348" s="1">
        <v>45715</v>
      </c>
      <c r="C348" t="s">
        <v>42</v>
      </c>
      <c r="D348" t="s">
        <v>43</v>
      </c>
      <c r="E348" t="s">
        <v>146</v>
      </c>
      <c r="F348" t="s">
        <v>45</v>
      </c>
      <c r="G348" t="s">
        <v>46</v>
      </c>
      <c r="H348" t="s">
        <v>47</v>
      </c>
      <c r="I348" t="s">
        <v>48</v>
      </c>
      <c r="J348" s="1">
        <v>46190</v>
      </c>
      <c r="K348" s="1"/>
      <c r="L348" s="3">
        <v>18300</v>
      </c>
      <c r="M348" s="4">
        <v>0</v>
      </c>
      <c r="N348" s="4">
        <v>0.85</v>
      </c>
      <c r="P348">
        <v>5</v>
      </c>
      <c r="Q348" t="str">
        <f>IFERROR(VLOOKUP(E348,Lookups!$A$5:$B$24,2,FALSE),"Other")</f>
        <v>LinkedIn</v>
      </c>
      <c r="R348" t="str">
        <f>IFERROR(VLOOKUP(F348,Lookups!$D$5:$F$10,2,FALSE),"Unknown Product")</f>
        <v>Service Cloud</v>
      </c>
      <c r="S348" t="str">
        <f>IFERROR(VLOOKUP(F348,Lookups!$D$5:$F$10,3,FALSE),"Unknown")</f>
        <v>Customer Service</v>
      </c>
      <c r="T348" t="str">
        <f t="shared" si="55"/>
        <v>SMB</v>
      </c>
      <c r="U348" t="str">
        <f t="shared" si="56"/>
        <v>Open</v>
      </c>
      <c r="V348" s="3">
        <f t="shared" si="57"/>
        <v>0</v>
      </c>
      <c r="W348" s="3">
        <f t="shared" si="58"/>
        <v>15555</v>
      </c>
      <c r="X348" s="5" t="str">
        <f t="shared" si="59"/>
        <v/>
      </c>
      <c r="Y348" s="5">
        <f>IF(U348="Open",Lookups!$B$2-B348,X348)</f>
        <v>551</v>
      </c>
      <c r="Z348" t="str">
        <f t="shared" si="60"/>
        <v>STALE</v>
      </c>
      <c r="AA348" t="str">
        <f t="shared" si="61"/>
        <v>2025-02</v>
      </c>
      <c r="AB348" t="str">
        <f t="shared" si="62"/>
        <v/>
      </c>
      <c r="AC348" t="str">
        <f t="shared" si="63"/>
        <v>Q1-2025</v>
      </c>
      <c r="AD348" s="5">
        <f t="shared" si="64"/>
        <v>43</v>
      </c>
      <c r="AE348" t="str">
        <f t="shared" si="65"/>
        <v>Commit</v>
      </c>
    </row>
    <row r="349" spans="1:31">
      <c r="A349" t="s">
        <v>451</v>
      </c>
      <c r="B349" s="1">
        <v>45861</v>
      </c>
      <c r="C349" t="s">
        <v>90</v>
      </c>
      <c r="D349" t="s">
        <v>57</v>
      </c>
      <c r="E349" t="s">
        <v>75</v>
      </c>
      <c r="F349" t="s">
        <v>67</v>
      </c>
      <c r="G349" t="s">
        <v>72</v>
      </c>
      <c r="H349" t="s">
        <v>84</v>
      </c>
      <c r="I349" t="s">
        <v>48</v>
      </c>
      <c r="J349" s="1">
        <v>46093</v>
      </c>
      <c r="K349" s="1"/>
      <c r="L349" s="3">
        <v>127000</v>
      </c>
      <c r="M349" s="4">
        <v>0.03</v>
      </c>
      <c r="N349" s="4">
        <v>0.85</v>
      </c>
      <c r="P349">
        <v>5</v>
      </c>
      <c r="Q349" t="str">
        <f>IFERROR(VLOOKUP(E349,Lookups!$A$5:$B$24,2,FALSE),"Other")</f>
        <v>Webinar</v>
      </c>
      <c r="R349" t="str">
        <f>IFERROR(VLOOKUP(F349,Lookups!$D$5:$F$10,2,FALSE),"Unknown Product")</f>
        <v>Revenue Operations Suite</v>
      </c>
      <c r="S349" t="str">
        <f>IFERROR(VLOOKUP(F349,Lookups!$D$5:$F$10,3,FALSE),"Unknown")</f>
        <v>Revenue Ops</v>
      </c>
      <c r="T349" t="str">
        <f t="shared" si="55"/>
        <v>Enterprise</v>
      </c>
      <c r="U349" t="str">
        <f t="shared" si="56"/>
        <v>Open</v>
      </c>
      <c r="V349" s="3">
        <f t="shared" si="57"/>
        <v>0</v>
      </c>
      <c r="W349" s="3">
        <f t="shared" si="58"/>
        <v>107950</v>
      </c>
      <c r="X349" s="5" t="str">
        <f t="shared" si="59"/>
        <v/>
      </c>
      <c r="Y349" s="5">
        <f>IF(U349="Open",Lookups!$B$2-B349,X349)</f>
        <v>405</v>
      </c>
      <c r="Z349" t="str">
        <f t="shared" si="60"/>
        <v>STALE</v>
      </c>
      <c r="AA349" t="str">
        <f t="shared" si="61"/>
        <v>2025-07</v>
      </c>
      <c r="AB349" t="str">
        <f t="shared" si="62"/>
        <v/>
      </c>
      <c r="AC349" t="str">
        <f t="shared" si="63"/>
        <v>Q3-2025</v>
      </c>
      <c r="AD349" s="5">
        <f t="shared" si="64"/>
        <v>74</v>
      </c>
      <c r="AE349" t="str">
        <f t="shared" si="65"/>
        <v>Commit</v>
      </c>
    </row>
    <row r="350" spans="1:31">
      <c r="A350" t="s">
        <v>452</v>
      </c>
      <c r="B350" s="1">
        <v>46221</v>
      </c>
      <c r="C350" t="s">
        <v>42</v>
      </c>
      <c r="D350" t="s">
        <v>43</v>
      </c>
      <c r="E350" t="s">
        <v>51</v>
      </c>
      <c r="F350" t="s">
        <v>133</v>
      </c>
      <c r="G350" t="s">
        <v>60</v>
      </c>
      <c r="H350" t="s">
        <v>47</v>
      </c>
      <c r="I350" t="s">
        <v>73</v>
      </c>
      <c r="J350" s="1">
        <v>46258</v>
      </c>
      <c r="K350" s="1"/>
      <c r="L350" s="3">
        <v>13400</v>
      </c>
      <c r="M350" s="4">
        <v>0</v>
      </c>
      <c r="N350" s="4">
        <v>0.2</v>
      </c>
      <c r="P350">
        <v>2</v>
      </c>
      <c r="Q350" t="str">
        <f>IFERROR(VLOOKUP(E350,Lookups!$A$5:$B$24,2,FALSE),"Other")</f>
        <v>Paid Search</v>
      </c>
      <c r="R350" t="str">
        <f>IFERROR(VLOOKUP(F350,Lookups!$D$5:$F$10,2,FALSE),"Unknown Product")</f>
        <v>Analytics Plus</v>
      </c>
      <c r="S350" t="str">
        <f>IFERROR(VLOOKUP(F350,Lookups!$D$5:$F$10,3,FALSE),"Unknown")</f>
        <v>Analytics</v>
      </c>
      <c r="T350" t="str">
        <f t="shared" si="55"/>
        <v>SMB</v>
      </c>
      <c r="U350" t="str">
        <f t="shared" si="56"/>
        <v>Open</v>
      </c>
      <c r="V350" s="3">
        <f t="shared" si="57"/>
        <v>0</v>
      </c>
      <c r="W350" s="3">
        <f t="shared" si="58"/>
        <v>2680</v>
      </c>
      <c r="X350" s="5" t="str">
        <f t="shared" si="59"/>
        <v/>
      </c>
      <c r="Y350" s="5">
        <f>IF(U350="Open",Lookups!$B$2-B350,X350)</f>
        <v>45</v>
      </c>
      <c r="Z350" t="str">
        <f t="shared" si="60"/>
        <v>STALE</v>
      </c>
      <c r="AA350" t="str">
        <f t="shared" si="61"/>
        <v>2026-07</v>
      </c>
      <c r="AB350" t="str">
        <f t="shared" si="62"/>
        <v/>
      </c>
      <c r="AC350" t="str">
        <f t="shared" si="63"/>
        <v>Q3-2026</v>
      </c>
      <c r="AD350" s="5">
        <f t="shared" si="64"/>
        <v>43</v>
      </c>
      <c r="AE350" t="str">
        <f t="shared" si="65"/>
        <v>Pipeline</v>
      </c>
    </row>
    <row r="351" spans="1:31">
      <c r="A351" t="s">
        <v>453</v>
      </c>
      <c r="B351" s="1">
        <v>45877</v>
      </c>
      <c r="C351" t="s">
        <v>86</v>
      </c>
      <c r="D351" t="s">
        <v>87</v>
      </c>
      <c r="E351" t="s">
        <v>138</v>
      </c>
      <c r="F351" t="s">
        <v>52</v>
      </c>
      <c r="G351" t="s">
        <v>46</v>
      </c>
      <c r="H351" t="s">
        <v>47</v>
      </c>
      <c r="I351" t="s">
        <v>61</v>
      </c>
      <c r="J351" s="1">
        <v>45904</v>
      </c>
      <c r="K351" s="1">
        <v>45904</v>
      </c>
      <c r="L351" s="3">
        <v>6800</v>
      </c>
      <c r="M351" s="4">
        <v>0</v>
      </c>
      <c r="N351" s="4">
        <v>0</v>
      </c>
      <c r="O351" t="s">
        <v>110</v>
      </c>
      <c r="P351">
        <v>5</v>
      </c>
      <c r="Q351" t="str">
        <f>IFERROR(VLOOKUP(E351,Lookups!$A$5:$B$24,2,FALSE),"Other")</f>
        <v>Organic Search</v>
      </c>
      <c r="R351" t="str">
        <f>IFERROR(VLOOKUP(F351,Lookups!$D$5:$F$10,2,FALSE),"Unknown Product")</f>
        <v>NexaCRM Core</v>
      </c>
      <c r="S351" t="str">
        <f>IFERROR(VLOOKUP(F351,Lookups!$D$5:$F$10,3,FALSE),"Unknown")</f>
        <v>CRM</v>
      </c>
      <c r="T351" t="str">
        <f t="shared" si="55"/>
        <v>SMB</v>
      </c>
      <c r="U351" t="str">
        <f t="shared" si="56"/>
        <v>Lost</v>
      </c>
      <c r="V351" s="3">
        <f t="shared" si="57"/>
        <v>0</v>
      </c>
      <c r="W351" s="3">
        <f t="shared" si="58"/>
        <v>0</v>
      </c>
      <c r="X351" s="5">
        <f t="shared" si="59"/>
        <v>27</v>
      </c>
      <c r="Y351" s="5">
        <f>IF(U351="Open",Lookups!$B$2-B351,X351)</f>
        <v>27</v>
      </c>
      <c r="Z351" t="str">
        <f t="shared" si="60"/>
        <v>OK</v>
      </c>
      <c r="AA351" t="str">
        <f t="shared" si="61"/>
        <v>2025-08</v>
      </c>
      <c r="AB351" t="str">
        <f t="shared" si="62"/>
        <v>2025-09</v>
      </c>
      <c r="AC351" t="str">
        <f t="shared" si="63"/>
        <v>Q3-2025</v>
      </c>
      <c r="AD351" s="5">
        <f t="shared" si="64"/>
        <v>49</v>
      </c>
      <c r="AE351" t="str">
        <f t="shared" si="65"/>
        <v>Lost</v>
      </c>
    </row>
    <row r="352" spans="1:31">
      <c r="A352" t="s">
        <v>454</v>
      </c>
      <c r="B352" s="1">
        <v>46107</v>
      </c>
      <c r="C352" t="s">
        <v>90</v>
      </c>
      <c r="D352" t="s">
        <v>57</v>
      </c>
      <c r="E352" t="s">
        <v>70</v>
      </c>
      <c r="F352" t="s">
        <v>133</v>
      </c>
      <c r="G352" t="s">
        <v>112</v>
      </c>
      <c r="H352" t="s">
        <v>53</v>
      </c>
      <c r="I352" t="s">
        <v>77</v>
      </c>
      <c r="J352" s="1">
        <v>46175</v>
      </c>
      <c r="K352" s="1">
        <v>46175</v>
      </c>
      <c r="L352" s="3">
        <v>42600</v>
      </c>
      <c r="M352" s="4">
        <v>0.1</v>
      </c>
      <c r="N352" s="4">
        <v>1</v>
      </c>
      <c r="P352">
        <v>6</v>
      </c>
      <c r="Q352" t="str">
        <f>IFERROR(VLOOKUP(E352,Lookups!$A$5:$B$24,2,FALSE),"Other")</f>
        <v>LinkedIn</v>
      </c>
      <c r="R352" t="str">
        <f>IFERROR(VLOOKUP(F352,Lookups!$D$5:$F$10,2,FALSE),"Unknown Product")</f>
        <v>Analytics Plus</v>
      </c>
      <c r="S352" t="str">
        <f>IFERROR(VLOOKUP(F352,Lookups!$D$5:$F$10,3,FALSE),"Unknown")</f>
        <v>Analytics</v>
      </c>
      <c r="T352" t="str">
        <f t="shared" si="55"/>
        <v>Mid-Market</v>
      </c>
      <c r="U352" t="str">
        <f t="shared" si="56"/>
        <v>Won</v>
      </c>
      <c r="V352" s="3">
        <f t="shared" si="57"/>
        <v>38340</v>
      </c>
      <c r="W352" s="3">
        <f t="shared" si="58"/>
        <v>0</v>
      </c>
      <c r="X352" s="5">
        <f t="shared" si="59"/>
        <v>68</v>
      </c>
      <c r="Y352" s="5">
        <f>IF(U352="Open",Lookups!$B$2-B352,X352)</f>
        <v>68</v>
      </c>
      <c r="Z352" t="str">
        <f t="shared" si="60"/>
        <v>OK</v>
      </c>
      <c r="AA352" t="str">
        <f t="shared" si="61"/>
        <v>2026-03</v>
      </c>
      <c r="AB352" t="str">
        <f t="shared" si="62"/>
        <v>2026-06</v>
      </c>
      <c r="AC352" t="str">
        <f t="shared" si="63"/>
        <v>Q1-2026</v>
      </c>
      <c r="AD352" s="5">
        <f t="shared" si="64"/>
        <v>64</v>
      </c>
      <c r="AE352" t="str">
        <f t="shared" si="65"/>
        <v>Won</v>
      </c>
    </row>
    <row r="353" spans="1:31">
      <c r="A353" t="s">
        <v>455</v>
      </c>
      <c r="B353" s="1">
        <v>45687</v>
      </c>
      <c r="C353" t="s">
        <v>50</v>
      </c>
      <c r="D353" t="s">
        <v>43</v>
      </c>
      <c r="E353" t="s">
        <v>138</v>
      </c>
      <c r="F353" t="s">
        <v>67</v>
      </c>
      <c r="G353" t="s">
        <v>76</v>
      </c>
      <c r="H353" t="s">
        <v>47</v>
      </c>
      <c r="I353" t="s">
        <v>61</v>
      </c>
      <c r="J353" s="1">
        <v>45738</v>
      </c>
      <c r="K353" s="1">
        <v>45738</v>
      </c>
      <c r="L353" s="3">
        <v>25000</v>
      </c>
      <c r="M353" s="4">
        <v>0</v>
      </c>
      <c r="N353" s="4">
        <v>0</v>
      </c>
      <c r="O353" t="s">
        <v>110</v>
      </c>
      <c r="P353">
        <v>4</v>
      </c>
      <c r="Q353" t="str">
        <f>IFERROR(VLOOKUP(E353,Lookups!$A$5:$B$24,2,FALSE),"Other")</f>
        <v>Organic Search</v>
      </c>
      <c r="R353" t="str">
        <f>IFERROR(VLOOKUP(F353,Lookups!$D$5:$F$10,2,FALSE),"Unknown Product")</f>
        <v>Revenue Operations Suite</v>
      </c>
      <c r="S353" t="str">
        <f>IFERROR(VLOOKUP(F353,Lookups!$D$5:$F$10,3,FALSE),"Unknown")</f>
        <v>Revenue Ops</v>
      </c>
      <c r="T353" t="str">
        <f t="shared" si="55"/>
        <v>Mid-Market</v>
      </c>
      <c r="U353" t="str">
        <f t="shared" si="56"/>
        <v>Lost</v>
      </c>
      <c r="V353" s="3">
        <f t="shared" si="57"/>
        <v>0</v>
      </c>
      <c r="W353" s="3">
        <f t="shared" si="58"/>
        <v>0</v>
      </c>
      <c r="X353" s="5">
        <f t="shared" si="59"/>
        <v>51</v>
      </c>
      <c r="Y353" s="5">
        <f>IF(U353="Open",Lookups!$B$2-B353,X353)</f>
        <v>51</v>
      </c>
      <c r="Z353" t="str">
        <f t="shared" si="60"/>
        <v>OK</v>
      </c>
      <c r="AA353" t="str">
        <f t="shared" si="61"/>
        <v>2025-01</v>
      </c>
      <c r="AB353" t="str">
        <f t="shared" si="62"/>
        <v>2025-03</v>
      </c>
      <c r="AC353" t="str">
        <f t="shared" si="63"/>
        <v>Q1-2025</v>
      </c>
      <c r="AD353" s="5">
        <f t="shared" si="64"/>
        <v>57</v>
      </c>
      <c r="AE353" t="str">
        <f t="shared" si="65"/>
        <v>Lost</v>
      </c>
    </row>
    <row r="354" spans="1:31">
      <c r="A354" t="s">
        <v>456</v>
      </c>
      <c r="B354" s="1">
        <v>45781</v>
      </c>
      <c r="C354" t="s">
        <v>56</v>
      </c>
      <c r="D354" t="s">
        <v>57</v>
      </c>
      <c r="E354" t="s">
        <v>119</v>
      </c>
      <c r="F354" t="s">
        <v>52</v>
      </c>
      <c r="G354" t="s">
        <v>94</v>
      </c>
      <c r="H354" t="s">
        <v>53</v>
      </c>
      <c r="I354" t="s">
        <v>77</v>
      </c>
      <c r="J354" s="1">
        <v>45801</v>
      </c>
      <c r="K354" s="1">
        <v>45801</v>
      </c>
      <c r="L354" s="3">
        <v>18800</v>
      </c>
      <c r="M354" s="4">
        <v>0.08</v>
      </c>
      <c r="N354" s="4">
        <v>1</v>
      </c>
      <c r="P354">
        <v>6</v>
      </c>
      <c r="Q354" t="str">
        <f>IFERROR(VLOOKUP(E354,Lookups!$A$5:$B$24,2,FALSE),"Other")</f>
        <v>Referral</v>
      </c>
      <c r="R354" t="str">
        <f>IFERROR(VLOOKUP(F354,Lookups!$D$5:$F$10,2,FALSE),"Unknown Product")</f>
        <v>NexaCRM Core</v>
      </c>
      <c r="S354" t="str">
        <f>IFERROR(VLOOKUP(F354,Lookups!$D$5:$F$10,3,FALSE),"Unknown")</f>
        <v>CRM</v>
      </c>
      <c r="T354" t="str">
        <f t="shared" si="55"/>
        <v>SMB</v>
      </c>
      <c r="U354" t="str">
        <f t="shared" si="56"/>
        <v>Won</v>
      </c>
      <c r="V354" s="3">
        <f t="shared" si="57"/>
        <v>17296</v>
      </c>
      <c r="W354" s="3">
        <f t="shared" si="58"/>
        <v>0</v>
      </c>
      <c r="X354" s="5">
        <f t="shared" si="59"/>
        <v>20</v>
      </c>
      <c r="Y354" s="5">
        <f>IF(U354="Open",Lookups!$B$2-B354,X354)</f>
        <v>20</v>
      </c>
      <c r="Z354" t="str">
        <f t="shared" si="60"/>
        <v>OK</v>
      </c>
      <c r="AA354" t="str">
        <f t="shared" si="61"/>
        <v>2025-05</v>
      </c>
      <c r="AB354" t="str">
        <f t="shared" si="62"/>
        <v>2025-05</v>
      </c>
      <c r="AC354" t="str">
        <f t="shared" si="63"/>
        <v>Q2-2025</v>
      </c>
      <c r="AD354" s="5">
        <f t="shared" si="64"/>
        <v>62</v>
      </c>
      <c r="AE354" t="str">
        <f t="shared" si="65"/>
        <v>Won</v>
      </c>
    </row>
    <row r="355" spans="1:31">
      <c r="A355" t="s">
        <v>457</v>
      </c>
      <c r="B355" s="1">
        <v>45702</v>
      </c>
      <c r="C355" t="s">
        <v>86</v>
      </c>
      <c r="D355" t="s">
        <v>87</v>
      </c>
      <c r="E355" t="s">
        <v>75</v>
      </c>
      <c r="F355" t="s">
        <v>59</v>
      </c>
      <c r="G355" t="s">
        <v>46</v>
      </c>
      <c r="H355" t="s">
        <v>53</v>
      </c>
      <c r="I355" t="s">
        <v>61</v>
      </c>
      <c r="J355" s="1">
        <v>45764</v>
      </c>
      <c r="K355" s="1">
        <v>45764</v>
      </c>
      <c r="L355" s="3">
        <v>23500</v>
      </c>
      <c r="M355" s="4">
        <v>0</v>
      </c>
      <c r="N355" s="4">
        <v>0</v>
      </c>
      <c r="O355" t="s">
        <v>62</v>
      </c>
      <c r="P355">
        <v>5</v>
      </c>
      <c r="Q355" t="str">
        <f>IFERROR(VLOOKUP(E355,Lookups!$A$5:$B$24,2,FALSE),"Other")</f>
        <v>Webinar</v>
      </c>
      <c r="R355" t="str">
        <f>IFERROR(VLOOKUP(F355,Lookups!$D$5:$F$10,2,FALSE),"Unknown Product")</f>
        <v>NexaCRM Pro</v>
      </c>
      <c r="S355" t="str">
        <f>IFERROR(VLOOKUP(F355,Lookups!$D$5:$F$10,3,FALSE),"Unknown")</f>
        <v>CRM</v>
      </c>
      <c r="T355" t="str">
        <f t="shared" si="55"/>
        <v>Mid-Market</v>
      </c>
      <c r="U355" t="str">
        <f t="shared" si="56"/>
        <v>Lost</v>
      </c>
      <c r="V355" s="3">
        <f t="shared" si="57"/>
        <v>0</v>
      </c>
      <c r="W355" s="3">
        <f t="shared" si="58"/>
        <v>0</v>
      </c>
      <c r="X355" s="5">
        <f t="shared" si="59"/>
        <v>62</v>
      </c>
      <c r="Y355" s="5">
        <f>IF(U355="Open",Lookups!$B$2-B355,X355)</f>
        <v>62</v>
      </c>
      <c r="Z355" t="str">
        <f t="shared" si="60"/>
        <v>OK</v>
      </c>
      <c r="AA355" t="str">
        <f t="shared" si="61"/>
        <v>2025-02</v>
      </c>
      <c r="AB355" t="str">
        <f t="shared" si="62"/>
        <v>2025-04</v>
      </c>
      <c r="AC355" t="str">
        <f t="shared" si="63"/>
        <v>Q1-2025</v>
      </c>
      <c r="AD355" s="5">
        <f t="shared" si="64"/>
        <v>59</v>
      </c>
      <c r="AE355" t="str">
        <f t="shared" si="65"/>
        <v>Lost</v>
      </c>
    </row>
    <row r="356" spans="1:31">
      <c r="A356" t="s">
        <v>458</v>
      </c>
      <c r="B356" s="1">
        <v>46227</v>
      </c>
      <c r="C356" t="s">
        <v>148</v>
      </c>
      <c r="D356" t="s">
        <v>43</v>
      </c>
      <c r="E356" t="s">
        <v>75</v>
      </c>
      <c r="F356" t="s">
        <v>133</v>
      </c>
      <c r="G356" t="s">
        <v>99</v>
      </c>
      <c r="H356" t="s">
        <v>84</v>
      </c>
      <c r="I356" t="s">
        <v>61</v>
      </c>
      <c r="J356" s="1">
        <v>46266</v>
      </c>
      <c r="K356" s="1">
        <v>46266</v>
      </c>
      <c r="L356" s="3">
        <v>62500</v>
      </c>
      <c r="M356" s="4">
        <v>0</v>
      </c>
      <c r="N356" s="4">
        <v>0</v>
      </c>
      <c r="O356" t="s">
        <v>110</v>
      </c>
      <c r="P356">
        <v>3</v>
      </c>
      <c r="Q356" t="str">
        <f>IFERROR(VLOOKUP(E356,Lookups!$A$5:$B$24,2,FALSE),"Other")</f>
        <v>Webinar</v>
      </c>
      <c r="R356" t="str">
        <f>IFERROR(VLOOKUP(F356,Lookups!$D$5:$F$10,2,FALSE),"Unknown Product")</f>
        <v>Analytics Plus</v>
      </c>
      <c r="S356" t="str">
        <f>IFERROR(VLOOKUP(F356,Lookups!$D$5:$F$10,3,FALSE),"Unknown")</f>
        <v>Analytics</v>
      </c>
      <c r="T356" t="str">
        <f t="shared" si="55"/>
        <v>Enterprise</v>
      </c>
      <c r="U356" t="str">
        <f t="shared" si="56"/>
        <v>Lost</v>
      </c>
      <c r="V356" s="3">
        <f t="shared" si="57"/>
        <v>0</v>
      </c>
      <c r="W356" s="3">
        <f t="shared" si="58"/>
        <v>0</v>
      </c>
      <c r="X356" s="5">
        <f t="shared" si="59"/>
        <v>39</v>
      </c>
      <c r="Y356" s="5">
        <f>IF(U356="Open",Lookups!$B$2-B356,X356)</f>
        <v>39</v>
      </c>
      <c r="Z356" t="str">
        <f t="shared" si="60"/>
        <v>OK</v>
      </c>
      <c r="AA356" t="str">
        <f t="shared" si="61"/>
        <v>2026-07</v>
      </c>
      <c r="AB356" t="str">
        <f t="shared" si="62"/>
        <v>2026-09</v>
      </c>
      <c r="AC356" t="str">
        <f t="shared" si="63"/>
        <v>Q3-2026</v>
      </c>
      <c r="AD356" s="5">
        <f t="shared" si="64"/>
        <v>74</v>
      </c>
      <c r="AE356" t="str">
        <f t="shared" si="65"/>
        <v>Lost</v>
      </c>
    </row>
    <row r="357" spans="1:31">
      <c r="A357" t="s">
        <v>459</v>
      </c>
      <c r="B357" s="1">
        <v>46085</v>
      </c>
      <c r="C357" t="s">
        <v>56</v>
      </c>
      <c r="D357" t="s">
        <v>57</v>
      </c>
      <c r="E357" t="s">
        <v>83</v>
      </c>
      <c r="F357" t="s">
        <v>59</v>
      </c>
      <c r="G357" t="s">
        <v>94</v>
      </c>
      <c r="H357" t="s">
        <v>53</v>
      </c>
      <c r="I357" t="s">
        <v>48</v>
      </c>
      <c r="J357" s="1">
        <v>46177</v>
      </c>
      <c r="K357" s="1"/>
      <c r="L357" s="3">
        <v>45400</v>
      </c>
      <c r="M357" s="4">
        <v>0.03</v>
      </c>
      <c r="N357" s="4">
        <v>0.85</v>
      </c>
      <c r="P357">
        <v>5</v>
      </c>
      <c r="Q357" t="str">
        <f>IFERROR(VLOOKUP(E357,Lookups!$A$5:$B$24,2,FALSE),"Other")</f>
        <v>Organic Search</v>
      </c>
      <c r="R357" t="str">
        <f>IFERROR(VLOOKUP(F357,Lookups!$D$5:$F$10,2,FALSE),"Unknown Product")</f>
        <v>NexaCRM Pro</v>
      </c>
      <c r="S357" t="str">
        <f>IFERROR(VLOOKUP(F357,Lookups!$D$5:$F$10,3,FALSE),"Unknown")</f>
        <v>CRM</v>
      </c>
      <c r="T357" t="str">
        <f t="shared" si="55"/>
        <v>Mid-Market</v>
      </c>
      <c r="U357" t="str">
        <f t="shared" si="56"/>
        <v>Open</v>
      </c>
      <c r="V357" s="3">
        <f t="shared" si="57"/>
        <v>0</v>
      </c>
      <c r="W357" s="3">
        <f t="shared" si="58"/>
        <v>38590</v>
      </c>
      <c r="X357" s="5" t="str">
        <f t="shared" si="59"/>
        <v/>
      </c>
      <c r="Y357" s="5">
        <f>IF(U357="Open",Lookups!$B$2-B357,X357)</f>
        <v>181</v>
      </c>
      <c r="Z357" t="str">
        <f t="shared" si="60"/>
        <v>STALE</v>
      </c>
      <c r="AA357" t="str">
        <f t="shared" si="61"/>
        <v>2026-03</v>
      </c>
      <c r="AB357" t="str">
        <f t="shared" si="62"/>
        <v/>
      </c>
      <c r="AC357" t="str">
        <f t="shared" si="63"/>
        <v>Q1-2026</v>
      </c>
      <c r="AD357" s="5">
        <f t="shared" si="64"/>
        <v>65</v>
      </c>
      <c r="AE357" t="str">
        <f t="shared" si="65"/>
        <v>Commit</v>
      </c>
    </row>
    <row r="358" spans="1:31">
      <c r="A358" t="s">
        <v>460</v>
      </c>
      <c r="B358" s="1">
        <v>46176</v>
      </c>
      <c r="C358" t="s">
        <v>42</v>
      </c>
      <c r="D358" t="s">
        <v>43</v>
      </c>
      <c r="E358" t="s">
        <v>96</v>
      </c>
      <c r="F358" t="s">
        <v>71</v>
      </c>
      <c r="G358" t="s">
        <v>72</v>
      </c>
      <c r="H358" t="s">
        <v>47</v>
      </c>
      <c r="I358" t="s">
        <v>61</v>
      </c>
      <c r="J358" s="1">
        <v>46226</v>
      </c>
      <c r="K358" s="1">
        <v>46226</v>
      </c>
      <c r="L358" s="3">
        <v>15600</v>
      </c>
      <c r="M358" s="4">
        <v>0</v>
      </c>
      <c r="N358" s="4">
        <v>0</v>
      </c>
      <c r="O358" t="s">
        <v>110</v>
      </c>
      <c r="P358">
        <v>4</v>
      </c>
      <c r="Q358" t="str">
        <f>IFERROR(VLOOKUP(E358,Lookups!$A$5:$B$24,2,FALSE),"Other")</f>
        <v>LinkedIn</v>
      </c>
      <c r="R358" t="str">
        <f>IFERROR(VLOOKUP(F358,Lookups!$D$5:$F$10,2,FALSE),"Unknown Product")</f>
        <v>Marketing Automation</v>
      </c>
      <c r="S358" t="str">
        <f>IFERROR(VLOOKUP(F358,Lookups!$D$5:$F$10,3,FALSE),"Unknown")</f>
        <v>Marketing</v>
      </c>
      <c r="T358" t="str">
        <f t="shared" si="55"/>
        <v>SMB</v>
      </c>
      <c r="U358" t="str">
        <f t="shared" si="56"/>
        <v>Lost</v>
      </c>
      <c r="V358" s="3">
        <f t="shared" si="57"/>
        <v>0</v>
      </c>
      <c r="W358" s="3">
        <f t="shared" si="58"/>
        <v>0</v>
      </c>
      <c r="X358" s="5">
        <f t="shared" si="59"/>
        <v>50</v>
      </c>
      <c r="Y358" s="5">
        <f>IF(U358="Open",Lookups!$B$2-B358,X358)</f>
        <v>50</v>
      </c>
      <c r="Z358" t="str">
        <f t="shared" si="60"/>
        <v>OK</v>
      </c>
      <c r="AA358" t="str">
        <f t="shared" si="61"/>
        <v>2026-06</v>
      </c>
      <c r="AB358" t="str">
        <f t="shared" si="62"/>
        <v>2026-07</v>
      </c>
      <c r="AC358" t="str">
        <f t="shared" si="63"/>
        <v>Q2-2026</v>
      </c>
      <c r="AD358" s="5">
        <f t="shared" si="64"/>
        <v>43</v>
      </c>
      <c r="AE358" t="str">
        <f t="shared" si="65"/>
        <v>Lost</v>
      </c>
    </row>
    <row r="359" spans="1:31">
      <c r="A359" t="s">
        <v>461</v>
      </c>
      <c r="B359" s="1">
        <v>45741</v>
      </c>
      <c r="C359" t="s">
        <v>64</v>
      </c>
      <c r="D359" t="s">
        <v>57</v>
      </c>
      <c r="E359" t="s">
        <v>98</v>
      </c>
      <c r="F359" t="s">
        <v>71</v>
      </c>
      <c r="G359" t="s">
        <v>72</v>
      </c>
      <c r="H359" t="s">
        <v>84</v>
      </c>
      <c r="I359" t="s">
        <v>61</v>
      </c>
      <c r="J359" s="1">
        <v>45774</v>
      </c>
      <c r="K359" s="1">
        <v>45774</v>
      </c>
      <c r="L359" s="3">
        <v>31200</v>
      </c>
      <c r="M359" s="4">
        <v>0</v>
      </c>
      <c r="N359" s="4">
        <v>0</v>
      </c>
      <c r="O359" t="s">
        <v>62</v>
      </c>
      <c r="P359">
        <v>5</v>
      </c>
      <c r="Q359" t="str">
        <f>IFERROR(VLOOKUP(E359,Lookups!$A$5:$B$24,2,FALSE),"Other")</f>
        <v>Outbound</v>
      </c>
      <c r="R359" t="str">
        <f>IFERROR(VLOOKUP(F359,Lookups!$D$5:$F$10,2,FALSE),"Unknown Product")</f>
        <v>Marketing Automation</v>
      </c>
      <c r="S359" t="str">
        <f>IFERROR(VLOOKUP(F359,Lookups!$D$5:$F$10,3,FALSE),"Unknown")</f>
        <v>Marketing</v>
      </c>
      <c r="T359" t="str">
        <f t="shared" si="55"/>
        <v>Mid-Market</v>
      </c>
      <c r="U359" t="str">
        <f t="shared" si="56"/>
        <v>Lost</v>
      </c>
      <c r="V359" s="3">
        <f t="shared" si="57"/>
        <v>0</v>
      </c>
      <c r="W359" s="3">
        <f t="shared" si="58"/>
        <v>0</v>
      </c>
      <c r="X359" s="5">
        <f t="shared" si="59"/>
        <v>33</v>
      </c>
      <c r="Y359" s="5">
        <f>IF(U359="Open",Lookups!$B$2-B359,X359)</f>
        <v>33</v>
      </c>
      <c r="Z359" t="str">
        <f t="shared" si="60"/>
        <v>OK</v>
      </c>
      <c r="AA359" t="str">
        <f t="shared" si="61"/>
        <v>2025-03</v>
      </c>
      <c r="AB359" t="str">
        <f t="shared" si="62"/>
        <v>2025-04</v>
      </c>
      <c r="AC359" t="str">
        <f t="shared" si="63"/>
        <v>Q1-2025</v>
      </c>
      <c r="AD359" s="5">
        <f t="shared" si="64"/>
        <v>67</v>
      </c>
      <c r="AE359" t="str">
        <f t="shared" si="65"/>
        <v>Lost</v>
      </c>
    </row>
    <row r="360" spans="1:31">
      <c r="A360" t="s">
        <v>462</v>
      </c>
      <c r="B360" s="1">
        <v>46071</v>
      </c>
      <c r="C360" t="s">
        <v>69</v>
      </c>
      <c r="D360" t="s">
        <v>57</v>
      </c>
      <c r="E360" t="s">
        <v>83</v>
      </c>
      <c r="F360" t="s">
        <v>52</v>
      </c>
      <c r="G360" t="s">
        <v>94</v>
      </c>
      <c r="H360" t="s">
        <v>53</v>
      </c>
      <c r="I360" t="s">
        <v>48</v>
      </c>
      <c r="J360" s="1">
        <v>46241</v>
      </c>
      <c r="K360" s="1"/>
      <c r="L360" s="3">
        <v>16100</v>
      </c>
      <c r="M360" s="4">
        <v>0</v>
      </c>
      <c r="N360" s="4">
        <v>0.85</v>
      </c>
      <c r="P360">
        <v>5</v>
      </c>
      <c r="Q360" t="str">
        <f>IFERROR(VLOOKUP(E360,Lookups!$A$5:$B$24,2,FALSE),"Other")</f>
        <v>Organic Search</v>
      </c>
      <c r="R360" t="str">
        <f>IFERROR(VLOOKUP(F360,Lookups!$D$5:$F$10,2,FALSE),"Unknown Product")</f>
        <v>NexaCRM Core</v>
      </c>
      <c r="S360" t="str">
        <f>IFERROR(VLOOKUP(F360,Lookups!$D$5:$F$10,3,FALSE),"Unknown")</f>
        <v>CRM</v>
      </c>
      <c r="T360" t="str">
        <f t="shared" si="55"/>
        <v>SMB</v>
      </c>
      <c r="U360" t="str">
        <f t="shared" si="56"/>
        <v>Open</v>
      </c>
      <c r="V360" s="3">
        <f t="shared" si="57"/>
        <v>0</v>
      </c>
      <c r="W360" s="3">
        <f t="shared" si="58"/>
        <v>13685</v>
      </c>
      <c r="X360" s="5" t="str">
        <f t="shared" si="59"/>
        <v/>
      </c>
      <c r="Y360" s="5">
        <f>IF(U360="Open",Lookups!$B$2-B360,X360)</f>
        <v>195</v>
      </c>
      <c r="Z360" t="str">
        <f t="shared" si="60"/>
        <v>STALE</v>
      </c>
      <c r="AA360" t="str">
        <f t="shared" si="61"/>
        <v>2026-02</v>
      </c>
      <c r="AB360" t="str">
        <f t="shared" si="62"/>
        <v/>
      </c>
      <c r="AC360" t="str">
        <f t="shared" si="63"/>
        <v>Q1-2026</v>
      </c>
      <c r="AD360" s="5">
        <f t="shared" si="64"/>
        <v>57</v>
      </c>
      <c r="AE360" t="str">
        <f t="shared" si="65"/>
        <v>Commit</v>
      </c>
    </row>
    <row r="361" spans="1:31">
      <c r="A361" t="s">
        <v>463</v>
      </c>
      <c r="B361" s="1">
        <v>45827</v>
      </c>
      <c r="C361" t="s">
        <v>148</v>
      </c>
      <c r="D361" t="s">
        <v>43</v>
      </c>
      <c r="E361" t="s">
        <v>166</v>
      </c>
      <c r="F361" t="s">
        <v>133</v>
      </c>
      <c r="G361" t="s">
        <v>60</v>
      </c>
      <c r="H361" t="s">
        <v>53</v>
      </c>
      <c r="I361" t="s">
        <v>61</v>
      </c>
      <c r="J361" s="1">
        <v>45876</v>
      </c>
      <c r="K361" s="1">
        <v>45876</v>
      </c>
      <c r="L361" s="3">
        <v>37000</v>
      </c>
      <c r="M361" s="4">
        <v>0</v>
      </c>
      <c r="N361" s="4">
        <v>0</v>
      </c>
      <c r="O361" t="s">
        <v>102</v>
      </c>
      <c r="P361">
        <v>4</v>
      </c>
      <c r="Q361" t="str">
        <f>IFERROR(VLOOKUP(E361,Lookups!$A$5:$B$24,2,FALSE),"Other")</f>
        <v>Referral</v>
      </c>
      <c r="R361" t="str">
        <f>IFERROR(VLOOKUP(F361,Lookups!$D$5:$F$10,2,FALSE),"Unknown Product")</f>
        <v>Analytics Plus</v>
      </c>
      <c r="S361" t="str">
        <f>IFERROR(VLOOKUP(F361,Lookups!$D$5:$F$10,3,FALSE),"Unknown")</f>
        <v>Analytics</v>
      </c>
      <c r="T361" t="str">
        <f t="shared" si="55"/>
        <v>Mid-Market</v>
      </c>
      <c r="U361" t="str">
        <f t="shared" si="56"/>
        <v>Lost</v>
      </c>
      <c r="V361" s="3">
        <f t="shared" si="57"/>
        <v>0</v>
      </c>
      <c r="W361" s="3">
        <f t="shared" si="58"/>
        <v>0</v>
      </c>
      <c r="X361" s="5">
        <f t="shared" si="59"/>
        <v>49</v>
      </c>
      <c r="Y361" s="5">
        <f>IF(U361="Open",Lookups!$B$2-B361,X361)</f>
        <v>49</v>
      </c>
      <c r="Z361" t="str">
        <f t="shared" si="60"/>
        <v>OK</v>
      </c>
      <c r="AA361" t="str">
        <f t="shared" si="61"/>
        <v>2025-06</v>
      </c>
      <c r="AB361" t="str">
        <f t="shared" si="62"/>
        <v>2025-08</v>
      </c>
      <c r="AC361" t="str">
        <f t="shared" si="63"/>
        <v>Q2-2025</v>
      </c>
      <c r="AD361" s="5">
        <f t="shared" si="64"/>
        <v>70</v>
      </c>
      <c r="AE361" t="str">
        <f t="shared" si="65"/>
        <v>Lost</v>
      </c>
    </row>
    <row r="362" spans="1:31">
      <c r="A362" t="s">
        <v>464</v>
      </c>
      <c r="B362" s="1">
        <v>46191</v>
      </c>
      <c r="C362" t="s">
        <v>90</v>
      </c>
      <c r="D362" t="s">
        <v>57</v>
      </c>
      <c r="E362" t="s">
        <v>138</v>
      </c>
      <c r="F362" t="s">
        <v>59</v>
      </c>
      <c r="G362" t="s">
        <v>72</v>
      </c>
      <c r="H362" t="s">
        <v>53</v>
      </c>
      <c r="I362" t="s">
        <v>77</v>
      </c>
      <c r="J362" s="1">
        <v>46246</v>
      </c>
      <c r="K362" s="1">
        <v>46246</v>
      </c>
      <c r="L362" s="3">
        <v>35800</v>
      </c>
      <c r="M362" s="4">
        <v>0.1</v>
      </c>
      <c r="N362" s="4">
        <v>1</v>
      </c>
      <c r="P362">
        <v>6</v>
      </c>
      <c r="Q362" t="str">
        <f>IFERROR(VLOOKUP(E362,Lookups!$A$5:$B$24,2,FALSE),"Other")</f>
        <v>Organic Search</v>
      </c>
      <c r="R362" t="str">
        <f>IFERROR(VLOOKUP(F362,Lookups!$D$5:$F$10,2,FALSE),"Unknown Product")</f>
        <v>NexaCRM Pro</v>
      </c>
      <c r="S362" t="str">
        <f>IFERROR(VLOOKUP(F362,Lookups!$D$5:$F$10,3,FALSE),"Unknown")</f>
        <v>CRM</v>
      </c>
      <c r="T362" t="str">
        <f t="shared" si="55"/>
        <v>Mid-Market</v>
      </c>
      <c r="U362" t="str">
        <f t="shared" si="56"/>
        <v>Won</v>
      </c>
      <c r="V362" s="3">
        <f t="shared" si="57"/>
        <v>32220</v>
      </c>
      <c r="W362" s="3">
        <f t="shared" si="58"/>
        <v>0</v>
      </c>
      <c r="X362" s="5">
        <f t="shared" si="59"/>
        <v>55</v>
      </c>
      <c r="Y362" s="5">
        <f>IF(U362="Open",Lookups!$B$2-B362,X362)</f>
        <v>55</v>
      </c>
      <c r="Z362" t="str">
        <f t="shared" si="60"/>
        <v>OK</v>
      </c>
      <c r="AA362" t="str">
        <f t="shared" si="61"/>
        <v>2026-06</v>
      </c>
      <c r="AB362" t="str">
        <f t="shared" si="62"/>
        <v>2026-08</v>
      </c>
      <c r="AC362" t="str">
        <f t="shared" si="63"/>
        <v>Q2-2026</v>
      </c>
      <c r="AD362" s="5">
        <f t="shared" si="64"/>
        <v>65</v>
      </c>
      <c r="AE362" t="str">
        <f t="shared" si="65"/>
        <v>Won</v>
      </c>
    </row>
    <row r="363" spans="1:31">
      <c r="A363" t="s">
        <v>465</v>
      </c>
      <c r="B363" s="1">
        <v>45902</v>
      </c>
      <c r="C363" t="s">
        <v>86</v>
      </c>
      <c r="D363" t="s">
        <v>87</v>
      </c>
      <c r="E363" t="s">
        <v>109</v>
      </c>
      <c r="F363" t="s">
        <v>59</v>
      </c>
      <c r="G363" t="s">
        <v>94</v>
      </c>
      <c r="H363" t="s">
        <v>47</v>
      </c>
      <c r="I363" t="s">
        <v>48</v>
      </c>
      <c r="J363" s="1">
        <v>46165</v>
      </c>
      <c r="K363" s="1"/>
      <c r="L363" s="3">
        <v>16400</v>
      </c>
      <c r="M363" s="4">
        <v>0</v>
      </c>
      <c r="N363" s="4">
        <v>0.85</v>
      </c>
      <c r="P363">
        <v>5</v>
      </c>
      <c r="Q363" t="str">
        <f>IFERROR(VLOOKUP(E363,Lookups!$A$5:$B$24,2,FALSE),"Other")</f>
        <v>Outbound</v>
      </c>
      <c r="R363" t="str">
        <f>IFERROR(VLOOKUP(F363,Lookups!$D$5:$F$10,2,FALSE),"Unknown Product")</f>
        <v>NexaCRM Pro</v>
      </c>
      <c r="S363" t="str">
        <f>IFERROR(VLOOKUP(F363,Lookups!$D$5:$F$10,3,FALSE),"Unknown")</f>
        <v>CRM</v>
      </c>
      <c r="T363" t="str">
        <f t="shared" si="55"/>
        <v>SMB</v>
      </c>
      <c r="U363" t="str">
        <f t="shared" si="56"/>
        <v>Open</v>
      </c>
      <c r="V363" s="3">
        <f t="shared" si="57"/>
        <v>0</v>
      </c>
      <c r="W363" s="3">
        <f t="shared" si="58"/>
        <v>13940</v>
      </c>
      <c r="X363" s="5" t="str">
        <f t="shared" si="59"/>
        <v/>
      </c>
      <c r="Y363" s="5">
        <f>IF(U363="Open",Lookups!$B$2-B363,X363)</f>
        <v>364</v>
      </c>
      <c r="Z363" t="str">
        <f t="shared" si="60"/>
        <v>STALE</v>
      </c>
      <c r="AA363" t="str">
        <f t="shared" si="61"/>
        <v>2025-09</v>
      </c>
      <c r="AB363" t="str">
        <f t="shared" si="62"/>
        <v/>
      </c>
      <c r="AC363" t="str">
        <f t="shared" si="63"/>
        <v>Q3-2025</v>
      </c>
      <c r="AD363" s="5">
        <f t="shared" si="64"/>
        <v>43</v>
      </c>
      <c r="AE363" t="str">
        <f t="shared" si="65"/>
        <v>Commit</v>
      </c>
    </row>
    <row r="364" spans="1:31">
      <c r="A364" t="s">
        <v>466</v>
      </c>
      <c r="B364" s="1">
        <v>45759</v>
      </c>
      <c r="C364" t="s">
        <v>64</v>
      </c>
      <c r="D364" t="s">
        <v>57</v>
      </c>
      <c r="E364" t="s">
        <v>107</v>
      </c>
      <c r="F364" t="s">
        <v>59</v>
      </c>
      <c r="G364" t="s">
        <v>99</v>
      </c>
      <c r="H364" t="s">
        <v>84</v>
      </c>
      <c r="I364" t="s">
        <v>77</v>
      </c>
      <c r="J364" s="1">
        <v>45838</v>
      </c>
      <c r="K364" s="1">
        <v>45838</v>
      </c>
      <c r="L364" s="3">
        <v>63700</v>
      </c>
      <c r="M364" s="4">
        <v>0.03</v>
      </c>
      <c r="N364" s="4">
        <v>1</v>
      </c>
      <c r="P364">
        <v>6</v>
      </c>
      <c r="Q364" t="str">
        <f>IFERROR(VLOOKUP(E364,Lookups!$A$5:$B$24,2,FALSE),"Other")</f>
        <v>Referral</v>
      </c>
      <c r="R364" t="str">
        <f>IFERROR(VLOOKUP(F364,Lookups!$D$5:$F$10,2,FALSE),"Unknown Product")</f>
        <v>NexaCRM Pro</v>
      </c>
      <c r="S364" t="str">
        <f>IFERROR(VLOOKUP(F364,Lookups!$D$5:$F$10,3,FALSE),"Unknown")</f>
        <v>CRM</v>
      </c>
      <c r="T364" t="str">
        <f t="shared" si="55"/>
        <v>Enterprise</v>
      </c>
      <c r="U364" t="str">
        <f t="shared" si="56"/>
        <v>Won</v>
      </c>
      <c r="V364" s="3">
        <f t="shared" si="57"/>
        <v>61789</v>
      </c>
      <c r="W364" s="3">
        <f t="shared" si="58"/>
        <v>0</v>
      </c>
      <c r="X364" s="5">
        <f t="shared" si="59"/>
        <v>79</v>
      </c>
      <c r="Y364" s="5">
        <f>IF(U364="Open",Lookups!$B$2-B364,X364)</f>
        <v>79</v>
      </c>
      <c r="Z364" t="str">
        <f t="shared" si="60"/>
        <v>OK</v>
      </c>
      <c r="AA364" t="str">
        <f t="shared" si="61"/>
        <v>2025-04</v>
      </c>
      <c r="AB364" t="str">
        <f t="shared" si="62"/>
        <v>2025-06</v>
      </c>
      <c r="AC364" t="str">
        <f t="shared" si="63"/>
        <v>Q2-2025</v>
      </c>
      <c r="AD364" s="5">
        <f t="shared" si="64"/>
        <v>85</v>
      </c>
      <c r="AE364" t="str">
        <f t="shared" si="65"/>
        <v>Won</v>
      </c>
    </row>
    <row r="365" spans="1:31">
      <c r="A365" t="s">
        <v>467</v>
      </c>
      <c r="B365" s="1">
        <v>46192</v>
      </c>
      <c r="C365" t="s">
        <v>50</v>
      </c>
      <c r="D365" t="s">
        <v>43</v>
      </c>
      <c r="E365" t="s">
        <v>138</v>
      </c>
      <c r="F365" t="s">
        <v>71</v>
      </c>
      <c r="G365" t="s">
        <v>46</v>
      </c>
      <c r="H365" t="s">
        <v>47</v>
      </c>
      <c r="I365" t="s">
        <v>77</v>
      </c>
      <c r="J365" s="1">
        <v>46236</v>
      </c>
      <c r="K365" s="1">
        <v>46236</v>
      </c>
      <c r="L365" s="3">
        <v>17300</v>
      </c>
      <c r="M365" s="4">
        <v>0.03</v>
      </c>
      <c r="N365" s="4">
        <v>1</v>
      </c>
      <c r="P365">
        <v>6</v>
      </c>
      <c r="Q365" t="str">
        <f>IFERROR(VLOOKUP(E365,Lookups!$A$5:$B$24,2,FALSE),"Other")</f>
        <v>Organic Search</v>
      </c>
      <c r="R365" t="str">
        <f>IFERROR(VLOOKUP(F365,Lookups!$D$5:$F$10,2,FALSE),"Unknown Product")</f>
        <v>Marketing Automation</v>
      </c>
      <c r="S365" t="str">
        <f>IFERROR(VLOOKUP(F365,Lookups!$D$5:$F$10,3,FALSE),"Unknown")</f>
        <v>Marketing</v>
      </c>
      <c r="T365" t="str">
        <f t="shared" si="55"/>
        <v>SMB</v>
      </c>
      <c r="U365" t="str">
        <f t="shared" si="56"/>
        <v>Won</v>
      </c>
      <c r="V365" s="3">
        <f t="shared" si="57"/>
        <v>16781</v>
      </c>
      <c r="W365" s="3">
        <f t="shared" si="58"/>
        <v>0</v>
      </c>
      <c r="X365" s="5">
        <f t="shared" si="59"/>
        <v>44</v>
      </c>
      <c r="Y365" s="5">
        <f>IF(U365="Open",Lookups!$B$2-B365,X365)</f>
        <v>44</v>
      </c>
      <c r="Z365" t="str">
        <f t="shared" si="60"/>
        <v>OK</v>
      </c>
      <c r="AA365" t="str">
        <f t="shared" si="61"/>
        <v>2026-06</v>
      </c>
      <c r="AB365" t="str">
        <f t="shared" si="62"/>
        <v>2026-08</v>
      </c>
      <c r="AC365" t="str">
        <f t="shared" si="63"/>
        <v>Q2-2026</v>
      </c>
      <c r="AD365" s="5">
        <f t="shared" si="64"/>
        <v>49</v>
      </c>
      <c r="AE365" t="str">
        <f t="shared" si="65"/>
        <v>Won</v>
      </c>
    </row>
    <row r="366" spans="1:31">
      <c r="A366" t="s">
        <v>468</v>
      </c>
      <c r="B366" s="1">
        <v>46058</v>
      </c>
      <c r="C366" t="s">
        <v>42</v>
      </c>
      <c r="D366" t="s">
        <v>43</v>
      </c>
      <c r="E366" t="s">
        <v>70</v>
      </c>
      <c r="F366" t="s">
        <v>52</v>
      </c>
      <c r="G366" t="s">
        <v>112</v>
      </c>
      <c r="H366" t="s">
        <v>47</v>
      </c>
      <c r="I366" t="s">
        <v>61</v>
      </c>
      <c r="J366" s="1">
        <v>46108</v>
      </c>
      <c r="K366" s="1">
        <v>46108</v>
      </c>
      <c r="L366" s="3">
        <v>10000</v>
      </c>
      <c r="M366" s="4">
        <v>0</v>
      </c>
      <c r="N366" s="4">
        <v>0</v>
      </c>
      <c r="O366" t="s">
        <v>110</v>
      </c>
      <c r="P366">
        <v>3</v>
      </c>
      <c r="Q366" t="str">
        <f>IFERROR(VLOOKUP(E366,Lookups!$A$5:$B$24,2,FALSE),"Other")</f>
        <v>LinkedIn</v>
      </c>
      <c r="R366" t="str">
        <f>IFERROR(VLOOKUP(F366,Lookups!$D$5:$F$10,2,FALSE),"Unknown Product")</f>
        <v>NexaCRM Core</v>
      </c>
      <c r="S366" t="str">
        <f>IFERROR(VLOOKUP(F366,Lookups!$D$5:$F$10,3,FALSE),"Unknown")</f>
        <v>CRM</v>
      </c>
      <c r="T366" t="str">
        <f t="shared" si="55"/>
        <v>SMB</v>
      </c>
      <c r="U366" t="str">
        <f t="shared" si="56"/>
        <v>Lost</v>
      </c>
      <c r="V366" s="3">
        <f t="shared" si="57"/>
        <v>0</v>
      </c>
      <c r="W366" s="3">
        <f t="shared" si="58"/>
        <v>0</v>
      </c>
      <c r="X366" s="5">
        <f t="shared" si="59"/>
        <v>50</v>
      </c>
      <c r="Y366" s="5">
        <f>IF(U366="Open",Lookups!$B$2-B366,X366)</f>
        <v>50</v>
      </c>
      <c r="Z366" t="str">
        <f t="shared" si="60"/>
        <v>OK</v>
      </c>
      <c r="AA366" t="str">
        <f t="shared" si="61"/>
        <v>2026-02</v>
      </c>
      <c r="AB366" t="str">
        <f t="shared" si="62"/>
        <v>2026-03</v>
      </c>
      <c r="AC366" t="str">
        <f t="shared" si="63"/>
        <v>Q1-2026</v>
      </c>
      <c r="AD366" s="5">
        <f t="shared" si="64"/>
        <v>48</v>
      </c>
      <c r="AE366" t="str">
        <f t="shared" si="65"/>
        <v>Lost</v>
      </c>
    </row>
    <row r="367" spans="1:31">
      <c r="A367" t="s">
        <v>469</v>
      </c>
      <c r="B367" s="1">
        <v>46030</v>
      </c>
      <c r="C367" t="s">
        <v>42</v>
      </c>
      <c r="D367" t="s">
        <v>43</v>
      </c>
      <c r="E367" t="s">
        <v>138</v>
      </c>
      <c r="F367" t="s">
        <v>71</v>
      </c>
      <c r="G367" t="s">
        <v>112</v>
      </c>
      <c r="H367" t="s">
        <v>53</v>
      </c>
      <c r="I367" t="s">
        <v>61</v>
      </c>
      <c r="J367" s="1">
        <v>46097</v>
      </c>
      <c r="K367" s="1">
        <v>46097</v>
      </c>
      <c r="L367" s="3">
        <v>31900</v>
      </c>
      <c r="M367" s="4">
        <v>0</v>
      </c>
      <c r="N367" s="4">
        <v>0</v>
      </c>
      <c r="O367" t="s">
        <v>102</v>
      </c>
      <c r="P367">
        <v>5</v>
      </c>
      <c r="Q367" t="str">
        <f>IFERROR(VLOOKUP(E367,Lookups!$A$5:$B$24,2,FALSE),"Other")</f>
        <v>Organic Search</v>
      </c>
      <c r="R367" t="str">
        <f>IFERROR(VLOOKUP(F367,Lookups!$D$5:$F$10,2,FALSE),"Unknown Product")</f>
        <v>Marketing Automation</v>
      </c>
      <c r="S367" t="str">
        <f>IFERROR(VLOOKUP(F367,Lookups!$D$5:$F$10,3,FALSE),"Unknown")</f>
        <v>Marketing</v>
      </c>
      <c r="T367" t="str">
        <f t="shared" si="55"/>
        <v>Mid-Market</v>
      </c>
      <c r="U367" t="str">
        <f t="shared" si="56"/>
        <v>Lost</v>
      </c>
      <c r="V367" s="3">
        <f t="shared" si="57"/>
        <v>0</v>
      </c>
      <c r="W367" s="3">
        <f t="shared" si="58"/>
        <v>0</v>
      </c>
      <c r="X367" s="5">
        <f t="shared" si="59"/>
        <v>67</v>
      </c>
      <c r="Y367" s="5">
        <f>IF(U367="Open",Lookups!$B$2-B367,X367)</f>
        <v>67</v>
      </c>
      <c r="Z367" t="str">
        <f t="shared" si="60"/>
        <v>OK</v>
      </c>
      <c r="AA367" t="str">
        <f t="shared" si="61"/>
        <v>2026-01</v>
      </c>
      <c r="AB367" t="str">
        <f t="shared" si="62"/>
        <v>2026-03</v>
      </c>
      <c r="AC367" t="str">
        <f t="shared" si="63"/>
        <v>Q1-2026</v>
      </c>
      <c r="AD367" s="5">
        <f t="shared" si="64"/>
        <v>70</v>
      </c>
      <c r="AE367" t="str">
        <f t="shared" si="65"/>
        <v>Lost</v>
      </c>
    </row>
    <row r="368" spans="1:31">
      <c r="A368" t="s">
        <v>470</v>
      </c>
      <c r="B368" s="1">
        <v>45772</v>
      </c>
      <c r="C368" t="s">
        <v>86</v>
      </c>
      <c r="D368" t="s">
        <v>87</v>
      </c>
      <c r="E368" t="s">
        <v>160</v>
      </c>
      <c r="F368" t="s">
        <v>59</v>
      </c>
      <c r="G368" t="s">
        <v>112</v>
      </c>
      <c r="H368" t="s">
        <v>47</v>
      </c>
      <c r="I368" t="s">
        <v>61</v>
      </c>
      <c r="J368" s="1">
        <v>45833</v>
      </c>
      <c r="K368" s="1">
        <v>45833</v>
      </c>
      <c r="L368" s="3">
        <v>13700</v>
      </c>
      <c r="M368" s="4">
        <v>0</v>
      </c>
      <c r="N368" s="4">
        <v>0</v>
      </c>
      <c r="O368" t="s">
        <v>79</v>
      </c>
      <c r="P368">
        <v>3</v>
      </c>
      <c r="Q368" t="str">
        <f>IFERROR(VLOOKUP(E368,Lookups!$A$5:$B$24,2,FALSE),"Other")</f>
        <v>Email</v>
      </c>
      <c r="R368" t="str">
        <f>IFERROR(VLOOKUP(F368,Lookups!$D$5:$F$10,2,FALSE),"Unknown Product")</f>
        <v>NexaCRM Pro</v>
      </c>
      <c r="S368" t="str">
        <f>IFERROR(VLOOKUP(F368,Lookups!$D$5:$F$10,3,FALSE),"Unknown")</f>
        <v>CRM</v>
      </c>
      <c r="T368" t="str">
        <f t="shared" si="55"/>
        <v>SMB</v>
      </c>
      <c r="U368" t="str">
        <f t="shared" si="56"/>
        <v>Lost</v>
      </c>
      <c r="V368" s="3">
        <f t="shared" si="57"/>
        <v>0</v>
      </c>
      <c r="W368" s="3">
        <f t="shared" si="58"/>
        <v>0</v>
      </c>
      <c r="X368" s="5">
        <f t="shared" si="59"/>
        <v>61</v>
      </c>
      <c r="Y368" s="5">
        <f>IF(U368="Open",Lookups!$B$2-B368,X368)</f>
        <v>61</v>
      </c>
      <c r="Z368" t="str">
        <f t="shared" si="60"/>
        <v>OK</v>
      </c>
      <c r="AA368" t="str">
        <f t="shared" si="61"/>
        <v>2025-04</v>
      </c>
      <c r="AB368" t="str">
        <f t="shared" si="62"/>
        <v>2025-06</v>
      </c>
      <c r="AC368" t="str">
        <f t="shared" si="63"/>
        <v>Q2-2025</v>
      </c>
      <c r="AD368" s="5">
        <f t="shared" si="64"/>
        <v>52</v>
      </c>
      <c r="AE368" t="str">
        <f t="shared" si="65"/>
        <v>Lost</v>
      </c>
    </row>
    <row r="369" spans="1:31">
      <c r="A369" t="s">
        <v>471</v>
      </c>
      <c r="B369" s="1">
        <v>45925</v>
      </c>
      <c r="C369" t="s">
        <v>42</v>
      </c>
      <c r="D369" t="s">
        <v>43</v>
      </c>
      <c r="E369" t="s">
        <v>70</v>
      </c>
      <c r="F369" t="s">
        <v>133</v>
      </c>
      <c r="G369" t="s">
        <v>60</v>
      </c>
      <c r="H369" t="s">
        <v>47</v>
      </c>
      <c r="I369" t="s">
        <v>61</v>
      </c>
      <c r="J369" s="1">
        <v>45933</v>
      </c>
      <c r="K369" s="1">
        <v>45933</v>
      </c>
      <c r="L369" s="3">
        <v>29600</v>
      </c>
      <c r="M369" s="4">
        <v>0</v>
      </c>
      <c r="N369" s="4">
        <v>0</v>
      </c>
      <c r="O369" t="s">
        <v>62</v>
      </c>
      <c r="P369">
        <v>5</v>
      </c>
      <c r="Q369" t="str">
        <f>IFERROR(VLOOKUP(E369,Lookups!$A$5:$B$24,2,FALSE),"Other")</f>
        <v>LinkedIn</v>
      </c>
      <c r="R369" t="str">
        <f>IFERROR(VLOOKUP(F369,Lookups!$D$5:$F$10,2,FALSE),"Unknown Product")</f>
        <v>Analytics Plus</v>
      </c>
      <c r="S369" t="str">
        <f>IFERROR(VLOOKUP(F369,Lookups!$D$5:$F$10,3,FALSE),"Unknown")</f>
        <v>Analytics</v>
      </c>
      <c r="T369" t="str">
        <f t="shared" si="55"/>
        <v>Mid-Market</v>
      </c>
      <c r="U369" t="str">
        <f t="shared" si="56"/>
        <v>Lost</v>
      </c>
      <c r="V369" s="3">
        <f t="shared" si="57"/>
        <v>0</v>
      </c>
      <c r="W369" s="3">
        <f t="shared" si="58"/>
        <v>0</v>
      </c>
      <c r="X369" s="5">
        <f t="shared" si="59"/>
        <v>8</v>
      </c>
      <c r="Y369" s="5">
        <f>IF(U369="Open",Lookups!$B$2-B369,X369)</f>
        <v>8</v>
      </c>
      <c r="Z369" t="str">
        <f t="shared" si="60"/>
        <v>OK</v>
      </c>
      <c r="AA369" t="str">
        <f t="shared" si="61"/>
        <v>2025-09</v>
      </c>
      <c r="AB369" t="str">
        <f t="shared" si="62"/>
        <v>2025-10</v>
      </c>
      <c r="AC369" t="str">
        <f t="shared" si="63"/>
        <v>Q3-2025</v>
      </c>
      <c r="AD369" s="5">
        <f t="shared" si="64"/>
        <v>51</v>
      </c>
      <c r="AE369" t="str">
        <f t="shared" si="65"/>
        <v>Lost</v>
      </c>
    </row>
    <row r="370" spans="1:31">
      <c r="A370" t="s">
        <v>472</v>
      </c>
      <c r="B370" s="1">
        <v>45967</v>
      </c>
      <c r="C370" t="s">
        <v>50</v>
      </c>
      <c r="D370" t="s">
        <v>43</v>
      </c>
      <c r="E370" t="s">
        <v>119</v>
      </c>
      <c r="F370" t="s">
        <v>59</v>
      </c>
      <c r="G370" t="s">
        <v>99</v>
      </c>
      <c r="H370" t="s">
        <v>47</v>
      </c>
      <c r="I370" t="s">
        <v>77</v>
      </c>
      <c r="J370" s="1">
        <v>46009</v>
      </c>
      <c r="K370" s="1">
        <v>46009</v>
      </c>
      <c r="L370" s="3">
        <v>19200</v>
      </c>
      <c r="M370" s="4">
        <v>0.12</v>
      </c>
      <c r="N370" s="4">
        <v>1</v>
      </c>
      <c r="P370">
        <v>6</v>
      </c>
      <c r="Q370" t="str">
        <f>IFERROR(VLOOKUP(E370,Lookups!$A$5:$B$24,2,FALSE),"Other")</f>
        <v>Referral</v>
      </c>
      <c r="R370" t="str">
        <f>IFERROR(VLOOKUP(F370,Lookups!$D$5:$F$10,2,FALSE),"Unknown Product")</f>
        <v>NexaCRM Pro</v>
      </c>
      <c r="S370" t="str">
        <f>IFERROR(VLOOKUP(F370,Lookups!$D$5:$F$10,3,FALSE),"Unknown")</f>
        <v>CRM</v>
      </c>
      <c r="T370" t="str">
        <f t="shared" si="55"/>
        <v>SMB</v>
      </c>
      <c r="U370" t="str">
        <f t="shared" si="56"/>
        <v>Won</v>
      </c>
      <c r="V370" s="3">
        <f t="shared" si="57"/>
        <v>16896</v>
      </c>
      <c r="W370" s="3">
        <f t="shared" si="58"/>
        <v>0</v>
      </c>
      <c r="X370" s="5">
        <f t="shared" si="59"/>
        <v>42</v>
      </c>
      <c r="Y370" s="5">
        <f>IF(U370="Open",Lookups!$B$2-B370,X370)</f>
        <v>42</v>
      </c>
      <c r="Z370" t="str">
        <f t="shared" si="60"/>
        <v>OK</v>
      </c>
      <c r="AA370" t="str">
        <f t="shared" si="61"/>
        <v>2025-11</v>
      </c>
      <c r="AB370" t="str">
        <f t="shared" si="62"/>
        <v>2025-12</v>
      </c>
      <c r="AC370" t="str">
        <f t="shared" si="63"/>
        <v>Q4-2025</v>
      </c>
      <c r="AD370" s="5">
        <f t="shared" si="64"/>
        <v>54</v>
      </c>
      <c r="AE370" t="str">
        <f t="shared" si="65"/>
        <v>Won</v>
      </c>
    </row>
    <row r="371" spans="1:31">
      <c r="A371" t="s">
        <v>473</v>
      </c>
      <c r="B371" s="1">
        <v>45726</v>
      </c>
      <c r="C371" t="s">
        <v>64</v>
      </c>
      <c r="D371" t="s">
        <v>57</v>
      </c>
      <c r="E371" t="s">
        <v>70</v>
      </c>
      <c r="F371" t="s">
        <v>45</v>
      </c>
      <c r="G371" t="s">
        <v>60</v>
      </c>
      <c r="H371" t="s">
        <v>47</v>
      </c>
      <c r="I371" t="s">
        <v>61</v>
      </c>
      <c r="J371" s="1">
        <v>45765</v>
      </c>
      <c r="K371" s="1">
        <v>45765</v>
      </c>
      <c r="L371" s="3">
        <v>26000</v>
      </c>
      <c r="M371" s="4">
        <v>0</v>
      </c>
      <c r="N371" s="4">
        <v>0</v>
      </c>
      <c r="O371" t="s">
        <v>81</v>
      </c>
      <c r="P371">
        <v>4</v>
      </c>
      <c r="Q371" t="str">
        <f>IFERROR(VLOOKUP(E371,Lookups!$A$5:$B$24,2,FALSE),"Other")</f>
        <v>LinkedIn</v>
      </c>
      <c r="R371" t="str">
        <f>IFERROR(VLOOKUP(F371,Lookups!$D$5:$F$10,2,FALSE),"Unknown Product")</f>
        <v>Service Cloud</v>
      </c>
      <c r="S371" t="str">
        <f>IFERROR(VLOOKUP(F371,Lookups!$D$5:$F$10,3,FALSE),"Unknown")</f>
        <v>Customer Service</v>
      </c>
      <c r="T371" t="str">
        <f t="shared" si="55"/>
        <v>Mid-Market</v>
      </c>
      <c r="U371" t="str">
        <f t="shared" si="56"/>
        <v>Lost</v>
      </c>
      <c r="V371" s="3">
        <f t="shared" si="57"/>
        <v>0</v>
      </c>
      <c r="W371" s="3">
        <f t="shared" si="58"/>
        <v>0</v>
      </c>
      <c r="X371" s="5">
        <f t="shared" si="59"/>
        <v>39</v>
      </c>
      <c r="Y371" s="5">
        <f>IF(U371="Open",Lookups!$B$2-B371,X371)</f>
        <v>39</v>
      </c>
      <c r="Z371" t="str">
        <f t="shared" si="60"/>
        <v>OK</v>
      </c>
      <c r="AA371" t="str">
        <f t="shared" si="61"/>
        <v>2025-03</v>
      </c>
      <c r="AB371" t="str">
        <f t="shared" si="62"/>
        <v>2025-04</v>
      </c>
      <c r="AC371" t="str">
        <f t="shared" si="63"/>
        <v>Q1-2025</v>
      </c>
      <c r="AD371" s="5">
        <f t="shared" si="64"/>
        <v>51</v>
      </c>
      <c r="AE371" t="str">
        <f t="shared" si="65"/>
        <v>Lost</v>
      </c>
    </row>
    <row r="372" spans="1:31">
      <c r="A372" t="s">
        <v>474</v>
      </c>
      <c r="B372" s="1">
        <v>45802</v>
      </c>
      <c r="C372" t="s">
        <v>56</v>
      </c>
      <c r="D372" t="s">
        <v>57</v>
      </c>
      <c r="E372" t="s">
        <v>138</v>
      </c>
      <c r="F372" t="s">
        <v>59</v>
      </c>
      <c r="G372" t="s">
        <v>99</v>
      </c>
      <c r="H372" t="s">
        <v>47</v>
      </c>
      <c r="I372" t="s">
        <v>61</v>
      </c>
      <c r="J372" s="1">
        <v>45862</v>
      </c>
      <c r="K372" s="1">
        <v>45862</v>
      </c>
      <c r="L372" s="3">
        <v>13700</v>
      </c>
      <c r="M372" s="4">
        <v>0</v>
      </c>
      <c r="N372" s="4">
        <v>0</v>
      </c>
      <c r="O372" t="s">
        <v>116</v>
      </c>
      <c r="P372">
        <v>3</v>
      </c>
      <c r="Q372" t="str">
        <f>IFERROR(VLOOKUP(E372,Lookups!$A$5:$B$24,2,FALSE),"Other")</f>
        <v>Organic Search</v>
      </c>
      <c r="R372" t="str">
        <f>IFERROR(VLOOKUP(F372,Lookups!$D$5:$F$10,2,FALSE),"Unknown Product")</f>
        <v>NexaCRM Pro</v>
      </c>
      <c r="S372" t="str">
        <f>IFERROR(VLOOKUP(F372,Lookups!$D$5:$F$10,3,FALSE),"Unknown")</f>
        <v>CRM</v>
      </c>
      <c r="T372" t="str">
        <f t="shared" si="55"/>
        <v>SMB</v>
      </c>
      <c r="U372" t="str">
        <f t="shared" si="56"/>
        <v>Lost</v>
      </c>
      <c r="V372" s="3">
        <f t="shared" si="57"/>
        <v>0</v>
      </c>
      <c r="W372" s="3">
        <f t="shared" si="58"/>
        <v>0</v>
      </c>
      <c r="X372" s="5">
        <f t="shared" si="59"/>
        <v>60</v>
      </c>
      <c r="Y372" s="5">
        <f>IF(U372="Open",Lookups!$B$2-B372,X372)</f>
        <v>60</v>
      </c>
      <c r="Z372" t="str">
        <f t="shared" si="60"/>
        <v>OK</v>
      </c>
      <c r="AA372" t="str">
        <f t="shared" si="61"/>
        <v>2025-05</v>
      </c>
      <c r="AB372" t="str">
        <f t="shared" si="62"/>
        <v>2025-07</v>
      </c>
      <c r="AC372" t="str">
        <f t="shared" si="63"/>
        <v>Q2-2025</v>
      </c>
      <c r="AD372" s="5">
        <f t="shared" si="64"/>
        <v>49</v>
      </c>
      <c r="AE372" t="str">
        <f t="shared" si="65"/>
        <v>Lost</v>
      </c>
    </row>
    <row r="373" spans="1:31">
      <c r="A373" t="s">
        <v>475</v>
      </c>
      <c r="B373" s="1">
        <v>45778</v>
      </c>
      <c r="C373" t="s">
        <v>42</v>
      </c>
      <c r="D373" t="s">
        <v>43</v>
      </c>
      <c r="E373" t="s">
        <v>109</v>
      </c>
      <c r="F373" t="s">
        <v>52</v>
      </c>
      <c r="G373" t="s">
        <v>112</v>
      </c>
      <c r="H373" t="s">
        <v>84</v>
      </c>
      <c r="I373" t="s">
        <v>61</v>
      </c>
      <c r="J373" s="1">
        <v>45798</v>
      </c>
      <c r="K373" s="1">
        <v>45798</v>
      </c>
      <c r="L373" s="3">
        <v>25300</v>
      </c>
      <c r="M373" s="4">
        <v>0</v>
      </c>
      <c r="N373" s="4">
        <v>0</v>
      </c>
      <c r="O373" t="s">
        <v>116</v>
      </c>
      <c r="P373">
        <v>5</v>
      </c>
      <c r="Q373" t="str">
        <f>IFERROR(VLOOKUP(E373,Lookups!$A$5:$B$24,2,FALSE),"Other")</f>
        <v>Outbound</v>
      </c>
      <c r="R373" t="str">
        <f>IFERROR(VLOOKUP(F373,Lookups!$D$5:$F$10,2,FALSE),"Unknown Product")</f>
        <v>NexaCRM Core</v>
      </c>
      <c r="S373" t="str">
        <f>IFERROR(VLOOKUP(F373,Lookups!$D$5:$F$10,3,FALSE),"Unknown")</f>
        <v>CRM</v>
      </c>
      <c r="T373" t="str">
        <f t="shared" si="55"/>
        <v>Mid-Market</v>
      </c>
      <c r="U373" t="str">
        <f t="shared" si="56"/>
        <v>Lost</v>
      </c>
      <c r="V373" s="3">
        <f t="shared" si="57"/>
        <v>0</v>
      </c>
      <c r="W373" s="3">
        <f t="shared" si="58"/>
        <v>0</v>
      </c>
      <c r="X373" s="5">
        <f t="shared" si="59"/>
        <v>20</v>
      </c>
      <c r="Y373" s="5">
        <f>IF(U373="Open",Lookups!$B$2-B373,X373)</f>
        <v>20</v>
      </c>
      <c r="Z373" t="str">
        <f t="shared" si="60"/>
        <v>OK</v>
      </c>
      <c r="AA373" t="str">
        <f t="shared" si="61"/>
        <v>2025-05</v>
      </c>
      <c r="AB373" t="str">
        <f t="shared" si="62"/>
        <v>2025-05</v>
      </c>
      <c r="AC373" t="str">
        <f t="shared" si="63"/>
        <v>Q2-2025</v>
      </c>
      <c r="AD373" s="5">
        <f t="shared" si="64"/>
        <v>72</v>
      </c>
      <c r="AE373" t="str">
        <f t="shared" si="65"/>
        <v>Lost</v>
      </c>
    </row>
    <row r="374" spans="1:31">
      <c r="A374" t="s">
        <v>476</v>
      </c>
      <c r="B374" s="1">
        <v>45985</v>
      </c>
      <c r="C374" t="s">
        <v>42</v>
      </c>
      <c r="D374" t="s">
        <v>43</v>
      </c>
      <c r="E374" t="s">
        <v>127</v>
      </c>
      <c r="F374" t="s">
        <v>67</v>
      </c>
      <c r="G374" t="s">
        <v>94</v>
      </c>
      <c r="H374" t="s">
        <v>84</v>
      </c>
      <c r="I374" t="s">
        <v>61</v>
      </c>
      <c r="J374" s="1">
        <v>45999</v>
      </c>
      <c r="K374" s="1">
        <v>45999</v>
      </c>
      <c r="L374" s="3">
        <v>129400</v>
      </c>
      <c r="M374" s="4">
        <v>0</v>
      </c>
      <c r="N374" s="4">
        <v>0</v>
      </c>
      <c r="O374" t="s">
        <v>81</v>
      </c>
      <c r="P374">
        <v>3</v>
      </c>
      <c r="Q374" t="str">
        <f>IFERROR(VLOOKUP(E374,Lookups!$A$5:$B$24,2,FALSE),"Other")</f>
        <v>Paid Search</v>
      </c>
      <c r="R374" t="str">
        <f>IFERROR(VLOOKUP(F374,Lookups!$D$5:$F$10,2,FALSE),"Unknown Product")</f>
        <v>Revenue Operations Suite</v>
      </c>
      <c r="S374" t="str">
        <f>IFERROR(VLOOKUP(F374,Lookups!$D$5:$F$10,3,FALSE),"Unknown")</f>
        <v>Revenue Ops</v>
      </c>
      <c r="T374" t="str">
        <f t="shared" si="55"/>
        <v>Enterprise</v>
      </c>
      <c r="U374" t="str">
        <f t="shared" si="56"/>
        <v>Lost</v>
      </c>
      <c r="V374" s="3">
        <f t="shared" si="57"/>
        <v>0</v>
      </c>
      <c r="W374" s="3">
        <f t="shared" si="58"/>
        <v>0</v>
      </c>
      <c r="X374" s="5">
        <f t="shared" si="59"/>
        <v>14</v>
      </c>
      <c r="Y374" s="5">
        <f>IF(U374="Open",Lookups!$B$2-B374,X374)</f>
        <v>14</v>
      </c>
      <c r="Z374" t="str">
        <f t="shared" si="60"/>
        <v>OK</v>
      </c>
      <c r="AA374" t="str">
        <f t="shared" si="61"/>
        <v>2025-11</v>
      </c>
      <c r="AB374" t="str">
        <f t="shared" si="62"/>
        <v>2025-12</v>
      </c>
      <c r="AC374" t="str">
        <f t="shared" si="63"/>
        <v>Q4-2025</v>
      </c>
      <c r="AD374" s="5">
        <f t="shared" si="64"/>
        <v>74</v>
      </c>
      <c r="AE374" t="str">
        <f t="shared" si="65"/>
        <v>Lost</v>
      </c>
    </row>
    <row r="375" spans="1:31">
      <c r="A375" t="s">
        <v>477</v>
      </c>
      <c r="B375" s="1">
        <v>45808</v>
      </c>
      <c r="C375" t="s">
        <v>90</v>
      </c>
      <c r="D375" t="s">
        <v>57</v>
      </c>
      <c r="E375" t="s">
        <v>83</v>
      </c>
      <c r="F375" t="s">
        <v>52</v>
      </c>
      <c r="G375" t="s">
        <v>72</v>
      </c>
      <c r="H375" t="s">
        <v>53</v>
      </c>
      <c r="I375" t="s">
        <v>77</v>
      </c>
      <c r="J375" s="1">
        <v>45870</v>
      </c>
      <c r="K375" s="1">
        <v>45870</v>
      </c>
      <c r="L375" s="3">
        <v>13400</v>
      </c>
      <c r="M375" s="4">
        <v>0.12</v>
      </c>
      <c r="N375" s="4">
        <v>1</v>
      </c>
      <c r="P375">
        <v>6</v>
      </c>
      <c r="Q375" t="str">
        <f>IFERROR(VLOOKUP(E375,Lookups!$A$5:$B$24,2,FALSE),"Other")</f>
        <v>Organic Search</v>
      </c>
      <c r="R375" t="str">
        <f>IFERROR(VLOOKUP(F375,Lookups!$D$5:$F$10,2,FALSE),"Unknown Product")</f>
        <v>NexaCRM Core</v>
      </c>
      <c r="S375" t="str">
        <f>IFERROR(VLOOKUP(F375,Lookups!$D$5:$F$10,3,FALSE),"Unknown")</f>
        <v>CRM</v>
      </c>
      <c r="T375" t="str">
        <f t="shared" si="55"/>
        <v>SMB</v>
      </c>
      <c r="U375" t="str">
        <f t="shared" si="56"/>
        <v>Won</v>
      </c>
      <c r="V375" s="3">
        <f t="shared" si="57"/>
        <v>11792</v>
      </c>
      <c r="W375" s="3">
        <f t="shared" si="58"/>
        <v>0</v>
      </c>
      <c r="X375" s="5">
        <f t="shared" si="59"/>
        <v>62</v>
      </c>
      <c r="Y375" s="5">
        <f>IF(U375="Open",Lookups!$B$2-B375,X375)</f>
        <v>62</v>
      </c>
      <c r="Z375" t="str">
        <f t="shared" si="60"/>
        <v>OK</v>
      </c>
      <c r="AA375" t="str">
        <f t="shared" si="61"/>
        <v>2025-05</v>
      </c>
      <c r="AB375" t="str">
        <f t="shared" si="62"/>
        <v>2025-08</v>
      </c>
      <c r="AC375" t="str">
        <f t="shared" si="63"/>
        <v>Q2-2025</v>
      </c>
      <c r="AD375" s="5">
        <f t="shared" si="64"/>
        <v>57</v>
      </c>
      <c r="AE375" t="str">
        <f t="shared" si="65"/>
        <v>Won</v>
      </c>
    </row>
    <row r="376" spans="1:31">
      <c r="A376" t="s">
        <v>478</v>
      </c>
      <c r="B376" s="1">
        <v>46167</v>
      </c>
      <c r="C376" t="s">
        <v>50</v>
      </c>
      <c r="D376" t="s">
        <v>43</v>
      </c>
      <c r="E376" t="s">
        <v>44</v>
      </c>
      <c r="F376" t="s">
        <v>52</v>
      </c>
      <c r="G376" t="s">
        <v>112</v>
      </c>
      <c r="H376" t="s">
        <v>53</v>
      </c>
      <c r="I376" t="s">
        <v>61</v>
      </c>
      <c r="J376" s="1">
        <v>46184</v>
      </c>
      <c r="K376" s="1">
        <v>46184</v>
      </c>
      <c r="L376" s="3">
        <v>9000</v>
      </c>
      <c r="M376" s="4">
        <v>0</v>
      </c>
      <c r="N376" s="4">
        <v>0</v>
      </c>
      <c r="O376" t="s">
        <v>116</v>
      </c>
      <c r="P376">
        <v>4</v>
      </c>
      <c r="Q376" t="str">
        <f>IFERROR(VLOOKUP(E376,Lookups!$A$5:$B$24,2,FALSE),"Other")</f>
        <v>Organic Search</v>
      </c>
      <c r="R376" t="str">
        <f>IFERROR(VLOOKUP(F376,Lookups!$D$5:$F$10,2,FALSE),"Unknown Product")</f>
        <v>NexaCRM Core</v>
      </c>
      <c r="S376" t="str">
        <f>IFERROR(VLOOKUP(F376,Lookups!$D$5:$F$10,3,FALSE),"Unknown")</f>
        <v>CRM</v>
      </c>
      <c r="T376" t="str">
        <f t="shared" si="55"/>
        <v>SMB</v>
      </c>
      <c r="U376" t="str">
        <f t="shared" si="56"/>
        <v>Lost</v>
      </c>
      <c r="V376" s="3">
        <f t="shared" si="57"/>
        <v>0</v>
      </c>
      <c r="W376" s="3">
        <f t="shared" si="58"/>
        <v>0</v>
      </c>
      <c r="X376" s="5">
        <f t="shared" si="59"/>
        <v>17</v>
      </c>
      <c r="Y376" s="5">
        <f>IF(U376="Open",Lookups!$B$2-B376,X376)</f>
        <v>17</v>
      </c>
      <c r="Z376" t="str">
        <f t="shared" si="60"/>
        <v>OK</v>
      </c>
      <c r="AA376" t="str">
        <f t="shared" si="61"/>
        <v>2026-05</v>
      </c>
      <c r="AB376" t="str">
        <f t="shared" si="62"/>
        <v>2026-06</v>
      </c>
      <c r="AC376" t="str">
        <f t="shared" si="63"/>
        <v>Q2-2026</v>
      </c>
      <c r="AD376" s="5">
        <f t="shared" si="64"/>
        <v>62</v>
      </c>
      <c r="AE376" t="str">
        <f t="shared" si="65"/>
        <v>Lost</v>
      </c>
    </row>
    <row r="377" spans="1:31">
      <c r="A377" t="s">
        <v>479</v>
      </c>
      <c r="B377" s="1">
        <v>46159</v>
      </c>
      <c r="C377" t="s">
        <v>90</v>
      </c>
      <c r="D377" t="s">
        <v>57</v>
      </c>
      <c r="E377" t="s">
        <v>65</v>
      </c>
      <c r="F377" t="s">
        <v>71</v>
      </c>
      <c r="G377" t="s">
        <v>94</v>
      </c>
      <c r="H377" t="s">
        <v>47</v>
      </c>
      <c r="I377" t="s">
        <v>105</v>
      </c>
      <c r="J377" s="1">
        <v>46239</v>
      </c>
      <c r="K377" s="1"/>
      <c r="L377" s="3">
        <v>9300</v>
      </c>
      <c r="M377" s="4">
        <v>0</v>
      </c>
      <c r="N377" s="4">
        <v>0.4</v>
      </c>
      <c r="P377">
        <v>3</v>
      </c>
      <c r="Q377" t="str">
        <f>IFERROR(VLOOKUP(E377,Lookups!$A$5:$B$24,2,FALSE),"Other")</f>
        <v>Paid Search</v>
      </c>
      <c r="R377" t="str">
        <f>IFERROR(VLOOKUP(F377,Lookups!$D$5:$F$10,2,FALSE),"Unknown Product")</f>
        <v>Marketing Automation</v>
      </c>
      <c r="S377" t="str">
        <f>IFERROR(VLOOKUP(F377,Lookups!$D$5:$F$10,3,FALSE),"Unknown")</f>
        <v>Marketing</v>
      </c>
      <c r="T377" t="str">
        <f t="shared" si="55"/>
        <v>SMB</v>
      </c>
      <c r="U377" t="str">
        <f t="shared" si="56"/>
        <v>Open</v>
      </c>
      <c r="V377" s="3">
        <f t="shared" si="57"/>
        <v>0</v>
      </c>
      <c r="W377" s="3">
        <f t="shared" si="58"/>
        <v>3720</v>
      </c>
      <c r="X377" s="5" t="str">
        <f t="shared" si="59"/>
        <v/>
      </c>
      <c r="Y377" s="5">
        <f>IF(U377="Open",Lookups!$B$2-B377,X377)</f>
        <v>107</v>
      </c>
      <c r="Z377" t="str">
        <f t="shared" si="60"/>
        <v>STALE</v>
      </c>
      <c r="AA377" t="str">
        <f t="shared" si="61"/>
        <v>2026-05</v>
      </c>
      <c r="AB377" t="str">
        <f t="shared" si="62"/>
        <v/>
      </c>
      <c r="AC377" t="str">
        <f t="shared" si="63"/>
        <v>Q2-2026</v>
      </c>
      <c r="AD377" s="5">
        <f t="shared" si="64"/>
        <v>43</v>
      </c>
      <c r="AE377" t="str">
        <f t="shared" si="65"/>
        <v>Pipeline</v>
      </c>
    </row>
    <row r="378" spans="1:31">
      <c r="A378" t="s">
        <v>480</v>
      </c>
      <c r="B378" s="1">
        <v>46220</v>
      </c>
      <c r="C378" t="s">
        <v>42</v>
      </c>
      <c r="D378" t="s">
        <v>43</v>
      </c>
      <c r="E378" t="s">
        <v>127</v>
      </c>
      <c r="F378" t="s">
        <v>71</v>
      </c>
      <c r="G378" t="s">
        <v>60</v>
      </c>
      <c r="H378" t="s">
        <v>47</v>
      </c>
      <c r="I378" t="s">
        <v>73</v>
      </c>
      <c r="J378" s="1">
        <v>46246</v>
      </c>
      <c r="K378" s="1"/>
      <c r="L378" s="3">
        <v>17400</v>
      </c>
      <c r="M378" s="4">
        <v>0</v>
      </c>
      <c r="N378" s="4">
        <v>0.2</v>
      </c>
      <c r="P378">
        <v>2</v>
      </c>
      <c r="Q378" t="str">
        <f>IFERROR(VLOOKUP(E378,Lookups!$A$5:$B$24,2,FALSE),"Other")</f>
        <v>Paid Search</v>
      </c>
      <c r="R378" t="str">
        <f>IFERROR(VLOOKUP(F378,Lookups!$D$5:$F$10,2,FALSE),"Unknown Product")</f>
        <v>Marketing Automation</v>
      </c>
      <c r="S378" t="str">
        <f>IFERROR(VLOOKUP(F378,Lookups!$D$5:$F$10,3,FALSE),"Unknown")</f>
        <v>Marketing</v>
      </c>
      <c r="T378" t="str">
        <f t="shared" si="55"/>
        <v>SMB</v>
      </c>
      <c r="U378" t="str">
        <f t="shared" si="56"/>
        <v>Open</v>
      </c>
      <c r="V378" s="3">
        <f t="shared" si="57"/>
        <v>0</v>
      </c>
      <c r="W378" s="3">
        <f t="shared" si="58"/>
        <v>3480</v>
      </c>
      <c r="X378" s="5" t="str">
        <f t="shared" si="59"/>
        <v/>
      </c>
      <c r="Y378" s="5">
        <f>IF(U378="Open",Lookups!$B$2-B378,X378)</f>
        <v>46</v>
      </c>
      <c r="Z378" t="str">
        <f t="shared" si="60"/>
        <v>STALE</v>
      </c>
      <c r="AA378" t="str">
        <f t="shared" si="61"/>
        <v>2026-07</v>
      </c>
      <c r="AB378" t="str">
        <f t="shared" si="62"/>
        <v/>
      </c>
      <c r="AC378" t="str">
        <f t="shared" si="63"/>
        <v>Q3-2026</v>
      </c>
      <c r="AD378" s="5">
        <f t="shared" si="64"/>
        <v>43</v>
      </c>
      <c r="AE378" t="str">
        <f t="shared" si="65"/>
        <v>Pipeline</v>
      </c>
    </row>
    <row r="379" spans="1:31">
      <c r="A379" t="s">
        <v>481</v>
      </c>
      <c r="B379" s="1">
        <v>46033</v>
      </c>
      <c r="C379" t="s">
        <v>42</v>
      </c>
      <c r="D379" t="s">
        <v>43</v>
      </c>
      <c r="E379" t="s">
        <v>160</v>
      </c>
      <c r="F379" t="s">
        <v>45</v>
      </c>
      <c r="G379" t="s">
        <v>94</v>
      </c>
      <c r="H379" t="s">
        <v>53</v>
      </c>
      <c r="I379" t="s">
        <v>77</v>
      </c>
      <c r="J379" s="1">
        <v>46081</v>
      </c>
      <c r="K379" s="1">
        <v>46081</v>
      </c>
      <c r="L379" s="3">
        <v>36900</v>
      </c>
      <c r="M379" s="4">
        <v>0</v>
      </c>
      <c r="N379" s="4">
        <v>1</v>
      </c>
      <c r="P379">
        <v>6</v>
      </c>
      <c r="Q379" t="str">
        <f>IFERROR(VLOOKUP(E379,Lookups!$A$5:$B$24,2,FALSE),"Other")</f>
        <v>Email</v>
      </c>
      <c r="R379" t="str">
        <f>IFERROR(VLOOKUP(F379,Lookups!$D$5:$F$10,2,FALSE),"Unknown Product")</f>
        <v>Service Cloud</v>
      </c>
      <c r="S379" t="str">
        <f>IFERROR(VLOOKUP(F379,Lookups!$D$5:$F$10,3,FALSE),"Unknown")</f>
        <v>Customer Service</v>
      </c>
      <c r="T379" t="str">
        <f t="shared" si="55"/>
        <v>Mid-Market</v>
      </c>
      <c r="U379" t="str">
        <f t="shared" si="56"/>
        <v>Won</v>
      </c>
      <c r="V379" s="3">
        <f t="shared" si="57"/>
        <v>36900</v>
      </c>
      <c r="W379" s="3">
        <f t="shared" si="58"/>
        <v>0</v>
      </c>
      <c r="X379" s="5">
        <f t="shared" si="59"/>
        <v>48</v>
      </c>
      <c r="Y379" s="5">
        <f>IF(U379="Open",Lookups!$B$2-B379,X379)</f>
        <v>48</v>
      </c>
      <c r="Z379" t="str">
        <f t="shared" si="60"/>
        <v>OK</v>
      </c>
      <c r="AA379" t="str">
        <f t="shared" si="61"/>
        <v>2026-01</v>
      </c>
      <c r="AB379" t="str">
        <f t="shared" si="62"/>
        <v>2026-02</v>
      </c>
      <c r="AC379" t="str">
        <f t="shared" si="63"/>
        <v>Q1-2026</v>
      </c>
      <c r="AD379" s="5">
        <f t="shared" si="64"/>
        <v>63</v>
      </c>
      <c r="AE379" t="str">
        <f t="shared" si="65"/>
        <v>Won</v>
      </c>
    </row>
    <row r="380" spans="1:31">
      <c r="A380" t="s">
        <v>482</v>
      </c>
      <c r="B380" s="1">
        <v>45705</v>
      </c>
      <c r="C380" t="s">
        <v>148</v>
      </c>
      <c r="D380" t="s">
        <v>43</v>
      </c>
      <c r="E380" t="s">
        <v>75</v>
      </c>
      <c r="F380" t="s">
        <v>71</v>
      </c>
      <c r="G380" t="s">
        <v>99</v>
      </c>
      <c r="H380" t="s">
        <v>84</v>
      </c>
      <c r="I380" t="s">
        <v>61</v>
      </c>
      <c r="J380" s="1">
        <v>45737</v>
      </c>
      <c r="K380" s="1">
        <v>45737</v>
      </c>
      <c r="L380" s="3">
        <v>35900</v>
      </c>
      <c r="M380" s="4">
        <v>0</v>
      </c>
      <c r="N380" s="4">
        <v>0</v>
      </c>
      <c r="O380" t="s">
        <v>81</v>
      </c>
      <c r="P380">
        <v>4</v>
      </c>
      <c r="Q380" t="str">
        <f>IFERROR(VLOOKUP(E380,Lookups!$A$5:$B$24,2,FALSE),"Other")</f>
        <v>Webinar</v>
      </c>
      <c r="R380" t="str">
        <f>IFERROR(VLOOKUP(F380,Lookups!$D$5:$F$10,2,FALSE),"Unknown Product")</f>
        <v>Marketing Automation</v>
      </c>
      <c r="S380" t="str">
        <f>IFERROR(VLOOKUP(F380,Lookups!$D$5:$F$10,3,FALSE),"Unknown")</f>
        <v>Marketing</v>
      </c>
      <c r="T380" t="str">
        <f t="shared" si="55"/>
        <v>Mid-Market</v>
      </c>
      <c r="U380" t="str">
        <f t="shared" si="56"/>
        <v>Lost</v>
      </c>
      <c r="V380" s="3">
        <f t="shared" si="57"/>
        <v>0</v>
      </c>
      <c r="W380" s="3">
        <f t="shared" si="58"/>
        <v>0</v>
      </c>
      <c r="X380" s="5">
        <f t="shared" si="59"/>
        <v>32</v>
      </c>
      <c r="Y380" s="5">
        <f>IF(U380="Open",Lookups!$B$2-B380,X380)</f>
        <v>32</v>
      </c>
      <c r="Z380" t="str">
        <f t="shared" si="60"/>
        <v>OK</v>
      </c>
      <c r="AA380" t="str">
        <f t="shared" si="61"/>
        <v>2025-02</v>
      </c>
      <c r="AB380" t="str">
        <f t="shared" si="62"/>
        <v>2025-03</v>
      </c>
      <c r="AC380" t="str">
        <f t="shared" si="63"/>
        <v>Q1-2025</v>
      </c>
      <c r="AD380" s="5">
        <f t="shared" si="64"/>
        <v>67</v>
      </c>
      <c r="AE380" t="str">
        <f t="shared" si="65"/>
        <v>Lost</v>
      </c>
    </row>
    <row r="381" spans="1:31">
      <c r="A381" t="s">
        <v>483</v>
      </c>
      <c r="B381" s="1">
        <v>46068</v>
      </c>
      <c r="C381" t="s">
        <v>90</v>
      </c>
      <c r="D381" t="s">
        <v>57</v>
      </c>
      <c r="E381" t="s">
        <v>44</v>
      </c>
      <c r="F381" t="s">
        <v>59</v>
      </c>
      <c r="G381" t="s">
        <v>76</v>
      </c>
      <c r="H381" t="s">
        <v>53</v>
      </c>
      <c r="I381" t="s">
        <v>48</v>
      </c>
      <c r="J381" s="1">
        <v>46150</v>
      </c>
      <c r="K381" s="1"/>
      <c r="L381" s="3">
        <v>26800</v>
      </c>
      <c r="M381" s="4">
        <v>0</v>
      </c>
      <c r="N381" s="4">
        <v>0.85</v>
      </c>
      <c r="P381">
        <v>5</v>
      </c>
      <c r="Q381" t="str">
        <f>IFERROR(VLOOKUP(E381,Lookups!$A$5:$B$24,2,FALSE),"Other")</f>
        <v>Organic Search</v>
      </c>
      <c r="R381" t="str">
        <f>IFERROR(VLOOKUP(F381,Lookups!$D$5:$F$10,2,FALSE),"Unknown Product")</f>
        <v>NexaCRM Pro</v>
      </c>
      <c r="S381" t="str">
        <f>IFERROR(VLOOKUP(F381,Lookups!$D$5:$F$10,3,FALSE),"Unknown")</f>
        <v>CRM</v>
      </c>
      <c r="T381" t="str">
        <f t="shared" si="55"/>
        <v>Mid-Market</v>
      </c>
      <c r="U381" t="str">
        <f t="shared" si="56"/>
        <v>Open</v>
      </c>
      <c r="V381" s="3">
        <f t="shared" si="57"/>
        <v>0</v>
      </c>
      <c r="W381" s="3">
        <f t="shared" si="58"/>
        <v>22780</v>
      </c>
      <c r="X381" s="5" t="str">
        <f t="shared" si="59"/>
        <v/>
      </c>
      <c r="Y381" s="5">
        <f>IF(U381="Open",Lookups!$B$2-B381,X381)</f>
        <v>198</v>
      </c>
      <c r="Z381" t="str">
        <f t="shared" si="60"/>
        <v>STALE</v>
      </c>
      <c r="AA381" t="str">
        <f t="shared" si="61"/>
        <v>2026-02</v>
      </c>
      <c r="AB381" t="str">
        <f t="shared" si="62"/>
        <v/>
      </c>
      <c r="AC381" t="str">
        <f t="shared" si="63"/>
        <v>Q1-2026</v>
      </c>
      <c r="AD381" s="5">
        <f t="shared" si="64"/>
        <v>65</v>
      </c>
      <c r="AE381" t="str">
        <f t="shared" si="65"/>
        <v>Commit</v>
      </c>
    </row>
    <row r="382" spans="1:31">
      <c r="A382" t="s">
        <v>484</v>
      </c>
      <c r="B382" s="1">
        <v>45797</v>
      </c>
      <c r="C382" t="s">
        <v>86</v>
      </c>
      <c r="D382" t="s">
        <v>87</v>
      </c>
      <c r="E382" t="s">
        <v>92</v>
      </c>
      <c r="F382" t="s">
        <v>67</v>
      </c>
      <c r="G382" t="s">
        <v>60</v>
      </c>
      <c r="H382" t="s">
        <v>84</v>
      </c>
      <c r="I382" t="s">
        <v>48</v>
      </c>
      <c r="J382" s="1">
        <v>46163</v>
      </c>
      <c r="K382" s="1"/>
      <c r="L382" s="3">
        <v>160000</v>
      </c>
      <c r="M382" s="4">
        <v>0.03</v>
      </c>
      <c r="N382" s="4">
        <v>0.85</v>
      </c>
      <c r="P382">
        <v>5</v>
      </c>
      <c r="Q382" t="str">
        <f>IFERROR(VLOOKUP(E382,Lookups!$A$5:$B$24,2,FALSE),"Other")</f>
        <v>Webinar</v>
      </c>
      <c r="R382" t="str">
        <f>IFERROR(VLOOKUP(F382,Lookups!$D$5:$F$10,2,FALSE),"Unknown Product")</f>
        <v>Revenue Operations Suite</v>
      </c>
      <c r="S382" t="str">
        <f>IFERROR(VLOOKUP(F382,Lookups!$D$5:$F$10,3,FALSE),"Unknown")</f>
        <v>Revenue Ops</v>
      </c>
      <c r="T382" t="str">
        <f t="shared" si="55"/>
        <v>Enterprise</v>
      </c>
      <c r="U382" t="str">
        <f t="shared" si="56"/>
        <v>Open</v>
      </c>
      <c r="V382" s="3">
        <f t="shared" si="57"/>
        <v>0</v>
      </c>
      <c r="W382" s="3">
        <f t="shared" si="58"/>
        <v>136000</v>
      </c>
      <c r="X382" s="5" t="str">
        <f t="shared" si="59"/>
        <v/>
      </c>
      <c r="Y382" s="5">
        <f>IF(U382="Open",Lookups!$B$2-B382,X382)</f>
        <v>469</v>
      </c>
      <c r="Z382" t="str">
        <f t="shared" si="60"/>
        <v>STALE</v>
      </c>
      <c r="AA382" t="str">
        <f t="shared" si="61"/>
        <v>2025-05</v>
      </c>
      <c r="AB382" t="str">
        <f t="shared" si="62"/>
        <v/>
      </c>
      <c r="AC382" t="str">
        <f t="shared" si="63"/>
        <v>Q2-2025</v>
      </c>
      <c r="AD382" s="5">
        <f t="shared" si="64"/>
        <v>74</v>
      </c>
      <c r="AE382" t="str">
        <f t="shared" si="65"/>
        <v>Commit</v>
      </c>
    </row>
    <row r="383" spans="1:31">
      <c r="A383" t="s">
        <v>485</v>
      </c>
      <c r="B383" s="1">
        <v>45967</v>
      </c>
      <c r="C383" t="s">
        <v>50</v>
      </c>
      <c r="D383" t="s">
        <v>43</v>
      </c>
      <c r="E383" t="s">
        <v>98</v>
      </c>
      <c r="F383" t="s">
        <v>45</v>
      </c>
      <c r="G383" t="s">
        <v>72</v>
      </c>
      <c r="H383" t="s">
        <v>53</v>
      </c>
      <c r="I383" t="s">
        <v>48</v>
      </c>
      <c r="J383" s="1">
        <v>46072</v>
      </c>
      <c r="K383" s="1"/>
      <c r="L383" s="3">
        <v>32100</v>
      </c>
      <c r="M383" s="4">
        <v>0.03</v>
      </c>
      <c r="N383" s="4">
        <v>0.85</v>
      </c>
      <c r="P383">
        <v>5</v>
      </c>
      <c r="Q383" t="str">
        <f>IFERROR(VLOOKUP(E383,Lookups!$A$5:$B$24,2,FALSE),"Other")</f>
        <v>Outbound</v>
      </c>
      <c r="R383" t="str">
        <f>IFERROR(VLOOKUP(F383,Lookups!$D$5:$F$10,2,FALSE),"Unknown Product")</f>
        <v>Service Cloud</v>
      </c>
      <c r="S383" t="str">
        <f>IFERROR(VLOOKUP(F383,Lookups!$D$5:$F$10,3,FALSE),"Unknown")</f>
        <v>Customer Service</v>
      </c>
      <c r="T383" t="str">
        <f t="shared" si="55"/>
        <v>Mid-Market</v>
      </c>
      <c r="U383" t="str">
        <f t="shared" si="56"/>
        <v>Open</v>
      </c>
      <c r="V383" s="3">
        <f t="shared" si="57"/>
        <v>0</v>
      </c>
      <c r="W383" s="3">
        <f t="shared" si="58"/>
        <v>27285</v>
      </c>
      <c r="X383" s="5" t="str">
        <f t="shared" si="59"/>
        <v/>
      </c>
      <c r="Y383" s="5">
        <f>IF(U383="Open",Lookups!$B$2-B383,X383)</f>
        <v>299</v>
      </c>
      <c r="Z383" t="str">
        <f t="shared" si="60"/>
        <v>STALE</v>
      </c>
      <c r="AA383" t="str">
        <f t="shared" si="61"/>
        <v>2025-11</v>
      </c>
      <c r="AB383" t="str">
        <f t="shared" si="62"/>
        <v/>
      </c>
      <c r="AC383" t="str">
        <f t="shared" si="63"/>
        <v>Q4-2025</v>
      </c>
      <c r="AD383" s="5">
        <f t="shared" si="64"/>
        <v>59</v>
      </c>
      <c r="AE383" t="str">
        <f t="shared" si="65"/>
        <v>Commit</v>
      </c>
    </row>
    <row r="384" spans="1:31">
      <c r="A384" t="s">
        <v>486</v>
      </c>
      <c r="B384" s="1">
        <v>46056</v>
      </c>
      <c r="C384" t="s">
        <v>86</v>
      </c>
      <c r="D384" t="s">
        <v>87</v>
      </c>
      <c r="E384" t="s">
        <v>146</v>
      </c>
      <c r="F384" t="s">
        <v>133</v>
      </c>
      <c r="G384" t="s">
        <v>72</v>
      </c>
      <c r="H384" t="s">
        <v>53</v>
      </c>
      <c r="I384" t="s">
        <v>61</v>
      </c>
      <c r="J384" s="1">
        <v>46106</v>
      </c>
      <c r="K384" s="1">
        <v>46106</v>
      </c>
      <c r="L384" s="3">
        <v>45100</v>
      </c>
      <c r="M384" s="4">
        <v>0</v>
      </c>
      <c r="N384" s="4">
        <v>0</v>
      </c>
      <c r="O384" t="s">
        <v>110</v>
      </c>
      <c r="P384">
        <v>4</v>
      </c>
      <c r="Q384" t="str">
        <f>IFERROR(VLOOKUP(E384,Lookups!$A$5:$B$24,2,FALSE),"Other")</f>
        <v>LinkedIn</v>
      </c>
      <c r="R384" t="str">
        <f>IFERROR(VLOOKUP(F384,Lookups!$D$5:$F$10,2,FALSE),"Unknown Product")</f>
        <v>Analytics Plus</v>
      </c>
      <c r="S384" t="str">
        <f>IFERROR(VLOOKUP(F384,Lookups!$D$5:$F$10,3,FALSE),"Unknown")</f>
        <v>Analytics</v>
      </c>
      <c r="T384" t="str">
        <f t="shared" si="55"/>
        <v>Mid-Market</v>
      </c>
      <c r="U384" t="str">
        <f t="shared" si="56"/>
        <v>Lost</v>
      </c>
      <c r="V384" s="3">
        <f t="shared" si="57"/>
        <v>0</v>
      </c>
      <c r="W384" s="3">
        <f t="shared" si="58"/>
        <v>0</v>
      </c>
      <c r="X384" s="5">
        <f t="shared" si="59"/>
        <v>50</v>
      </c>
      <c r="Y384" s="5">
        <f>IF(U384="Open",Lookups!$B$2-B384,X384)</f>
        <v>50</v>
      </c>
      <c r="Z384" t="str">
        <f t="shared" si="60"/>
        <v>OK</v>
      </c>
      <c r="AA384" t="str">
        <f t="shared" si="61"/>
        <v>2026-02</v>
      </c>
      <c r="AB384" t="str">
        <f t="shared" si="62"/>
        <v>2026-03</v>
      </c>
      <c r="AC384" t="str">
        <f t="shared" si="63"/>
        <v>Q1-2026</v>
      </c>
      <c r="AD384" s="5">
        <f t="shared" si="64"/>
        <v>59</v>
      </c>
      <c r="AE384" t="str">
        <f t="shared" si="65"/>
        <v>Lost</v>
      </c>
    </row>
    <row r="385" spans="1:31">
      <c r="A385" t="s">
        <v>487</v>
      </c>
      <c r="B385" s="1">
        <v>46252</v>
      </c>
      <c r="C385" t="s">
        <v>50</v>
      </c>
      <c r="D385" t="s">
        <v>43</v>
      </c>
      <c r="E385" t="s">
        <v>166</v>
      </c>
      <c r="F385" t="s">
        <v>59</v>
      </c>
      <c r="G385" t="s">
        <v>112</v>
      </c>
      <c r="H385" t="s">
        <v>53</v>
      </c>
      <c r="I385" t="s">
        <v>61</v>
      </c>
      <c r="J385" s="1">
        <v>46266</v>
      </c>
      <c r="K385" s="1">
        <v>46266</v>
      </c>
      <c r="L385" s="3">
        <v>39700</v>
      </c>
      <c r="M385" s="4">
        <v>0</v>
      </c>
      <c r="N385" s="4">
        <v>0</v>
      </c>
      <c r="O385" t="s">
        <v>81</v>
      </c>
      <c r="P385">
        <v>4</v>
      </c>
      <c r="Q385" t="str">
        <f>IFERROR(VLOOKUP(E385,Lookups!$A$5:$B$24,2,FALSE),"Other")</f>
        <v>Referral</v>
      </c>
      <c r="R385" t="str">
        <f>IFERROR(VLOOKUP(F385,Lookups!$D$5:$F$10,2,FALSE),"Unknown Product")</f>
        <v>NexaCRM Pro</v>
      </c>
      <c r="S385" t="str">
        <f>IFERROR(VLOOKUP(F385,Lookups!$D$5:$F$10,3,FALSE),"Unknown")</f>
        <v>CRM</v>
      </c>
      <c r="T385" t="str">
        <f t="shared" si="55"/>
        <v>Mid-Market</v>
      </c>
      <c r="U385" t="str">
        <f t="shared" si="56"/>
        <v>Lost</v>
      </c>
      <c r="V385" s="3">
        <f t="shared" si="57"/>
        <v>0</v>
      </c>
      <c r="W385" s="3">
        <f t="shared" si="58"/>
        <v>0</v>
      </c>
      <c r="X385" s="5">
        <f t="shared" si="59"/>
        <v>14</v>
      </c>
      <c r="Y385" s="5">
        <f>IF(U385="Open",Lookups!$B$2-B385,X385)</f>
        <v>14</v>
      </c>
      <c r="Z385" t="str">
        <f t="shared" si="60"/>
        <v>OK</v>
      </c>
      <c r="AA385" t="str">
        <f t="shared" si="61"/>
        <v>2026-08</v>
      </c>
      <c r="AB385" t="str">
        <f t="shared" si="62"/>
        <v>2026-09</v>
      </c>
      <c r="AC385" t="str">
        <f t="shared" si="63"/>
        <v>Q3-2026</v>
      </c>
      <c r="AD385" s="5">
        <f t="shared" si="64"/>
        <v>75</v>
      </c>
      <c r="AE385" t="str">
        <f t="shared" si="65"/>
        <v>Lost</v>
      </c>
    </row>
    <row r="386" spans="1:31">
      <c r="A386" t="s">
        <v>488</v>
      </c>
      <c r="B386" s="1">
        <v>46165</v>
      </c>
      <c r="C386" t="s">
        <v>42</v>
      </c>
      <c r="D386" t="s">
        <v>43</v>
      </c>
      <c r="E386" t="s">
        <v>166</v>
      </c>
      <c r="F386" t="s">
        <v>59</v>
      </c>
      <c r="G386" t="s">
        <v>60</v>
      </c>
      <c r="H386" t="s">
        <v>53</v>
      </c>
      <c r="I386" t="s">
        <v>77</v>
      </c>
      <c r="J386" s="1">
        <v>46220</v>
      </c>
      <c r="K386" s="1">
        <v>46220</v>
      </c>
      <c r="L386" s="3">
        <v>34800</v>
      </c>
      <c r="M386" s="4">
        <v>0.12</v>
      </c>
      <c r="N386" s="4">
        <v>1</v>
      </c>
      <c r="P386">
        <v>6</v>
      </c>
      <c r="Q386" t="str">
        <f>IFERROR(VLOOKUP(E386,Lookups!$A$5:$B$24,2,FALSE),"Other")</f>
        <v>Referral</v>
      </c>
      <c r="R386" t="str">
        <f>IFERROR(VLOOKUP(F386,Lookups!$D$5:$F$10,2,FALSE),"Unknown Product")</f>
        <v>NexaCRM Pro</v>
      </c>
      <c r="S386" t="str">
        <f>IFERROR(VLOOKUP(F386,Lookups!$D$5:$F$10,3,FALSE),"Unknown")</f>
        <v>CRM</v>
      </c>
      <c r="T386" t="str">
        <f t="shared" ref="T386:T449" si="66">IF(L386&gt;=50000,"Enterprise",IF(L386&gt;=20000,"Mid-Market","SMB"))</f>
        <v>Mid-Market</v>
      </c>
      <c r="U386" t="str">
        <f t="shared" ref="U386:U449" si="67">IF(I386="Closed Won","Won",IF(I386="Closed Lost","Lost","Open"))</f>
        <v>Won</v>
      </c>
      <c r="V386" s="3">
        <f t="shared" ref="V386:V449" si="68">IF(U386="Won",L386*(1-M386),0)</f>
        <v>30624</v>
      </c>
      <c r="W386" s="3">
        <f t="shared" ref="W386:W449" si="69">IF(U386="Open",L386*N386,0)</f>
        <v>0</v>
      </c>
      <c r="X386" s="5">
        <f t="shared" ref="X386:X449" si="70">IF(U386="Open","",IFERROR(K386-B386,""))</f>
        <v>55</v>
      </c>
      <c r="Y386" s="5">
        <f>IF(U386="Open",Lookups!$B$2-B386,X386)</f>
        <v>55</v>
      </c>
      <c r="Z386" t="str">
        <f t="shared" ref="Z386:Z449" si="71">IF(AND(U386="Open",Y386&gt;30),"STALE","OK")</f>
        <v>OK</v>
      </c>
      <c r="AA386" t="str">
        <f t="shared" ref="AA386:AA449" si="72">TEXT(B386,"yyyy-mm")</f>
        <v>2026-05</v>
      </c>
      <c r="AB386" t="str">
        <f t="shared" ref="AB386:AB449" si="73">IF(K386="","",TEXT(K386,"yyyy-mm"))</f>
        <v>2026-07</v>
      </c>
      <c r="AC386" t="str">
        <f t="shared" ref="AC386:AC449" si="74">"Q"&amp;ROUNDUP(MONTH(B386)/3,0)&amp;"-"&amp;YEAR(B386)</f>
        <v>Q2-2026</v>
      </c>
      <c r="AD386" s="5">
        <f t="shared" ref="AD386:AD449" si="75">MIN(100,IF(H386="Enterprise",30,IF(H386="Mid-Market",22,14))+IF(T386="Enterprise",25,IF(T386="Mid-Market",18,10))+IF(Q386="Referral",25,IF(Q386="Organic Search",20,IF(Q386="Email",18,14)))+IF(G386="Technology",10,5))</f>
        <v>70</v>
      </c>
      <c r="AE386" t="str">
        <f t="shared" ref="AE386:AE449" si="76">IF(U386&lt;&gt;"Open",U386,IF(N386&gt;=0.8,"Commit",IF(N386&gt;=0.5,"Best Case","Pipeline")))</f>
        <v>Won</v>
      </c>
    </row>
    <row r="387" spans="1:31">
      <c r="A387" t="s">
        <v>489</v>
      </c>
      <c r="B387" s="1">
        <v>45791</v>
      </c>
      <c r="C387" t="s">
        <v>69</v>
      </c>
      <c r="D387" t="s">
        <v>57</v>
      </c>
      <c r="E387" t="s">
        <v>96</v>
      </c>
      <c r="F387" t="s">
        <v>59</v>
      </c>
      <c r="G387" t="s">
        <v>76</v>
      </c>
      <c r="H387" t="s">
        <v>47</v>
      </c>
      <c r="I387" t="s">
        <v>61</v>
      </c>
      <c r="J387" s="1">
        <v>45849</v>
      </c>
      <c r="K387" s="1">
        <v>45849</v>
      </c>
      <c r="L387" s="3">
        <v>12200</v>
      </c>
      <c r="M387" s="4">
        <v>0</v>
      </c>
      <c r="N387" s="4">
        <v>0</v>
      </c>
      <c r="O387" t="s">
        <v>81</v>
      </c>
      <c r="P387">
        <v>3</v>
      </c>
      <c r="Q387" t="str">
        <f>IFERROR(VLOOKUP(E387,Lookups!$A$5:$B$24,2,FALSE),"Other")</f>
        <v>LinkedIn</v>
      </c>
      <c r="R387" t="str">
        <f>IFERROR(VLOOKUP(F387,Lookups!$D$5:$F$10,2,FALSE),"Unknown Product")</f>
        <v>NexaCRM Pro</v>
      </c>
      <c r="S387" t="str">
        <f>IFERROR(VLOOKUP(F387,Lookups!$D$5:$F$10,3,FALSE),"Unknown")</f>
        <v>CRM</v>
      </c>
      <c r="T387" t="str">
        <f t="shared" si="66"/>
        <v>SMB</v>
      </c>
      <c r="U387" t="str">
        <f t="shared" si="67"/>
        <v>Lost</v>
      </c>
      <c r="V387" s="3">
        <f t="shared" si="68"/>
        <v>0</v>
      </c>
      <c r="W387" s="3">
        <f t="shared" si="69"/>
        <v>0</v>
      </c>
      <c r="X387" s="5">
        <f t="shared" si="70"/>
        <v>58</v>
      </c>
      <c r="Y387" s="5">
        <f>IF(U387="Open",Lookups!$B$2-B387,X387)</f>
        <v>58</v>
      </c>
      <c r="Z387" t="str">
        <f t="shared" si="71"/>
        <v>OK</v>
      </c>
      <c r="AA387" t="str">
        <f t="shared" si="72"/>
        <v>2025-05</v>
      </c>
      <c r="AB387" t="str">
        <f t="shared" si="73"/>
        <v>2025-07</v>
      </c>
      <c r="AC387" t="str">
        <f t="shared" si="74"/>
        <v>Q2-2025</v>
      </c>
      <c r="AD387" s="5">
        <f t="shared" si="75"/>
        <v>43</v>
      </c>
      <c r="AE387" t="str">
        <f t="shared" si="76"/>
        <v>Lost</v>
      </c>
    </row>
    <row r="388" spans="1:31">
      <c r="A388" t="s">
        <v>490</v>
      </c>
      <c r="B388" s="1">
        <v>46007</v>
      </c>
      <c r="C388" t="s">
        <v>148</v>
      </c>
      <c r="D388" t="s">
        <v>43</v>
      </c>
      <c r="E388" t="s">
        <v>88</v>
      </c>
      <c r="F388" t="s">
        <v>133</v>
      </c>
      <c r="G388" t="s">
        <v>94</v>
      </c>
      <c r="H388" t="s">
        <v>84</v>
      </c>
      <c r="I388" t="s">
        <v>61</v>
      </c>
      <c r="J388" s="1">
        <v>46069</v>
      </c>
      <c r="K388" s="1">
        <v>46069</v>
      </c>
      <c r="L388" s="3">
        <v>57700</v>
      </c>
      <c r="M388" s="4">
        <v>0</v>
      </c>
      <c r="N388" s="4">
        <v>0</v>
      </c>
      <c r="O388" t="s">
        <v>81</v>
      </c>
      <c r="P388">
        <v>3</v>
      </c>
      <c r="Q388" t="str">
        <f>IFERROR(VLOOKUP(E388,Lookups!$A$5:$B$24,2,FALSE),"Other")</f>
        <v>Other</v>
      </c>
      <c r="R388" t="str">
        <f>IFERROR(VLOOKUP(F388,Lookups!$D$5:$F$10,2,FALSE),"Unknown Product")</f>
        <v>Analytics Plus</v>
      </c>
      <c r="S388" t="str">
        <f>IFERROR(VLOOKUP(F388,Lookups!$D$5:$F$10,3,FALSE),"Unknown")</f>
        <v>Analytics</v>
      </c>
      <c r="T388" t="str">
        <f t="shared" si="66"/>
        <v>Enterprise</v>
      </c>
      <c r="U388" t="str">
        <f t="shared" si="67"/>
        <v>Lost</v>
      </c>
      <c r="V388" s="3">
        <f t="shared" si="68"/>
        <v>0</v>
      </c>
      <c r="W388" s="3">
        <f t="shared" si="69"/>
        <v>0</v>
      </c>
      <c r="X388" s="5">
        <f t="shared" si="70"/>
        <v>62</v>
      </c>
      <c r="Y388" s="5">
        <f>IF(U388="Open",Lookups!$B$2-B388,X388)</f>
        <v>62</v>
      </c>
      <c r="Z388" t="str">
        <f t="shared" si="71"/>
        <v>OK</v>
      </c>
      <c r="AA388" t="str">
        <f t="shared" si="72"/>
        <v>2025-12</v>
      </c>
      <c r="AB388" t="str">
        <f t="shared" si="73"/>
        <v>2026-02</v>
      </c>
      <c r="AC388" t="str">
        <f t="shared" si="74"/>
        <v>Q4-2025</v>
      </c>
      <c r="AD388" s="5">
        <f t="shared" si="75"/>
        <v>74</v>
      </c>
      <c r="AE388" t="str">
        <f t="shared" si="76"/>
        <v>Lost</v>
      </c>
    </row>
    <row r="389" spans="1:31">
      <c r="A389" t="s">
        <v>491</v>
      </c>
      <c r="B389" s="1">
        <v>46034</v>
      </c>
      <c r="C389" t="s">
        <v>90</v>
      </c>
      <c r="D389" t="s">
        <v>57</v>
      </c>
      <c r="E389" t="s">
        <v>109</v>
      </c>
      <c r="F389" t="s">
        <v>52</v>
      </c>
      <c r="G389" t="s">
        <v>60</v>
      </c>
      <c r="H389" t="s">
        <v>53</v>
      </c>
      <c r="I389" t="s">
        <v>61</v>
      </c>
      <c r="J389" s="1">
        <v>46071</v>
      </c>
      <c r="K389" s="1">
        <v>46071</v>
      </c>
      <c r="L389" s="3">
        <v>8400</v>
      </c>
      <c r="M389" s="4">
        <v>0</v>
      </c>
      <c r="N389" s="4">
        <v>0</v>
      </c>
      <c r="O389" t="s">
        <v>110</v>
      </c>
      <c r="P389">
        <v>4</v>
      </c>
      <c r="Q389" t="str">
        <f>IFERROR(VLOOKUP(E389,Lookups!$A$5:$B$24,2,FALSE),"Other")</f>
        <v>Outbound</v>
      </c>
      <c r="R389" t="str">
        <f>IFERROR(VLOOKUP(F389,Lookups!$D$5:$F$10,2,FALSE),"Unknown Product")</f>
        <v>NexaCRM Core</v>
      </c>
      <c r="S389" t="str">
        <f>IFERROR(VLOOKUP(F389,Lookups!$D$5:$F$10,3,FALSE),"Unknown")</f>
        <v>CRM</v>
      </c>
      <c r="T389" t="str">
        <f t="shared" si="66"/>
        <v>SMB</v>
      </c>
      <c r="U389" t="str">
        <f t="shared" si="67"/>
        <v>Lost</v>
      </c>
      <c r="V389" s="3">
        <f t="shared" si="68"/>
        <v>0</v>
      </c>
      <c r="W389" s="3">
        <f t="shared" si="69"/>
        <v>0</v>
      </c>
      <c r="X389" s="5">
        <f t="shared" si="70"/>
        <v>37</v>
      </c>
      <c r="Y389" s="5">
        <f>IF(U389="Open",Lookups!$B$2-B389,X389)</f>
        <v>37</v>
      </c>
      <c r="Z389" t="str">
        <f t="shared" si="71"/>
        <v>OK</v>
      </c>
      <c r="AA389" t="str">
        <f t="shared" si="72"/>
        <v>2026-01</v>
      </c>
      <c r="AB389" t="str">
        <f t="shared" si="73"/>
        <v>2026-02</v>
      </c>
      <c r="AC389" t="str">
        <f t="shared" si="74"/>
        <v>Q1-2026</v>
      </c>
      <c r="AD389" s="5">
        <f t="shared" si="75"/>
        <v>51</v>
      </c>
      <c r="AE389" t="str">
        <f t="shared" si="76"/>
        <v>Lost</v>
      </c>
    </row>
    <row r="390" spans="1:31">
      <c r="A390" t="s">
        <v>492</v>
      </c>
      <c r="B390" s="1">
        <v>45728</v>
      </c>
      <c r="C390" t="s">
        <v>42</v>
      </c>
      <c r="D390" t="s">
        <v>43</v>
      </c>
      <c r="E390" t="s">
        <v>166</v>
      </c>
      <c r="F390" t="s">
        <v>59</v>
      </c>
      <c r="G390" t="s">
        <v>60</v>
      </c>
      <c r="H390" t="s">
        <v>47</v>
      </c>
      <c r="I390" t="s">
        <v>61</v>
      </c>
      <c r="J390" s="1">
        <v>45783</v>
      </c>
      <c r="K390" s="1">
        <v>45783</v>
      </c>
      <c r="L390" s="3">
        <v>17500</v>
      </c>
      <c r="M390" s="4">
        <v>0</v>
      </c>
      <c r="N390" s="4">
        <v>0</v>
      </c>
      <c r="O390" t="s">
        <v>81</v>
      </c>
      <c r="P390">
        <v>3</v>
      </c>
      <c r="Q390" t="str">
        <f>IFERROR(VLOOKUP(E390,Lookups!$A$5:$B$24,2,FALSE),"Other")</f>
        <v>Referral</v>
      </c>
      <c r="R390" t="str">
        <f>IFERROR(VLOOKUP(F390,Lookups!$D$5:$F$10,2,FALSE),"Unknown Product")</f>
        <v>NexaCRM Pro</v>
      </c>
      <c r="S390" t="str">
        <f>IFERROR(VLOOKUP(F390,Lookups!$D$5:$F$10,3,FALSE),"Unknown")</f>
        <v>CRM</v>
      </c>
      <c r="T390" t="str">
        <f t="shared" si="66"/>
        <v>SMB</v>
      </c>
      <c r="U390" t="str">
        <f t="shared" si="67"/>
        <v>Lost</v>
      </c>
      <c r="V390" s="3">
        <f t="shared" si="68"/>
        <v>0</v>
      </c>
      <c r="W390" s="3">
        <f t="shared" si="69"/>
        <v>0</v>
      </c>
      <c r="X390" s="5">
        <f t="shared" si="70"/>
        <v>55</v>
      </c>
      <c r="Y390" s="5">
        <f>IF(U390="Open",Lookups!$B$2-B390,X390)</f>
        <v>55</v>
      </c>
      <c r="Z390" t="str">
        <f t="shared" si="71"/>
        <v>OK</v>
      </c>
      <c r="AA390" t="str">
        <f t="shared" si="72"/>
        <v>2025-03</v>
      </c>
      <c r="AB390" t="str">
        <f t="shared" si="73"/>
        <v>2025-05</v>
      </c>
      <c r="AC390" t="str">
        <f t="shared" si="74"/>
        <v>Q1-2025</v>
      </c>
      <c r="AD390" s="5">
        <f t="shared" si="75"/>
        <v>54</v>
      </c>
      <c r="AE390" t="str">
        <f t="shared" si="76"/>
        <v>Lost</v>
      </c>
    </row>
    <row r="391" spans="1:31">
      <c r="A391" t="s">
        <v>493</v>
      </c>
      <c r="B391" s="1">
        <v>45755</v>
      </c>
      <c r="C391" t="s">
        <v>69</v>
      </c>
      <c r="D391" t="s">
        <v>57</v>
      </c>
      <c r="E391" t="s">
        <v>104</v>
      </c>
      <c r="F391" t="s">
        <v>52</v>
      </c>
      <c r="G391" t="s">
        <v>46</v>
      </c>
      <c r="H391" t="s">
        <v>47</v>
      </c>
      <c r="I391" t="s">
        <v>61</v>
      </c>
      <c r="J391" s="1">
        <v>45777</v>
      </c>
      <c r="K391" s="1">
        <v>45777</v>
      </c>
      <c r="L391" s="3">
        <v>7100</v>
      </c>
      <c r="M391" s="4">
        <v>0</v>
      </c>
      <c r="N391" s="4">
        <v>0</v>
      </c>
      <c r="O391" t="s">
        <v>81</v>
      </c>
      <c r="P391">
        <v>4</v>
      </c>
      <c r="Q391" t="str">
        <f>IFERROR(VLOOKUP(E391,Lookups!$A$5:$B$24,2,FALSE),"Other")</f>
        <v>Other</v>
      </c>
      <c r="R391" t="str">
        <f>IFERROR(VLOOKUP(F391,Lookups!$D$5:$F$10,2,FALSE),"Unknown Product")</f>
        <v>NexaCRM Core</v>
      </c>
      <c r="S391" t="str">
        <f>IFERROR(VLOOKUP(F391,Lookups!$D$5:$F$10,3,FALSE),"Unknown")</f>
        <v>CRM</v>
      </c>
      <c r="T391" t="str">
        <f t="shared" si="66"/>
        <v>SMB</v>
      </c>
      <c r="U391" t="str">
        <f t="shared" si="67"/>
        <v>Lost</v>
      </c>
      <c r="V391" s="3">
        <f t="shared" si="68"/>
        <v>0</v>
      </c>
      <c r="W391" s="3">
        <f t="shared" si="69"/>
        <v>0</v>
      </c>
      <c r="X391" s="5">
        <f t="shared" si="70"/>
        <v>22</v>
      </c>
      <c r="Y391" s="5">
        <f>IF(U391="Open",Lookups!$B$2-B391,X391)</f>
        <v>22</v>
      </c>
      <c r="Z391" t="str">
        <f t="shared" si="71"/>
        <v>OK</v>
      </c>
      <c r="AA391" t="str">
        <f t="shared" si="72"/>
        <v>2025-04</v>
      </c>
      <c r="AB391" t="str">
        <f t="shared" si="73"/>
        <v>2025-04</v>
      </c>
      <c r="AC391" t="str">
        <f t="shared" si="74"/>
        <v>Q2-2025</v>
      </c>
      <c r="AD391" s="5">
        <f t="shared" si="75"/>
        <v>43</v>
      </c>
      <c r="AE391" t="str">
        <f t="shared" si="76"/>
        <v>Lost</v>
      </c>
    </row>
    <row r="392" spans="1:31">
      <c r="A392" t="s">
        <v>494</v>
      </c>
      <c r="B392" s="1">
        <v>45783</v>
      </c>
      <c r="C392" t="s">
        <v>69</v>
      </c>
      <c r="D392" t="s">
        <v>57</v>
      </c>
      <c r="E392" t="s">
        <v>70</v>
      </c>
      <c r="F392" t="s">
        <v>67</v>
      </c>
      <c r="G392" t="s">
        <v>99</v>
      </c>
      <c r="H392" t="s">
        <v>53</v>
      </c>
      <c r="I392" t="s">
        <v>61</v>
      </c>
      <c r="J392" s="1">
        <v>45844</v>
      </c>
      <c r="K392" s="1">
        <v>45844</v>
      </c>
      <c r="L392" s="3">
        <v>37400</v>
      </c>
      <c r="M392" s="4">
        <v>0</v>
      </c>
      <c r="N392" s="4">
        <v>0</v>
      </c>
      <c r="O392" t="s">
        <v>81</v>
      </c>
      <c r="P392">
        <v>2</v>
      </c>
      <c r="Q392" t="str">
        <f>IFERROR(VLOOKUP(E392,Lookups!$A$5:$B$24,2,FALSE),"Other")</f>
        <v>LinkedIn</v>
      </c>
      <c r="R392" t="str">
        <f>IFERROR(VLOOKUP(F392,Lookups!$D$5:$F$10,2,FALSE),"Unknown Product")</f>
        <v>Revenue Operations Suite</v>
      </c>
      <c r="S392" t="str">
        <f>IFERROR(VLOOKUP(F392,Lookups!$D$5:$F$10,3,FALSE),"Unknown")</f>
        <v>Revenue Ops</v>
      </c>
      <c r="T392" t="str">
        <f t="shared" si="66"/>
        <v>Mid-Market</v>
      </c>
      <c r="U392" t="str">
        <f t="shared" si="67"/>
        <v>Lost</v>
      </c>
      <c r="V392" s="3">
        <f t="shared" si="68"/>
        <v>0</v>
      </c>
      <c r="W392" s="3">
        <f t="shared" si="69"/>
        <v>0</v>
      </c>
      <c r="X392" s="5">
        <f t="shared" si="70"/>
        <v>61</v>
      </c>
      <c r="Y392" s="5">
        <f>IF(U392="Open",Lookups!$B$2-B392,X392)</f>
        <v>61</v>
      </c>
      <c r="Z392" t="str">
        <f t="shared" si="71"/>
        <v>OK</v>
      </c>
      <c r="AA392" t="str">
        <f t="shared" si="72"/>
        <v>2025-05</v>
      </c>
      <c r="AB392" t="str">
        <f t="shared" si="73"/>
        <v>2025-07</v>
      </c>
      <c r="AC392" t="str">
        <f t="shared" si="74"/>
        <v>Q2-2025</v>
      </c>
      <c r="AD392" s="5">
        <f t="shared" si="75"/>
        <v>59</v>
      </c>
      <c r="AE392" t="str">
        <f t="shared" si="76"/>
        <v>Lost</v>
      </c>
    </row>
    <row r="393" spans="1:31">
      <c r="A393" t="s">
        <v>495</v>
      </c>
      <c r="B393" s="1">
        <v>46249</v>
      </c>
      <c r="C393" t="s">
        <v>86</v>
      </c>
      <c r="D393" t="s">
        <v>87</v>
      </c>
      <c r="E393" t="s">
        <v>75</v>
      </c>
      <c r="F393" t="s">
        <v>71</v>
      </c>
      <c r="G393" t="s">
        <v>76</v>
      </c>
      <c r="H393" t="s">
        <v>47</v>
      </c>
      <c r="I393" t="s">
        <v>187</v>
      </c>
      <c r="J393" s="1">
        <v>46259</v>
      </c>
      <c r="K393" s="1"/>
      <c r="L393" s="3">
        <v>12600</v>
      </c>
      <c r="M393" s="4">
        <v>0</v>
      </c>
      <c r="N393" s="4">
        <v>0.05</v>
      </c>
      <c r="P393">
        <v>1</v>
      </c>
      <c r="Q393" t="str">
        <f>IFERROR(VLOOKUP(E393,Lookups!$A$5:$B$24,2,FALSE),"Other")</f>
        <v>Webinar</v>
      </c>
      <c r="R393" t="str">
        <f>IFERROR(VLOOKUP(F393,Lookups!$D$5:$F$10,2,FALSE),"Unknown Product")</f>
        <v>Marketing Automation</v>
      </c>
      <c r="S393" t="str">
        <f>IFERROR(VLOOKUP(F393,Lookups!$D$5:$F$10,3,FALSE),"Unknown")</f>
        <v>Marketing</v>
      </c>
      <c r="T393" t="str">
        <f t="shared" si="66"/>
        <v>SMB</v>
      </c>
      <c r="U393" t="str">
        <f t="shared" si="67"/>
        <v>Open</v>
      </c>
      <c r="V393" s="3">
        <f t="shared" si="68"/>
        <v>0</v>
      </c>
      <c r="W393" s="3">
        <f t="shared" si="69"/>
        <v>630</v>
      </c>
      <c r="X393" s="5" t="str">
        <f t="shared" si="70"/>
        <v/>
      </c>
      <c r="Y393" s="5">
        <f>IF(U393="Open",Lookups!$B$2-B393,X393)</f>
        <v>17</v>
      </c>
      <c r="Z393" t="str">
        <f t="shared" si="71"/>
        <v>OK</v>
      </c>
      <c r="AA393" t="str">
        <f t="shared" si="72"/>
        <v>2026-08</v>
      </c>
      <c r="AB393" t="str">
        <f t="shared" si="73"/>
        <v/>
      </c>
      <c r="AC393" t="str">
        <f t="shared" si="74"/>
        <v>Q3-2026</v>
      </c>
      <c r="AD393" s="5">
        <f t="shared" si="75"/>
        <v>43</v>
      </c>
      <c r="AE393" t="str">
        <f t="shared" si="76"/>
        <v>Pipeline</v>
      </c>
    </row>
    <row r="394" spans="1:31">
      <c r="A394" t="s">
        <v>496</v>
      </c>
      <c r="B394" s="1">
        <v>46062</v>
      </c>
      <c r="C394" t="s">
        <v>86</v>
      </c>
      <c r="D394" t="s">
        <v>87</v>
      </c>
      <c r="E394" t="s">
        <v>51</v>
      </c>
      <c r="F394" t="s">
        <v>133</v>
      </c>
      <c r="G394" t="s">
        <v>112</v>
      </c>
      <c r="H394" t="s">
        <v>47</v>
      </c>
      <c r="I394" t="s">
        <v>77</v>
      </c>
      <c r="J394" s="1">
        <v>46127</v>
      </c>
      <c r="K394" s="1">
        <v>46127</v>
      </c>
      <c r="L394" s="3">
        <v>22600</v>
      </c>
      <c r="M394" s="4">
        <v>0.12</v>
      </c>
      <c r="N394" s="4">
        <v>1</v>
      </c>
      <c r="P394">
        <v>6</v>
      </c>
      <c r="Q394" t="str">
        <f>IFERROR(VLOOKUP(E394,Lookups!$A$5:$B$24,2,FALSE),"Other")</f>
        <v>Paid Search</v>
      </c>
      <c r="R394" t="str">
        <f>IFERROR(VLOOKUP(F394,Lookups!$D$5:$F$10,2,FALSE),"Unknown Product")</f>
        <v>Analytics Plus</v>
      </c>
      <c r="S394" t="str">
        <f>IFERROR(VLOOKUP(F394,Lookups!$D$5:$F$10,3,FALSE),"Unknown")</f>
        <v>Analytics</v>
      </c>
      <c r="T394" t="str">
        <f t="shared" si="66"/>
        <v>Mid-Market</v>
      </c>
      <c r="U394" t="str">
        <f t="shared" si="67"/>
        <v>Won</v>
      </c>
      <c r="V394" s="3">
        <f t="shared" si="68"/>
        <v>19888</v>
      </c>
      <c r="W394" s="3">
        <f t="shared" si="69"/>
        <v>0</v>
      </c>
      <c r="X394" s="5">
        <f t="shared" si="70"/>
        <v>65</v>
      </c>
      <c r="Y394" s="5">
        <f>IF(U394="Open",Lookups!$B$2-B394,X394)</f>
        <v>65</v>
      </c>
      <c r="Z394" t="str">
        <f t="shared" si="71"/>
        <v>OK</v>
      </c>
      <c r="AA394" t="str">
        <f t="shared" si="72"/>
        <v>2026-02</v>
      </c>
      <c r="AB394" t="str">
        <f t="shared" si="73"/>
        <v>2026-04</v>
      </c>
      <c r="AC394" t="str">
        <f t="shared" si="74"/>
        <v>Q1-2026</v>
      </c>
      <c r="AD394" s="5">
        <f t="shared" si="75"/>
        <v>56</v>
      </c>
      <c r="AE394" t="str">
        <f t="shared" si="76"/>
        <v>Won</v>
      </c>
    </row>
    <row r="395" spans="1:31">
      <c r="A395" t="s">
        <v>497</v>
      </c>
      <c r="B395" s="1">
        <v>45814</v>
      </c>
      <c r="C395" t="s">
        <v>148</v>
      </c>
      <c r="D395" t="s">
        <v>43</v>
      </c>
      <c r="E395" t="s">
        <v>166</v>
      </c>
      <c r="F395" t="s">
        <v>45</v>
      </c>
      <c r="G395" t="s">
        <v>99</v>
      </c>
      <c r="H395" t="s">
        <v>47</v>
      </c>
      <c r="I395" t="s">
        <v>48</v>
      </c>
      <c r="J395" s="1">
        <v>46036</v>
      </c>
      <c r="K395" s="1"/>
      <c r="L395" s="3">
        <v>16900</v>
      </c>
      <c r="M395" s="4">
        <v>0.05</v>
      </c>
      <c r="N395" s="4">
        <v>0.85</v>
      </c>
      <c r="P395">
        <v>5</v>
      </c>
      <c r="Q395" t="str">
        <f>IFERROR(VLOOKUP(E395,Lookups!$A$5:$B$24,2,FALSE),"Other")</f>
        <v>Referral</v>
      </c>
      <c r="R395" t="str">
        <f>IFERROR(VLOOKUP(F395,Lookups!$D$5:$F$10,2,FALSE),"Unknown Product")</f>
        <v>Service Cloud</v>
      </c>
      <c r="S395" t="str">
        <f>IFERROR(VLOOKUP(F395,Lookups!$D$5:$F$10,3,FALSE),"Unknown")</f>
        <v>Customer Service</v>
      </c>
      <c r="T395" t="str">
        <f t="shared" si="66"/>
        <v>SMB</v>
      </c>
      <c r="U395" t="str">
        <f t="shared" si="67"/>
        <v>Open</v>
      </c>
      <c r="V395" s="3">
        <f t="shared" si="68"/>
        <v>0</v>
      </c>
      <c r="W395" s="3">
        <f t="shared" si="69"/>
        <v>14365</v>
      </c>
      <c r="X395" s="5" t="str">
        <f t="shared" si="70"/>
        <v/>
      </c>
      <c r="Y395" s="5">
        <f>IF(U395="Open",Lookups!$B$2-B395,X395)</f>
        <v>452</v>
      </c>
      <c r="Z395" t="str">
        <f t="shared" si="71"/>
        <v>STALE</v>
      </c>
      <c r="AA395" t="str">
        <f t="shared" si="72"/>
        <v>2025-06</v>
      </c>
      <c r="AB395" t="str">
        <f t="shared" si="73"/>
        <v/>
      </c>
      <c r="AC395" t="str">
        <f t="shared" si="74"/>
        <v>Q2-2025</v>
      </c>
      <c r="AD395" s="5">
        <f t="shared" si="75"/>
        <v>54</v>
      </c>
      <c r="AE395" t="str">
        <f t="shared" si="76"/>
        <v>Commit</v>
      </c>
    </row>
    <row r="396" spans="1:31">
      <c r="A396" t="s">
        <v>498</v>
      </c>
      <c r="B396" s="1">
        <v>45911</v>
      </c>
      <c r="C396" t="s">
        <v>64</v>
      </c>
      <c r="D396" t="s">
        <v>57</v>
      </c>
      <c r="E396" t="s">
        <v>109</v>
      </c>
      <c r="F396" t="s">
        <v>67</v>
      </c>
      <c r="G396" t="s">
        <v>112</v>
      </c>
      <c r="H396" t="s">
        <v>47</v>
      </c>
      <c r="I396" t="s">
        <v>61</v>
      </c>
      <c r="J396" s="1">
        <v>45966</v>
      </c>
      <c r="K396" s="1">
        <v>45966</v>
      </c>
      <c r="L396" s="3">
        <v>30600</v>
      </c>
      <c r="M396" s="4">
        <v>0</v>
      </c>
      <c r="N396" s="4">
        <v>0</v>
      </c>
      <c r="O396" t="s">
        <v>81</v>
      </c>
      <c r="P396">
        <v>2</v>
      </c>
      <c r="Q396" t="str">
        <f>IFERROR(VLOOKUP(E396,Lookups!$A$5:$B$24,2,FALSE),"Other")</f>
        <v>Outbound</v>
      </c>
      <c r="R396" t="str">
        <f>IFERROR(VLOOKUP(F396,Lookups!$D$5:$F$10,2,FALSE),"Unknown Product")</f>
        <v>Revenue Operations Suite</v>
      </c>
      <c r="S396" t="str">
        <f>IFERROR(VLOOKUP(F396,Lookups!$D$5:$F$10,3,FALSE),"Unknown")</f>
        <v>Revenue Ops</v>
      </c>
      <c r="T396" t="str">
        <f t="shared" si="66"/>
        <v>Mid-Market</v>
      </c>
      <c r="U396" t="str">
        <f t="shared" si="67"/>
        <v>Lost</v>
      </c>
      <c r="V396" s="3">
        <f t="shared" si="68"/>
        <v>0</v>
      </c>
      <c r="W396" s="3">
        <f t="shared" si="69"/>
        <v>0</v>
      </c>
      <c r="X396" s="5">
        <f t="shared" si="70"/>
        <v>55</v>
      </c>
      <c r="Y396" s="5">
        <f>IF(U396="Open",Lookups!$B$2-B396,X396)</f>
        <v>55</v>
      </c>
      <c r="Z396" t="str">
        <f t="shared" si="71"/>
        <v>OK</v>
      </c>
      <c r="AA396" t="str">
        <f t="shared" si="72"/>
        <v>2025-09</v>
      </c>
      <c r="AB396" t="str">
        <f t="shared" si="73"/>
        <v>2025-11</v>
      </c>
      <c r="AC396" t="str">
        <f t="shared" si="74"/>
        <v>Q3-2025</v>
      </c>
      <c r="AD396" s="5">
        <f t="shared" si="75"/>
        <v>56</v>
      </c>
      <c r="AE396" t="str">
        <f t="shared" si="76"/>
        <v>Lost</v>
      </c>
    </row>
    <row r="397" spans="1:31">
      <c r="A397" t="s">
        <v>499</v>
      </c>
      <c r="B397" s="1">
        <v>45973</v>
      </c>
      <c r="C397" t="s">
        <v>56</v>
      </c>
      <c r="D397" t="s">
        <v>57</v>
      </c>
      <c r="E397" t="s">
        <v>127</v>
      </c>
      <c r="F397" t="s">
        <v>52</v>
      </c>
      <c r="G397" t="s">
        <v>112</v>
      </c>
      <c r="H397" t="s">
        <v>53</v>
      </c>
      <c r="I397" t="s">
        <v>48</v>
      </c>
      <c r="J397" s="1">
        <v>46212</v>
      </c>
      <c r="K397" s="1"/>
      <c r="L397" s="3">
        <v>10400</v>
      </c>
      <c r="M397" s="4">
        <v>0</v>
      </c>
      <c r="N397" s="4">
        <v>0.85</v>
      </c>
      <c r="P397">
        <v>5</v>
      </c>
      <c r="Q397" t="str">
        <f>IFERROR(VLOOKUP(E397,Lookups!$A$5:$B$24,2,FALSE),"Other")</f>
        <v>Paid Search</v>
      </c>
      <c r="R397" t="str">
        <f>IFERROR(VLOOKUP(F397,Lookups!$D$5:$F$10,2,FALSE),"Unknown Product")</f>
        <v>NexaCRM Core</v>
      </c>
      <c r="S397" t="str">
        <f>IFERROR(VLOOKUP(F397,Lookups!$D$5:$F$10,3,FALSE),"Unknown")</f>
        <v>CRM</v>
      </c>
      <c r="T397" t="str">
        <f t="shared" si="66"/>
        <v>SMB</v>
      </c>
      <c r="U397" t="str">
        <f t="shared" si="67"/>
        <v>Open</v>
      </c>
      <c r="V397" s="3">
        <f t="shared" si="68"/>
        <v>0</v>
      </c>
      <c r="W397" s="3">
        <f t="shared" si="69"/>
        <v>8840</v>
      </c>
      <c r="X397" s="5" t="str">
        <f t="shared" si="70"/>
        <v/>
      </c>
      <c r="Y397" s="5">
        <f>IF(U397="Open",Lookups!$B$2-B397,X397)</f>
        <v>293</v>
      </c>
      <c r="Z397" t="str">
        <f t="shared" si="71"/>
        <v>STALE</v>
      </c>
      <c r="AA397" t="str">
        <f t="shared" si="72"/>
        <v>2025-11</v>
      </c>
      <c r="AB397" t="str">
        <f t="shared" si="73"/>
        <v/>
      </c>
      <c r="AC397" t="str">
        <f t="shared" si="74"/>
        <v>Q4-2025</v>
      </c>
      <c r="AD397" s="5">
        <f t="shared" si="75"/>
        <v>56</v>
      </c>
      <c r="AE397" t="str">
        <f t="shared" si="76"/>
        <v>Commit</v>
      </c>
    </row>
    <row r="398" spans="1:31">
      <c r="A398" t="s">
        <v>500</v>
      </c>
      <c r="B398" s="1">
        <v>46199</v>
      </c>
      <c r="C398" t="s">
        <v>86</v>
      </c>
      <c r="D398" t="s">
        <v>87</v>
      </c>
      <c r="E398" t="s">
        <v>83</v>
      </c>
      <c r="F398" t="s">
        <v>71</v>
      </c>
      <c r="G398" t="s">
        <v>112</v>
      </c>
      <c r="H398" t="s">
        <v>53</v>
      </c>
      <c r="I398" t="s">
        <v>105</v>
      </c>
      <c r="J398" s="1">
        <v>46255</v>
      </c>
      <c r="K398" s="1"/>
      <c r="L398" s="3">
        <v>22300</v>
      </c>
      <c r="M398" s="4">
        <v>0.05</v>
      </c>
      <c r="N398" s="4">
        <v>0.4</v>
      </c>
      <c r="P398">
        <v>3</v>
      </c>
      <c r="Q398" t="str">
        <f>IFERROR(VLOOKUP(E398,Lookups!$A$5:$B$24,2,FALSE),"Other")</f>
        <v>Organic Search</v>
      </c>
      <c r="R398" t="str">
        <f>IFERROR(VLOOKUP(F398,Lookups!$D$5:$F$10,2,FALSE),"Unknown Product")</f>
        <v>Marketing Automation</v>
      </c>
      <c r="S398" t="str">
        <f>IFERROR(VLOOKUP(F398,Lookups!$D$5:$F$10,3,FALSE),"Unknown")</f>
        <v>Marketing</v>
      </c>
      <c r="T398" t="str">
        <f t="shared" si="66"/>
        <v>Mid-Market</v>
      </c>
      <c r="U398" t="str">
        <f t="shared" si="67"/>
        <v>Open</v>
      </c>
      <c r="V398" s="3">
        <f t="shared" si="68"/>
        <v>0</v>
      </c>
      <c r="W398" s="3">
        <f t="shared" si="69"/>
        <v>8920</v>
      </c>
      <c r="X398" s="5" t="str">
        <f t="shared" si="70"/>
        <v/>
      </c>
      <c r="Y398" s="5">
        <f>IF(U398="Open",Lookups!$B$2-B398,X398)</f>
        <v>67</v>
      </c>
      <c r="Z398" t="str">
        <f t="shared" si="71"/>
        <v>STALE</v>
      </c>
      <c r="AA398" t="str">
        <f t="shared" si="72"/>
        <v>2026-06</v>
      </c>
      <c r="AB398" t="str">
        <f t="shared" si="73"/>
        <v/>
      </c>
      <c r="AC398" t="str">
        <f t="shared" si="74"/>
        <v>Q2-2026</v>
      </c>
      <c r="AD398" s="5">
        <f t="shared" si="75"/>
        <v>70</v>
      </c>
      <c r="AE398" t="str">
        <f t="shared" si="76"/>
        <v>Pipeline</v>
      </c>
    </row>
    <row r="399" spans="1:31">
      <c r="A399" t="s">
        <v>501</v>
      </c>
      <c r="B399" s="1">
        <v>46219</v>
      </c>
      <c r="C399" t="s">
        <v>86</v>
      </c>
      <c r="D399" t="s">
        <v>87</v>
      </c>
      <c r="E399" t="s">
        <v>44</v>
      </c>
      <c r="F399" t="s">
        <v>133</v>
      </c>
      <c r="G399" t="s">
        <v>94</v>
      </c>
      <c r="H399" t="s">
        <v>47</v>
      </c>
      <c r="I399" t="s">
        <v>73</v>
      </c>
      <c r="J399" s="1">
        <v>46260</v>
      </c>
      <c r="K399" s="1"/>
      <c r="L399" s="3">
        <v>27800</v>
      </c>
      <c r="M399" s="4">
        <v>0</v>
      </c>
      <c r="N399" s="4">
        <v>0.2</v>
      </c>
      <c r="P399">
        <v>2</v>
      </c>
      <c r="Q399" t="str">
        <f>IFERROR(VLOOKUP(E399,Lookups!$A$5:$B$24,2,FALSE),"Other")</f>
        <v>Organic Search</v>
      </c>
      <c r="R399" t="str">
        <f>IFERROR(VLOOKUP(F399,Lookups!$D$5:$F$10,2,FALSE),"Unknown Product")</f>
        <v>Analytics Plus</v>
      </c>
      <c r="S399" t="str">
        <f>IFERROR(VLOOKUP(F399,Lookups!$D$5:$F$10,3,FALSE),"Unknown")</f>
        <v>Analytics</v>
      </c>
      <c r="T399" t="str">
        <f t="shared" si="66"/>
        <v>Mid-Market</v>
      </c>
      <c r="U399" t="str">
        <f t="shared" si="67"/>
        <v>Open</v>
      </c>
      <c r="V399" s="3">
        <f t="shared" si="68"/>
        <v>0</v>
      </c>
      <c r="W399" s="3">
        <f t="shared" si="69"/>
        <v>5560</v>
      </c>
      <c r="X399" s="5" t="str">
        <f t="shared" si="70"/>
        <v/>
      </c>
      <c r="Y399" s="5">
        <f>IF(U399="Open",Lookups!$B$2-B399,X399)</f>
        <v>47</v>
      </c>
      <c r="Z399" t="str">
        <f t="shared" si="71"/>
        <v>STALE</v>
      </c>
      <c r="AA399" t="str">
        <f t="shared" si="72"/>
        <v>2026-07</v>
      </c>
      <c r="AB399" t="str">
        <f t="shared" si="73"/>
        <v/>
      </c>
      <c r="AC399" t="str">
        <f t="shared" si="74"/>
        <v>Q3-2026</v>
      </c>
      <c r="AD399" s="5">
        <f t="shared" si="75"/>
        <v>57</v>
      </c>
      <c r="AE399" t="str">
        <f t="shared" si="76"/>
        <v>Pipeline</v>
      </c>
    </row>
    <row r="400" spans="1:31">
      <c r="A400" t="s">
        <v>502</v>
      </c>
      <c r="B400" s="1">
        <v>45771</v>
      </c>
      <c r="C400" t="s">
        <v>64</v>
      </c>
      <c r="D400" t="s">
        <v>57</v>
      </c>
      <c r="E400" t="s">
        <v>96</v>
      </c>
      <c r="F400" t="s">
        <v>52</v>
      </c>
      <c r="G400" t="s">
        <v>76</v>
      </c>
      <c r="H400" t="s">
        <v>47</v>
      </c>
      <c r="I400" t="s">
        <v>61</v>
      </c>
      <c r="J400" s="1">
        <v>45802</v>
      </c>
      <c r="K400" s="1">
        <v>45802</v>
      </c>
      <c r="L400" s="3">
        <v>8600</v>
      </c>
      <c r="M400" s="4">
        <v>0</v>
      </c>
      <c r="N400" s="4">
        <v>0</v>
      </c>
      <c r="O400" t="s">
        <v>116</v>
      </c>
      <c r="P400">
        <v>4</v>
      </c>
      <c r="Q400" t="str">
        <f>IFERROR(VLOOKUP(E400,Lookups!$A$5:$B$24,2,FALSE),"Other")</f>
        <v>LinkedIn</v>
      </c>
      <c r="R400" t="str">
        <f>IFERROR(VLOOKUP(F400,Lookups!$D$5:$F$10,2,FALSE),"Unknown Product")</f>
        <v>NexaCRM Core</v>
      </c>
      <c r="S400" t="str">
        <f>IFERROR(VLOOKUP(F400,Lookups!$D$5:$F$10,3,FALSE),"Unknown")</f>
        <v>CRM</v>
      </c>
      <c r="T400" t="str">
        <f t="shared" si="66"/>
        <v>SMB</v>
      </c>
      <c r="U400" t="str">
        <f t="shared" si="67"/>
        <v>Lost</v>
      </c>
      <c r="V400" s="3">
        <f t="shared" si="68"/>
        <v>0</v>
      </c>
      <c r="W400" s="3">
        <f t="shared" si="69"/>
        <v>0</v>
      </c>
      <c r="X400" s="5">
        <f t="shared" si="70"/>
        <v>31</v>
      </c>
      <c r="Y400" s="5">
        <f>IF(U400="Open",Lookups!$B$2-B400,X400)</f>
        <v>31</v>
      </c>
      <c r="Z400" t="str">
        <f t="shared" si="71"/>
        <v>OK</v>
      </c>
      <c r="AA400" t="str">
        <f t="shared" si="72"/>
        <v>2025-04</v>
      </c>
      <c r="AB400" t="str">
        <f t="shared" si="73"/>
        <v>2025-05</v>
      </c>
      <c r="AC400" t="str">
        <f t="shared" si="74"/>
        <v>Q2-2025</v>
      </c>
      <c r="AD400" s="5">
        <f t="shared" si="75"/>
        <v>43</v>
      </c>
      <c r="AE400" t="str">
        <f t="shared" si="76"/>
        <v>Lost</v>
      </c>
    </row>
    <row r="401" spans="1:31">
      <c r="A401" t="s">
        <v>503</v>
      </c>
      <c r="B401" s="1">
        <v>45754</v>
      </c>
      <c r="C401" t="s">
        <v>64</v>
      </c>
      <c r="D401" t="s">
        <v>57</v>
      </c>
      <c r="E401" t="s">
        <v>146</v>
      </c>
      <c r="F401" t="s">
        <v>45</v>
      </c>
      <c r="G401" t="s">
        <v>46</v>
      </c>
      <c r="H401" t="s">
        <v>47</v>
      </c>
      <c r="I401" t="s">
        <v>61</v>
      </c>
      <c r="J401" s="1">
        <v>45785</v>
      </c>
      <c r="K401" s="1">
        <v>45785</v>
      </c>
      <c r="L401" s="3">
        <v>23200</v>
      </c>
      <c r="M401" s="4">
        <v>0</v>
      </c>
      <c r="N401" s="4">
        <v>0</v>
      </c>
      <c r="O401" t="s">
        <v>62</v>
      </c>
      <c r="P401">
        <v>4</v>
      </c>
      <c r="Q401" t="str">
        <f>IFERROR(VLOOKUP(E401,Lookups!$A$5:$B$24,2,FALSE),"Other")</f>
        <v>LinkedIn</v>
      </c>
      <c r="R401" t="str">
        <f>IFERROR(VLOOKUP(F401,Lookups!$D$5:$F$10,2,FALSE),"Unknown Product")</f>
        <v>Service Cloud</v>
      </c>
      <c r="S401" t="str">
        <f>IFERROR(VLOOKUP(F401,Lookups!$D$5:$F$10,3,FALSE),"Unknown")</f>
        <v>Customer Service</v>
      </c>
      <c r="T401" t="str">
        <f t="shared" si="66"/>
        <v>Mid-Market</v>
      </c>
      <c r="U401" t="str">
        <f t="shared" si="67"/>
        <v>Lost</v>
      </c>
      <c r="V401" s="3">
        <f t="shared" si="68"/>
        <v>0</v>
      </c>
      <c r="W401" s="3">
        <f t="shared" si="69"/>
        <v>0</v>
      </c>
      <c r="X401" s="5">
        <f t="shared" si="70"/>
        <v>31</v>
      </c>
      <c r="Y401" s="5">
        <f>IF(U401="Open",Lookups!$B$2-B401,X401)</f>
        <v>31</v>
      </c>
      <c r="Z401" t="str">
        <f t="shared" si="71"/>
        <v>OK</v>
      </c>
      <c r="AA401" t="str">
        <f t="shared" si="72"/>
        <v>2025-04</v>
      </c>
      <c r="AB401" t="str">
        <f t="shared" si="73"/>
        <v>2025-05</v>
      </c>
      <c r="AC401" t="str">
        <f t="shared" si="74"/>
        <v>Q2-2025</v>
      </c>
      <c r="AD401" s="5">
        <f t="shared" si="75"/>
        <v>51</v>
      </c>
      <c r="AE401" t="str">
        <f t="shared" si="76"/>
        <v>Lost</v>
      </c>
    </row>
    <row r="402" spans="1:31">
      <c r="A402" t="s">
        <v>504</v>
      </c>
      <c r="B402" s="1">
        <v>45863</v>
      </c>
      <c r="C402" t="s">
        <v>69</v>
      </c>
      <c r="D402" t="s">
        <v>57</v>
      </c>
      <c r="E402" t="s">
        <v>146</v>
      </c>
      <c r="F402" t="s">
        <v>52</v>
      </c>
      <c r="G402" t="s">
        <v>99</v>
      </c>
      <c r="H402" t="s">
        <v>53</v>
      </c>
      <c r="I402" t="s">
        <v>48</v>
      </c>
      <c r="J402" s="1">
        <v>46109</v>
      </c>
      <c r="K402" s="1"/>
      <c r="L402" s="3">
        <v>17500</v>
      </c>
      <c r="M402" s="4">
        <v>0.05</v>
      </c>
      <c r="N402" s="4">
        <v>0.85</v>
      </c>
      <c r="P402">
        <v>5</v>
      </c>
      <c r="Q402" t="str">
        <f>IFERROR(VLOOKUP(E402,Lookups!$A$5:$B$24,2,FALSE),"Other")</f>
        <v>LinkedIn</v>
      </c>
      <c r="R402" t="str">
        <f>IFERROR(VLOOKUP(F402,Lookups!$D$5:$F$10,2,FALSE),"Unknown Product")</f>
        <v>NexaCRM Core</v>
      </c>
      <c r="S402" t="str">
        <f>IFERROR(VLOOKUP(F402,Lookups!$D$5:$F$10,3,FALSE),"Unknown")</f>
        <v>CRM</v>
      </c>
      <c r="T402" t="str">
        <f t="shared" si="66"/>
        <v>SMB</v>
      </c>
      <c r="U402" t="str">
        <f t="shared" si="67"/>
        <v>Open</v>
      </c>
      <c r="V402" s="3">
        <f t="shared" si="68"/>
        <v>0</v>
      </c>
      <c r="W402" s="3">
        <f t="shared" si="69"/>
        <v>14875</v>
      </c>
      <c r="X402" s="5" t="str">
        <f t="shared" si="70"/>
        <v/>
      </c>
      <c r="Y402" s="5">
        <f>IF(U402="Open",Lookups!$B$2-B402,X402)</f>
        <v>403</v>
      </c>
      <c r="Z402" t="str">
        <f t="shared" si="71"/>
        <v>STALE</v>
      </c>
      <c r="AA402" t="str">
        <f t="shared" si="72"/>
        <v>2025-07</v>
      </c>
      <c r="AB402" t="str">
        <f t="shared" si="73"/>
        <v/>
      </c>
      <c r="AC402" t="str">
        <f t="shared" si="74"/>
        <v>Q3-2025</v>
      </c>
      <c r="AD402" s="5">
        <f t="shared" si="75"/>
        <v>51</v>
      </c>
      <c r="AE402" t="str">
        <f t="shared" si="76"/>
        <v>Commit</v>
      </c>
    </row>
    <row r="403" spans="1:31">
      <c r="A403" t="s">
        <v>505</v>
      </c>
      <c r="B403" s="1">
        <v>46232</v>
      </c>
      <c r="C403" t="s">
        <v>50</v>
      </c>
      <c r="D403" t="s">
        <v>43</v>
      </c>
      <c r="E403" t="s">
        <v>127</v>
      </c>
      <c r="F403" t="s">
        <v>71</v>
      </c>
      <c r="G403" t="s">
        <v>99</v>
      </c>
      <c r="H403" t="s">
        <v>84</v>
      </c>
      <c r="I403" t="s">
        <v>61</v>
      </c>
      <c r="J403" s="1">
        <v>46266</v>
      </c>
      <c r="K403" s="1">
        <v>46266</v>
      </c>
      <c r="L403" s="3">
        <v>68400</v>
      </c>
      <c r="M403" s="4">
        <v>0</v>
      </c>
      <c r="N403" s="4">
        <v>0</v>
      </c>
      <c r="O403" t="s">
        <v>62</v>
      </c>
      <c r="P403">
        <v>2</v>
      </c>
      <c r="Q403" t="str">
        <f>IFERROR(VLOOKUP(E403,Lookups!$A$5:$B$24,2,FALSE),"Other")</f>
        <v>Paid Search</v>
      </c>
      <c r="R403" t="str">
        <f>IFERROR(VLOOKUP(F403,Lookups!$D$5:$F$10,2,FALSE),"Unknown Product")</f>
        <v>Marketing Automation</v>
      </c>
      <c r="S403" t="str">
        <f>IFERROR(VLOOKUP(F403,Lookups!$D$5:$F$10,3,FALSE),"Unknown")</f>
        <v>Marketing</v>
      </c>
      <c r="T403" t="str">
        <f t="shared" si="66"/>
        <v>Enterprise</v>
      </c>
      <c r="U403" t="str">
        <f t="shared" si="67"/>
        <v>Lost</v>
      </c>
      <c r="V403" s="3">
        <f t="shared" si="68"/>
        <v>0</v>
      </c>
      <c r="W403" s="3">
        <f t="shared" si="69"/>
        <v>0</v>
      </c>
      <c r="X403" s="5">
        <f t="shared" si="70"/>
        <v>34</v>
      </c>
      <c r="Y403" s="5">
        <f>IF(U403="Open",Lookups!$B$2-B403,X403)</f>
        <v>34</v>
      </c>
      <c r="Z403" t="str">
        <f t="shared" si="71"/>
        <v>OK</v>
      </c>
      <c r="AA403" t="str">
        <f t="shared" si="72"/>
        <v>2026-07</v>
      </c>
      <c r="AB403" t="str">
        <f t="shared" si="73"/>
        <v>2026-09</v>
      </c>
      <c r="AC403" t="str">
        <f t="shared" si="74"/>
        <v>Q3-2026</v>
      </c>
      <c r="AD403" s="5">
        <f t="shared" si="75"/>
        <v>74</v>
      </c>
      <c r="AE403" t="str">
        <f t="shared" si="76"/>
        <v>Lost</v>
      </c>
    </row>
    <row r="404" spans="1:31">
      <c r="A404" t="s">
        <v>506</v>
      </c>
      <c r="B404" s="1">
        <v>45791</v>
      </c>
      <c r="C404" t="s">
        <v>69</v>
      </c>
      <c r="D404" t="s">
        <v>57</v>
      </c>
      <c r="E404" t="s">
        <v>65</v>
      </c>
      <c r="F404" t="s">
        <v>45</v>
      </c>
      <c r="G404" t="s">
        <v>46</v>
      </c>
      <c r="H404" t="s">
        <v>53</v>
      </c>
      <c r="I404" t="s">
        <v>61</v>
      </c>
      <c r="J404" s="1">
        <v>45830</v>
      </c>
      <c r="K404" s="1">
        <v>45830</v>
      </c>
      <c r="L404" s="3">
        <v>48000</v>
      </c>
      <c r="M404" s="4">
        <v>0</v>
      </c>
      <c r="N404" s="4">
        <v>0</v>
      </c>
      <c r="O404" t="s">
        <v>79</v>
      </c>
      <c r="P404">
        <v>5</v>
      </c>
      <c r="Q404" t="str">
        <f>IFERROR(VLOOKUP(E404,Lookups!$A$5:$B$24,2,FALSE),"Other")</f>
        <v>Paid Search</v>
      </c>
      <c r="R404" t="str">
        <f>IFERROR(VLOOKUP(F404,Lookups!$D$5:$F$10,2,FALSE),"Unknown Product")</f>
        <v>Service Cloud</v>
      </c>
      <c r="S404" t="str">
        <f>IFERROR(VLOOKUP(F404,Lookups!$D$5:$F$10,3,FALSE),"Unknown")</f>
        <v>Customer Service</v>
      </c>
      <c r="T404" t="str">
        <f t="shared" si="66"/>
        <v>Mid-Market</v>
      </c>
      <c r="U404" t="str">
        <f t="shared" si="67"/>
        <v>Lost</v>
      </c>
      <c r="V404" s="3">
        <f t="shared" si="68"/>
        <v>0</v>
      </c>
      <c r="W404" s="3">
        <f t="shared" si="69"/>
        <v>0</v>
      </c>
      <c r="X404" s="5">
        <f t="shared" si="70"/>
        <v>39</v>
      </c>
      <c r="Y404" s="5">
        <f>IF(U404="Open",Lookups!$B$2-B404,X404)</f>
        <v>39</v>
      </c>
      <c r="Z404" t="str">
        <f t="shared" si="71"/>
        <v>OK</v>
      </c>
      <c r="AA404" t="str">
        <f t="shared" si="72"/>
        <v>2025-05</v>
      </c>
      <c r="AB404" t="str">
        <f t="shared" si="73"/>
        <v>2025-06</v>
      </c>
      <c r="AC404" t="str">
        <f t="shared" si="74"/>
        <v>Q2-2025</v>
      </c>
      <c r="AD404" s="5">
        <f t="shared" si="75"/>
        <v>59</v>
      </c>
      <c r="AE404" t="str">
        <f t="shared" si="76"/>
        <v>Lost</v>
      </c>
    </row>
    <row r="405" spans="1:31">
      <c r="A405" t="s">
        <v>507</v>
      </c>
      <c r="B405" s="1">
        <v>45952</v>
      </c>
      <c r="C405" t="s">
        <v>64</v>
      </c>
      <c r="D405" t="s">
        <v>57</v>
      </c>
      <c r="E405" t="s">
        <v>107</v>
      </c>
      <c r="F405" t="s">
        <v>52</v>
      </c>
      <c r="G405" t="s">
        <v>46</v>
      </c>
      <c r="H405" t="s">
        <v>47</v>
      </c>
      <c r="I405" t="s">
        <v>61</v>
      </c>
      <c r="J405" s="1">
        <v>45999</v>
      </c>
      <c r="K405" s="1">
        <v>45999</v>
      </c>
      <c r="L405" s="3">
        <v>9200</v>
      </c>
      <c r="M405" s="4">
        <v>0</v>
      </c>
      <c r="N405" s="4">
        <v>0</v>
      </c>
      <c r="O405" t="s">
        <v>62</v>
      </c>
      <c r="P405">
        <v>4</v>
      </c>
      <c r="Q405" t="str">
        <f>IFERROR(VLOOKUP(E405,Lookups!$A$5:$B$24,2,FALSE),"Other")</f>
        <v>Referral</v>
      </c>
      <c r="R405" t="str">
        <f>IFERROR(VLOOKUP(F405,Lookups!$D$5:$F$10,2,FALSE),"Unknown Product")</f>
        <v>NexaCRM Core</v>
      </c>
      <c r="S405" t="str">
        <f>IFERROR(VLOOKUP(F405,Lookups!$D$5:$F$10,3,FALSE),"Unknown")</f>
        <v>CRM</v>
      </c>
      <c r="T405" t="str">
        <f t="shared" si="66"/>
        <v>SMB</v>
      </c>
      <c r="U405" t="str">
        <f t="shared" si="67"/>
        <v>Lost</v>
      </c>
      <c r="V405" s="3">
        <f t="shared" si="68"/>
        <v>0</v>
      </c>
      <c r="W405" s="3">
        <f t="shared" si="69"/>
        <v>0</v>
      </c>
      <c r="X405" s="5">
        <f t="shared" si="70"/>
        <v>47</v>
      </c>
      <c r="Y405" s="5">
        <f>IF(U405="Open",Lookups!$B$2-B405,X405)</f>
        <v>47</v>
      </c>
      <c r="Z405" t="str">
        <f t="shared" si="71"/>
        <v>OK</v>
      </c>
      <c r="AA405" t="str">
        <f t="shared" si="72"/>
        <v>2025-10</v>
      </c>
      <c r="AB405" t="str">
        <f t="shared" si="73"/>
        <v>2025-12</v>
      </c>
      <c r="AC405" t="str">
        <f t="shared" si="74"/>
        <v>Q4-2025</v>
      </c>
      <c r="AD405" s="5">
        <f t="shared" si="75"/>
        <v>54</v>
      </c>
      <c r="AE405" t="str">
        <f t="shared" si="76"/>
        <v>Lost</v>
      </c>
    </row>
    <row r="406" spans="1:31">
      <c r="A406" t="s">
        <v>508</v>
      </c>
      <c r="B406" s="1">
        <v>46192</v>
      </c>
      <c r="C406" t="s">
        <v>86</v>
      </c>
      <c r="D406" t="s">
        <v>87</v>
      </c>
      <c r="E406" t="s">
        <v>119</v>
      </c>
      <c r="F406" t="s">
        <v>52</v>
      </c>
      <c r="G406" t="s">
        <v>46</v>
      </c>
      <c r="H406" t="s">
        <v>47</v>
      </c>
      <c r="I406" t="s">
        <v>73</v>
      </c>
      <c r="J406" s="1">
        <v>46251</v>
      </c>
      <c r="K406" s="1"/>
      <c r="L406" s="3">
        <v>4600</v>
      </c>
      <c r="M406" s="4">
        <v>0.03</v>
      </c>
      <c r="N406" s="4">
        <v>0.2</v>
      </c>
      <c r="P406">
        <v>2</v>
      </c>
      <c r="Q406" t="str">
        <f>IFERROR(VLOOKUP(E406,Lookups!$A$5:$B$24,2,FALSE),"Other")</f>
        <v>Referral</v>
      </c>
      <c r="R406" t="str">
        <f>IFERROR(VLOOKUP(F406,Lookups!$D$5:$F$10,2,FALSE),"Unknown Product")</f>
        <v>NexaCRM Core</v>
      </c>
      <c r="S406" t="str">
        <f>IFERROR(VLOOKUP(F406,Lookups!$D$5:$F$10,3,FALSE),"Unknown")</f>
        <v>CRM</v>
      </c>
      <c r="T406" t="str">
        <f t="shared" si="66"/>
        <v>SMB</v>
      </c>
      <c r="U406" t="str">
        <f t="shared" si="67"/>
        <v>Open</v>
      </c>
      <c r="V406" s="3">
        <f t="shared" si="68"/>
        <v>0</v>
      </c>
      <c r="W406" s="3">
        <f t="shared" si="69"/>
        <v>920</v>
      </c>
      <c r="X406" s="5" t="str">
        <f t="shared" si="70"/>
        <v/>
      </c>
      <c r="Y406" s="5">
        <f>IF(U406="Open",Lookups!$B$2-B406,X406)</f>
        <v>74</v>
      </c>
      <c r="Z406" t="str">
        <f t="shared" si="71"/>
        <v>STALE</v>
      </c>
      <c r="AA406" t="str">
        <f t="shared" si="72"/>
        <v>2026-06</v>
      </c>
      <c r="AB406" t="str">
        <f t="shared" si="73"/>
        <v/>
      </c>
      <c r="AC406" t="str">
        <f t="shared" si="74"/>
        <v>Q2-2026</v>
      </c>
      <c r="AD406" s="5">
        <f t="shared" si="75"/>
        <v>54</v>
      </c>
      <c r="AE406" t="str">
        <f t="shared" si="76"/>
        <v>Pipeline</v>
      </c>
    </row>
    <row r="407" spans="1:31">
      <c r="A407" t="s">
        <v>509</v>
      </c>
      <c r="B407" s="1">
        <v>45702</v>
      </c>
      <c r="C407" t="s">
        <v>64</v>
      </c>
      <c r="D407" t="s">
        <v>57</v>
      </c>
      <c r="E407" t="s">
        <v>166</v>
      </c>
      <c r="F407" t="s">
        <v>59</v>
      </c>
      <c r="G407" t="s">
        <v>46</v>
      </c>
      <c r="H407" t="s">
        <v>47</v>
      </c>
      <c r="I407" t="s">
        <v>61</v>
      </c>
      <c r="J407" s="1">
        <v>45803</v>
      </c>
      <c r="K407" s="1">
        <v>45803</v>
      </c>
      <c r="L407" s="3">
        <v>24700</v>
      </c>
      <c r="M407" s="4">
        <v>0</v>
      </c>
      <c r="N407" s="4">
        <v>0</v>
      </c>
      <c r="O407" t="s">
        <v>116</v>
      </c>
      <c r="P407">
        <v>4</v>
      </c>
      <c r="Q407" t="str">
        <f>IFERROR(VLOOKUP(E407,Lookups!$A$5:$B$24,2,FALSE),"Other")</f>
        <v>Referral</v>
      </c>
      <c r="R407" t="str">
        <f>IFERROR(VLOOKUP(F407,Lookups!$D$5:$F$10,2,FALSE),"Unknown Product")</f>
        <v>NexaCRM Pro</v>
      </c>
      <c r="S407" t="str">
        <f>IFERROR(VLOOKUP(F407,Lookups!$D$5:$F$10,3,FALSE),"Unknown")</f>
        <v>CRM</v>
      </c>
      <c r="T407" t="str">
        <f t="shared" si="66"/>
        <v>Mid-Market</v>
      </c>
      <c r="U407" t="str">
        <f t="shared" si="67"/>
        <v>Lost</v>
      </c>
      <c r="V407" s="3">
        <f t="shared" si="68"/>
        <v>0</v>
      </c>
      <c r="W407" s="3">
        <f t="shared" si="69"/>
        <v>0</v>
      </c>
      <c r="X407" s="5">
        <f t="shared" si="70"/>
        <v>101</v>
      </c>
      <c r="Y407" s="5">
        <f>IF(U407="Open",Lookups!$B$2-B407,X407)</f>
        <v>101</v>
      </c>
      <c r="Z407" t="str">
        <f t="shared" si="71"/>
        <v>OK</v>
      </c>
      <c r="AA407" t="str">
        <f t="shared" si="72"/>
        <v>2025-02</v>
      </c>
      <c r="AB407" t="str">
        <f t="shared" si="73"/>
        <v>2025-05</v>
      </c>
      <c r="AC407" t="str">
        <f t="shared" si="74"/>
        <v>Q1-2025</v>
      </c>
      <c r="AD407" s="5">
        <f t="shared" si="75"/>
        <v>62</v>
      </c>
      <c r="AE407" t="str">
        <f t="shared" si="76"/>
        <v>Lost</v>
      </c>
    </row>
    <row r="408" spans="1:31">
      <c r="A408" t="s">
        <v>510</v>
      </c>
      <c r="B408" s="1">
        <v>45979</v>
      </c>
      <c r="C408" t="s">
        <v>86</v>
      </c>
      <c r="D408" t="s">
        <v>87</v>
      </c>
      <c r="E408" t="s">
        <v>127</v>
      </c>
      <c r="F408" t="s">
        <v>52</v>
      </c>
      <c r="G408" t="s">
        <v>60</v>
      </c>
      <c r="H408" t="s">
        <v>47</v>
      </c>
      <c r="I408" t="s">
        <v>61</v>
      </c>
      <c r="J408" s="1">
        <v>46034</v>
      </c>
      <c r="K408" s="1">
        <v>46034</v>
      </c>
      <c r="L408" s="3">
        <v>6300</v>
      </c>
      <c r="M408" s="4">
        <v>0</v>
      </c>
      <c r="N408" s="4">
        <v>0</v>
      </c>
      <c r="O408" t="s">
        <v>62</v>
      </c>
      <c r="P408">
        <v>4</v>
      </c>
      <c r="Q408" t="str">
        <f>IFERROR(VLOOKUP(E408,Lookups!$A$5:$B$24,2,FALSE),"Other")</f>
        <v>Paid Search</v>
      </c>
      <c r="R408" t="str">
        <f>IFERROR(VLOOKUP(F408,Lookups!$D$5:$F$10,2,FALSE),"Unknown Product")</f>
        <v>NexaCRM Core</v>
      </c>
      <c r="S408" t="str">
        <f>IFERROR(VLOOKUP(F408,Lookups!$D$5:$F$10,3,FALSE),"Unknown")</f>
        <v>CRM</v>
      </c>
      <c r="T408" t="str">
        <f t="shared" si="66"/>
        <v>SMB</v>
      </c>
      <c r="U408" t="str">
        <f t="shared" si="67"/>
        <v>Lost</v>
      </c>
      <c r="V408" s="3">
        <f t="shared" si="68"/>
        <v>0</v>
      </c>
      <c r="W408" s="3">
        <f t="shared" si="69"/>
        <v>0</v>
      </c>
      <c r="X408" s="5">
        <f t="shared" si="70"/>
        <v>55</v>
      </c>
      <c r="Y408" s="5">
        <f>IF(U408="Open",Lookups!$B$2-B408,X408)</f>
        <v>55</v>
      </c>
      <c r="Z408" t="str">
        <f t="shared" si="71"/>
        <v>OK</v>
      </c>
      <c r="AA408" t="str">
        <f t="shared" si="72"/>
        <v>2025-11</v>
      </c>
      <c r="AB408" t="str">
        <f t="shared" si="73"/>
        <v>2026-01</v>
      </c>
      <c r="AC408" t="str">
        <f t="shared" si="74"/>
        <v>Q4-2025</v>
      </c>
      <c r="AD408" s="5">
        <f t="shared" si="75"/>
        <v>43</v>
      </c>
      <c r="AE408" t="str">
        <f t="shared" si="76"/>
        <v>Lost</v>
      </c>
    </row>
    <row r="409" spans="1:31">
      <c r="A409" t="s">
        <v>511</v>
      </c>
      <c r="B409" s="1">
        <v>46118</v>
      </c>
      <c r="C409" t="s">
        <v>50</v>
      </c>
      <c r="D409" t="s">
        <v>43</v>
      </c>
      <c r="E409" t="s">
        <v>96</v>
      </c>
      <c r="F409" t="s">
        <v>71</v>
      </c>
      <c r="G409" t="s">
        <v>46</v>
      </c>
      <c r="H409" t="s">
        <v>84</v>
      </c>
      <c r="I409" t="s">
        <v>61</v>
      </c>
      <c r="J409" s="1">
        <v>46189</v>
      </c>
      <c r="K409" s="1">
        <v>46189</v>
      </c>
      <c r="L409" s="3">
        <v>57800</v>
      </c>
      <c r="M409" s="4">
        <v>0</v>
      </c>
      <c r="N409" s="4">
        <v>0</v>
      </c>
      <c r="O409" t="s">
        <v>81</v>
      </c>
      <c r="P409">
        <v>2</v>
      </c>
      <c r="Q409" t="str">
        <f>IFERROR(VLOOKUP(E409,Lookups!$A$5:$B$24,2,FALSE),"Other")</f>
        <v>LinkedIn</v>
      </c>
      <c r="R409" t="str">
        <f>IFERROR(VLOOKUP(F409,Lookups!$D$5:$F$10,2,FALSE),"Unknown Product")</f>
        <v>Marketing Automation</v>
      </c>
      <c r="S409" t="str">
        <f>IFERROR(VLOOKUP(F409,Lookups!$D$5:$F$10,3,FALSE),"Unknown")</f>
        <v>Marketing</v>
      </c>
      <c r="T409" t="str">
        <f t="shared" si="66"/>
        <v>Enterprise</v>
      </c>
      <c r="U409" t="str">
        <f t="shared" si="67"/>
        <v>Lost</v>
      </c>
      <c r="V409" s="3">
        <f t="shared" si="68"/>
        <v>0</v>
      </c>
      <c r="W409" s="3">
        <f t="shared" si="69"/>
        <v>0</v>
      </c>
      <c r="X409" s="5">
        <f t="shared" si="70"/>
        <v>71</v>
      </c>
      <c r="Y409" s="5">
        <f>IF(U409="Open",Lookups!$B$2-B409,X409)</f>
        <v>71</v>
      </c>
      <c r="Z409" t="str">
        <f t="shared" si="71"/>
        <v>OK</v>
      </c>
      <c r="AA409" t="str">
        <f t="shared" si="72"/>
        <v>2026-04</v>
      </c>
      <c r="AB409" t="str">
        <f t="shared" si="73"/>
        <v>2026-06</v>
      </c>
      <c r="AC409" t="str">
        <f t="shared" si="74"/>
        <v>Q2-2026</v>
      </c>
      <c r="AD409" s="5">
        <f t="shared" si="75"/>
        <v>74</v>
      </c>
      <c r="AE409" t="str">
        <f t="shared" si="76"/>
        <v>Lost</v>
      </c>
    </row>
    <row r="410" spans="1:31">
      <c r="A410" t="s">
        <v>512</v>
      </c>
      <c r="B410" s="1">
        <v>45757</v>
      </c>
      <c r="C410" t="s">
        <v>90</v>
      </c>
      <c r="D410" t="s">
        <v>57</v>
      </c>
      <c r="E410" t="s">
        <v>146</v>
      </c>
      <c r="F410" t="s">
        <v>52</v>
      </c>
      <c r="G410" t="s">
        <v>76</v>
      </c>
      <c r="H410" t="s">
        <v>47</v>
      </c>
      <c r="I410" t="s">
        <v>61</v>
      </c>
      <c r="J410" s="1">
        <v>45810</v>
      </c>
      <c r="K410" s="1">
        <v>45810</v>
      </c>
      <c r="L410" s="3">
        <v>7100</v>
      </c>
      <c r="M410" s="4">
        <v>0</v>
      </c>
      <c r="N410" s="4">
        <v>0</v>
      </c>
      <c r="O410" t="s">
        <v>81</v>
      </c>
      <c r="P410">
        <v>2</v>
      </c>
      <c r="Q410" t="str">
        <f>IFERROR(VLOOKUP(E410,Lookups!$A$5:$B$24,2,FALSE),"Other")</f>
        <v>LinkedIn</v>
      </c>
      <c r="R410" t="str">
        <f>IFERROR(VLOOKUP(F410,Lookups!$D$5:$F$10,2,FALSE),"Unknown Product")</f>
        <v>NexaCRM Core</v>
      </c>
      <c r="S410" t="str">
        <f>IFERROR(VLOOKUP(F410,Lookups!$D$5:$F$10,3,FALSE),"Unknown")</f>
        <v>CRM</v>
      </c>
      <c r="T410" t="str">
        <f t="shared" si="66"/>
        <v>SMB</v>
      </c>
      <c r="U410" t="str">
        <f t="shared" si="67"/>
        <v>Lost</v>
      </c>
      <c r="V410" s="3">
        <f t="shared" si="68"/>
        <v>0</v>
      </c>
      <c r="W410" s="3">
        <f t="shared" si="69"/>
        <v>0</v>
      </c>
      <c r="X410" s="5">
        <f t="shared" si="70"/>
        <v>53</v>
      </c>
      <c r="Y410" s="5">
        <f>IF(U410="Open",Lookups!$B$2-B410,X410)</f>
        <v>53</v>
      </c>
      <c r="Z410" t="str">
        <f t="shared" si="71"/>
        <v>OK</v>
      </c>
      <c r="AA410" t="str">
        <f t="shared" si="72"/>
        <v>2025-04</v>
      </c>
      <c r="AB410" t="str">
        <f t="shared" si="73"/>
        <v>2025-06</v>
      </c>
      <c r="AC410" t="str">
        <f t="shared" si="74"/>
        <v>Q2-2025</v>
      </c>
      <c r="AD410" s="5">
        <f t="shared" si="75"/>
        <v>43</v>
      </c>
      <c r="AE410" t="str">
        <f t="shared" si="76"/>
        <v>Lost</v>
      </c>
    </row>
    <row r="411" spans="1:31">
      <c r="A411" t="s">
        <v>513</v>
      </c>
      <c r="B411" s="1">
        <v>45885</v>
      </c>
      <c r="C411" t="s">
        <v>42</v>
      </c>
      <c r="D411" t="s">
        <v>43</v>
      </c>
      <c r="E411" t="s">
        <v>146</v>
      </c>
      <c r="F411" t="s">
        <v>133</v>
      </c>
      <c r="G411" t="s">
        <v>72</v>
      </c>
      <c r="H411" t="s">
        <v>53</v>
      </c>
      <c r="I411" t="s">
        <v>61</v>
      </c>
      <c r="J411" s="1">
        <v>45944</v>
      </c>
      <c r="K411" s="1">
        <v>45944</v>
      </c>
      <c r="L411" s="3">
        <v>47600</v>
      </c>
      <c r="M411" s="4">
        <v>0</v>
      </c>
      <c r="N411" s="4">
        <v>0</v>
      </c>
      <c r="O411" t="s">
        <v>116</v>
      </c>
      <c r="P411">
        <v>2</v>
      </c>
      <c r="Q411" t="str">
        <f>IFERROR(VLOOKUP(E411,Lookups!$A$5:$B$24,2,FALSE),"Other")</f>
        <v>LinkedIn</v>
      </c>
      <c r="R411" t="str">
        <f>IFERROR(VLOOKUP(F411,Lookups!$D$5:$F$10,2,FALSE),"Unknown Product")</f>
        <v>Analytics Plus</v>
      </c>
      <c r="S411" t="str">
        <f>IFERROR(VLOOKUP(F411,Lookups!$D$5:$F$10,3,FALSE),"Unknown")</f>
        <v>Analytics</v>
      </c>
      <c r="T411" t="str">
        <f t="shared" si="66"/>
        <v>Mid-Market</v>
      </c>
      <c r="U411" t="str">
        <f t="shared" si="67"/>
        <v>Lost</v>
      </c>
      <c r="V411" s="3">
        <f t="shared" si="68"/>
        <v>0</v>
      </c>
      <c r="W411" s="3">
        <f t="shared" si="69"/>
        <v>0</v>
      </c>
      <c r="X411" s="5">
        <f t="shared" si="70"/>
        <v>59</v>
      </c>
      <c r="Y411" s="5">
        <f>IF(U411="Open",Lookups!$B$2-B411,X411)</f>
        <v>59</v>
      </c>
      <c r="Z411" t="str">
        <f t="shared" si="71"/>
        <v>OK</v>
      </c>
      <c r="AA411" t="str">
        <f t="shared" si="72"/>
        <v>2025-08</v>
      </c>
      <c r="AB411" t="str">
        <f t="shared" si="73"/>
        <v>2025-10</v>
      </c>
      <c r="AC411" t="str">
        <f t="shared" si="74"/>
        <v>Q3-2025</v>
      </c>
      <c r="AD411" s="5">
        <f t="shared" si="75"/>
        <v>59</v>
      </c>
      <c r="AE411" t="str">
        <f t="shared" si="76"/>
        <v>Lost</v>
      </c>
    </row>
    <row r="412" spans="1:31">
      <c r="A412" t="s">
        <v>514</v>
      </c>
      <c r="B412" s="1">
        <v>46234</v>
      </c>
      <c r="C412" t="s">
        <v>64</v>
      </c>
      <c r="D412" t="s">
        <v>57</v>
      </c>
      <c r="E412" t="s">
        <v>104</v>
      </c>
      <c r="F412" t="s">
        <v>52</v>
      </c>
      <c r="G412" t="s">
        <v>112</v>
      </c>
      <c r="H412" t="s">
        <v>53</v>
      </c>
      <c r="I412" t="s">
        <v>73</v>
      </c>
      <c r="J412" s="1">
        <v>46254</v>
      </c>
      <c r="K412" s="1"/>
      <c r="L412" s="3">
        <v>8400</v>
      </c>
      <c r="M412" s="4">
        <v>0</v>
      </c>
      <c r="N412" s="4">
        <v>0.2</v>
      </c>
      <c r="P412">
        <v>2</v>
      </c>
      <c r="Q412" t="str">
        <f>IFERROR(VLOOKUP(E412,Lookups!$A$5:$B$24,2,FALSE),"Other")</f>
        <v>Other</v>
      </c>
      <c r="R412" t="str">
        <f>IFERROR(VLOOKUP(F412,Lookups!$D$5:$F$10,2,FALSE),"Unknown Product")</f>
        <v>NexaCRM Core</v>
      </c>
      <c r="S412" t="str">
        <f>IFERROR(VLOOKUP(F412,Lookups!$D$5:$F$10,3,FALSE),"Unknown")</f>
        <v>CRM</v>
      </c>
      <c r="T412" t="str">
        <f t="shared" si="66"/>
        <v>SMB</v>
      </c>
      <c r="U412" t="str">
        <f t="shared" si="67"/>
        <v>Open</v>
      </c>
      <c r="V412" s="3">
        <f t="shared" si="68"/>
        <v>0</v>
      </c>
      <c r="W412" s="3">
        <f t="shared" si="69"/>
        <v>1680</v>
      </c>
      <c r="X412" s="5" t="str">
        <f t="shared" si="70"/>
        <v/>
      </c>
      <c r="Y412" s="5">
        <f>IF(U412="Open",Lookups!$B$2-B412,X412)</f>
        <v>32</v>
      </c>
      <c r="Z412" t="str">
        <f t="shared" si="71"/>
        <v>STALE</v>
      </c>
      <c r="AA412" t="str">
        <f t="shared" si="72"/>
        <v>2026-07</v>
      </c>
      <c r="AB412" t="str">
        <f t="shared" si="73"/>
        <v/>
      </c>
      <c r="AC412" t="str">
        <f t="shared" si="74"/>
        <v>Q3-2026</v>
      </c>
      <c r="AD412" s="5">
        <f t="shared" si="75"/>
        <v>56</v>
      </c>
      <c r="AE412" t="str">
        <f t="shared" si="76"/>
        <v>Pipeline</v>
      </c>
    </row>
    <row r="413" spans="1:31">
      <c r="A413" t="s">
        <v>515</v>
      </c>
      <c r="B413" s="1">
        <v>46120</v>
      </c>
      <c r="C413" t="s">
        <v>42</v>
      </c>
      <c r="D413" t="s">
        <v>43</v>
      </c>
      <c r="E413" t="s">
        <v>44</v>
      </c>
      <c r="F413" t="s">
        <v>71</v>
      </c>
      <c r="G413" t="s">
        <v>72</v>
      </c>
      <c r="H413" t="s">
        <v>53</v>
      </c>
      <c r="I413" t="s">
        <v>61</v>
      </c>
      <c r="J413" s="1">
        <v>46161</v>
      </c>
      <c r="K413" s="1">
        <v>46161</v>
      </c>
      <c r="L413" s="3">
        <v>17600</v>
      </c>
      <c r="M413" s="4">
        <v>0</v>
      </c>
      <c r="N413" s="4">
        <v>0</v>
      </c>
      <c r="O413" t="s">
        <v>62</v>
      </c>
      <c r="P413">
        <v>2</v>
      </c>
      <c r="Q413" t="str">
        <f>IFERROR(VLOOKUP(E413,Lookups!$A$5:$B$24,2,FALSE),"Other")</f>
        <v>Organic Search</v>
      </c>
      <c r="R413" t="str">
        <f>IFERROR(VLOOKUP(F413,Lookups!$D$5:$F$10,2,FALSE),"Unknown Product")</f>
        <v>Marketing Automation</v>
      </c>
      <c r="S413" t="str">
        <f>IFERROR(VLOOKUP(F413,Lookups!$D$5:$F$10,3,FALSE),"Unknown")</f>
        <v>Marketing</v>
      </c>
      <c r="T413" t="str">
        <f t="shared" si="66"/>
        <v>SMB</v>
      </c>
      <c r="U413" t="str">
        <f t="shared" si="67"/>
        <v>Lost</v>
      </c>
      <c r="V413" s="3">
        <f t="shared" si="68"/>
        <v>0</v>
      </c>
      <c r="W413" s="3">
        <f t="shared" si="69"/>
        <v>0</v>
      </c>
      <c r="X413" s="5">
        <f t="shared" si="70"/>
        <v>41</v>
      </c>
      <c r="Y413" s="5">
        <f>IF(U413="Open",Lookups!$B$2-B413,X413)</f>
        <v>41</v>
      </c>
      <c r="Z413" t="str">
        <f t="shared" si="71"/>
        <v>OK</v>
      </c>
      <c r="AA413" t="str">
        <f t="shared" si="72"/>
        <v>2026-04</v>
      </c>
      <c r="AB413" t="str">
        <f t="shared" si="73"/>
        <v>2026-05</v>
      </c>
      <c r="AC413" t="str">
        <f t="shared" si="74"/>
        <v>Q2-2026</v>
      </c>
      <c r="AD413" s="5">
        <f t="shared" si="75"/>
        <v>57</v>
      </c>
      <c r="AE413" t="str">
        <f t="shared" si="76"/>
        <v>Lost</v>
      </c>
    </row>
    <row r="414" spans="1:31">
      <c r="A414" t="s">
        <v>516</v>
      </c>
      <c r="B414" s="1">
        <v>45982</v>
      </c>
      <c r="C414" t="s">
        <v>148</v>
      </c>
      <c r="D414" t="s">
        <v>43</v>
      </c>
      <c r="E414" t="s">
        <v>119</v>
      </c>
      <c r="F414" t="s">
        <v>133</v>
      </c>
      <c r="G414" t="s">
        <v>72</v>
      </c>
      <c r="H414" t="s">
        <v>53</v>
      </c>
      <c r="I414" t="s">
        <v>77</v>
      </c>
      <c r="J414" s="1">
        <v>46077</v>
      </c>
      <c r="K414" s="1">
        <v>46077</v>
      </c>
      <c r="L414" s="3">
        <v>41500</v>
      </c>
      <c r="M414" s="4">
        <v>0.03</v>
      </c>
      <c r="N414" s="4">
        <v>1</v>
      </c>
      <c r="P414">
        <v>6</v>
      </c>
      <c r="Q414" t="str">
        <f>IFERROR(VLOOKUP(E414,Lookups!$A$5:$B$24,2,FALSE),"Other")</f>
        <v>Referral</v>
      </c>
      <c r="R414" t="str">
        <f>IFERROR(VLOOKUP(F414,Lookups!$D$5:$F$10,2,FALSE),"Unknown Product")</f>
        <v>Analytics Plus</v>
      </c>
      <c r="S414" t="str">
        <f>IFERROR(VLOOKUP(F414,Lookups!$D$5:$F$10,3,FALSE),"Unknown")</f>
        <v>Analytics</v>
      </c>
      <c r="T414" t="str">
        <f t="shared" si="66"/>
        <v>Mid-Market</v>
      </c>
      <c r="U414" t="str">
        <f t="shared" si="67"/>
        <v>Won</v>
      </c>
      <c r="V414" s="3">
        <f t="shared" si="68"/>
        <v>40255</v>
      </c>
      <c r="W414" s="3">
        <f t="shared" si="69"/>
        <v>0</v>
      </c>
      <c r="X414" s="5">
        <f t="shared" si="70"/>
        <v>95</v>
      </c>
      <c r="Y414" s="5">
        <f>IF(U414="Open",Lookups!$B$2-B414,X414)</f>
        <v>95</v>
      </c>
      <c r="Z414" t="str">
        <f t="shared" si="71"/>
        <v>OK</v>
      </c>
      <c r="AA414" t="str">
        <f t="shared" si="72"/>
        <v>2025-11</v>
      </c>
      <c r="AB414" t="str">
        <f t="shared" si="73"/>
        <v>2026-02</v>
      </c>
      <c r="AC414" t="str">
        <f t="shared" si="74"/>
        <v>Q4-2025</v>
      </c>
      <c r="AD414" s="5">
        <f t="shared" si="75"/>
        <v>70</v>
      </c>
      <c r="AE414" t="str">
        <f t="shared" si="76"/>
        <v>Won</v>
      </c>
    </row>
    <row r="415" spans="1:31">
      <c r="A415" t="s">
        <v>517</v>
      </c>
      <c r="B415" s="1">
        <v>46146</v>
      </c>
      <c r="C415" t="s">
        <v>69</v>
      </c>
      <c r="D415" t="s">
        <v>57</v>
      </c>
      <c r="E415" t="s">
        <v>109</v>
      </c>
      <c r="F415" t="s">
        <v>52</v>
      </c>
      <c r="G415" t="s">
        <v>112</v>
      </c>
      <c r="H415" t="s">
        <v>53</v>
      </c>
      <c r="I415" t="s">
        <v>61</v>
      </c>
      <c r="J415" s="1">
        <v>46160</v>
      </c>
      <c r="K415" s="1">
        <v>46160</v>
      </c>
      <c r="L415" s="3">
        <v>13800</v>
      </c>
      <c r="M415" s="4">
        <v>0</v>
      </c>
      <c r="N415" s="4">
        <v>0</v>
      </c>
      <c r="O415" t="s">
        <v>62</v>
      </c>
      <c r="P415">
        <v>3</v>
      </c>
      <c r="Q415" t="str">
        <f>IFERROR(VLOOKUP(E415,Lookups!$A$5:$B$24,2,FALSE),"Other")</f>
        <v>Outbound</v>
      </c>
      <c r="R415" t="str">
        <f>IFERROR(VLOOKUP(F415,Lookups!$D$5:$F$10,2,FALSE),"Unknown Product")</f>
        <v>NexaCRM Core</v>
      </c>
      <c r="S415" t="str">
        <f>IFERROR(VLOOKUP(F415,Lookups!$D$5:$F$10,3,FALSE),"Unknown")</f>
        <v>CRM</v>
      </c>
      <c r="T415" t="str">
        <f t="shared" si="66"/>
        <v>SMB</v>
      </c>
      <c r="U415" t="str">
        <f t="shared" si="67"/>
        <v>Lost</v>
      </c>
      <c r="V415" s="3">
        <f t="shared" si="68"/>
        <v>0</v>
      </c>
      <c r="W415" s="3">
        <f t="shared" si="69"/>
        <v>0</v>
      </c>
      <c r="X415" s="5">
        <f t="shared" si="70"/>
        <v>14</v>
      </c>
      <c r="Y415" s="5">
        <f>IF(U415="Open",Lookups!$B$2-B415,X415)</f>
        <v>14</v>
      </c>
      <c r="Z415" t="str">
        <f t="shared" si="71"/>
        <v>OK</v>
      </c>
      <c r="AA415" t="str">
        <f t="shared" si="72"/>
        <v>2026-05</v>
      </c>
      <c r="AB415" t="str">
        <f t="shared" si="73"/>
        <v>2026-05</v>
      </c>
      <c r="AC415" t="str">
        <f t="shared" si="74"/>
        <v>Q2-2026</v>
      </c>
      <c r="AD415" s="5">
        <f t="shared" si="75"/>
        <v>56</v>
      </c>
      <c r="AE415" t="str">
        <f t="shared" si="76"/>
        <v>Lost</v>
      </c>
    </row>
    <row r="416" spans="1:31">
      <c r="A416" t="s">
        <v>518</v>
      </c>
      <c r="B416" s="1">
        <v>46095</v>
      </c>
      <c r="C416" t="s">
        <v>64</v>
      </c>
      <c r="D416" t="s">
        <v>57</v>
      </c>
      <c r="E416" t="s">
        <v>123</v>
      </c>
      <c r="F416" t="s">
        <v>59</v>
      </c>
      <c r="G416" t="s">
        <v>99</v>
      </c>
      <c r="H416" t="s">
        <v>53</v>
      </c>
      <c r="I416" t="s">
        <v>61</v>
      </c>
      <c r="J416" s="1">
        <v>46138</v>
      </c>
      <c r="K416" s="1">
        <v>46138</v>
      </c>
      <c r="L416" s="3">
        <v>31500</v>
      </c>
      <c r="M416" s="4">
        <v>0</v>
      </c>
      <c r="N416" s="4">
        <v>0</v>
      </c>
      <c r="O416" t="s">
        <v>81</v>
      </c>
      <c r="P416">
        <v>4</v>
      </c>
      <c r="Q416" t="str">
        <f>IFERROR(VLOOKUP(E416,Lookups!$A$5:$B$24,2,FALSE),"Other")</f>
        <v>Email</v>
      </c>
      <c r="R416" t="str">
        <f>IFERROR(VLOOKUP(F416,Lookups!$D$5:$F$10,2,FALSE),"Unknown Product")</f>
        <v>NexaCRM Pro</v>
      </c>
      <c r="S416" t="str">
        <f>IFERROR(VLOOKUP(F416,Lookups!$D$5:$F$10,3,FALSE),"Unknown")</f>
        <v>CRM</v>
      </c>
      <c r="T416" t="str">
        <f t="shared" si="66"/>
        <v>Mid-Market</v>
      </c>
      <c r="U416" t="str">
        <f t="shared" si="67"/>
        <v>Lost</v>
      </c>
      <c r="V416" s="3">
        <f t="shared" si="68"/>
        <v>0</v>
      </c>
      <c r="W416" s="3">
        <f t="shared" si="69"/>
        <v>0</v>
      </c>
      <c r="X416" s="5">
        <f t="shared" si="70"/>
        <v>43</v>
      </c>
      <c r="Y416" s="5">
        <f>IF(U416="Open",Lookups!$B$2-B416,X416)</f>
        <v>43</v>
      </c>
      <c r="Z416" t="str">
        <f t="shared" si="71"/>
        <v>OK</v>
      </c>
      <c r="AA416" t="str">
        <f t="shared" si="72"/>
        <v>2026-03</v>
      </c>
      <c r="AB416" t="str">
        <f t="shared" si="73"/>
        <v>2026-04</v>
      </c>
      <c r="AC416" t="str">
        <f t="shared" si="74"/>
        <v>Q1-2026</v>
      </c>
      <c r="AD416" s="5">
        <f t="shared" si="75"/>
        <v>63</v>
      </c>
      <c r="AE416" t="str">
        <f t="shared" si="76"/>
        <v>Lost</v>
      </c>
    </row>
    <row r="417" spans="1:31">
      <c r="A417" t="s">
        <v>519</v>
      </c>
      <c r="B417" s="1">
        <v>46247</v>
      </c>
      <c r="C417" t="s">
        <v>42</v>
      </c>
      <c r="D417" t="s">
        <v>43</v>
      </c>
      <c r="E417" t="s">
        <v>138</v>
      </c>
      <c r="F417" t="s">
        <v>59</v>
      </c>
      <c r="G417" t="s">
        <v>112</v>
      </c>
      <c r="H417" t="s">
        <v>53</v>
      </c>
      <c r="I417" t="s">
        <v>77</v>
      </c>
      <c r="J417" s="1">
        <v>46266</v>
      </c>
      <c r="K417" s="1">
        <v>46266</v>
      </c>
      <c r="L417" s="3">
        <v>36400</v>
      </c>
      <c r="M417" s="4">
        <v>0.03</v>
      </c>
      <c r="N417" s="4">
        <v>1</v>
      </c>
      <c r="P417">
        <v>6</v>
      </c>
      <c r="Q417" t="str">
        <f>IFERROR(VLOOKUP(E417,Lookups!$A$5:$B$24,2,FALSE),"Other")</f>
        <v>Organic Search</v>
      </c>
      <c r="R417" t="str">
        <f>IFERROR(VLOOKUP(F417,Lookups!$D$5:$F$10,2,FALSE),"Unknown Product")</f>
        <v>NexaCRM Pro</v>
      </c>
      <c r="S417" t="str">
        <f>IFERROR(VLOOKUP(F417,Lookups!$D$5:$F$10,3,FALSE),"Unknown")</f>
        <v>CRM</v>
      </c>
      <c r="T417" t="str">
        <f t="shared" si="66"/>
        <v>Mid-Market</v>
      </c>
      <c r="U417" t="str">
        <f t="shared" si="67"/>
        <v>Won</v>
      </c>
      <c r="V417" s="3">
        <f t="shared" si="68"/>
        <v>35308</v>
      </c>
      <c r="W417" s="3">
        <f t="shared" si="69"/>
        <v>0</v>
      </c>
      <c r="X417" s="5">
        <f t="shared" si="70"/>
        <v>19</v>
      </c>
      <c r="Y417" s="5">
        <f>IF(U417="Open",Lookups!$B$2-B417,X417)</f>
        <v>19</v>
      </c>
      <c r="Z417" t="str">
        <f t="shared" si="71"/>
        <v>OK</v>
      </c>
      <c r="AA417" t="str">
        <f t="shared" si="72"/>
        <v>2026-08</v>
      </c>
      <c r="AB417" t="str">
        <f t="shared" si="73"/>
        <v>2026-09</v>
      </c>
      <c r="AC417" t="str">
        <f t="shared" si="74"/>
        <v>Q3-2026</v>
      </c>
      <c r="AD417" s="5">
        <f t="shared" si="75"/>
        <v>70</v>
      </c>
      <c r="AE417" t="str">
        <f t="shared" si="76"/>
        <v>Won</v>
      </c>
    </row>
    <row r="418" spans="1:31">
      <c r="A418" t="s">
        <v>520</v>
      </c>
      <c r="B418" s="1">
        <v>45970</v>
      </c>
      <c r="C418" t="s">
        <v>50</v>
      </c>
      <c r="D418" t="s">
        <v>43</v>
      </c>
      <c r="E418" t="s">
        <v>146</v>
      </c>
      <c r="F418" t="s">
        <v>59</v>
      </c>
      <c r="G418" t="s">
        <v>94</v>
      </c>
      <c r="H418" t="s">
        <v>47</v>
      </c>
      <c r="I418" t="s">
        <v>61</v>
      </c>
      <c r="J418" s="1">
        <v>46012</v>
      </c>
      <c r="K418" s="1">
        <v>46012</v>
      </c>
      <c r="L418" s="3">
        <v>13000</v>
      </c>
      <c r="M418" s="4">
        <v>0</v>
      </c>
      <c r="N418" s="4">
        <v>0</v>
      </c>
      <c r="O418" t="s">
        <v>79</v>
      </c>
      <c r="P418">
        <v>3</v>
      </c>
      <c r="Q418" t="str">
        <f>IFERROR(VLOOKUP(E418,Lookups!$A$5:$B$24,2,FALSE),"Other")</f>
        <v>LinkedIn</v>
      </c>
      <c r="R418" t="str">
        <f>IFERROR(VLOOKUP(F418,Lookups!$D$5:$F$10,2,FALSE),"Unknown Product")</f>
        <v>NexaCRM Pro</v>
      </c>
      <c r="S418" t="str">
        <f>IFERROR(VLOOKUP(F418,Lookups!$D$5:$F$10,3,FALSE),"Unknown")</f>
        <v>CRM</v>
      </c>
      <c r="T418" t="str">
        <f t="shared" si="66"/>
        <v>SMB</v>
      </c>
      <c r="U418" t="str">
        <f t="shared" si="67"/>
        <v>Lost</v>
      </c>
      <c r="V418" s="3">
        <f t="shared" si="68"/>
        <v>0</v>
      </c>
      <c r="W418" s="3">
        <f t="shared" si="69"/>
        <v>0</v>
      </c>
      <c r="X418" s="5">
        <f t="shared" si="70"/>
        <v>42</v>
      </c>
      <c r="Y418" s="5">
        <f>IF(U418="Open",Lookups!$B$2-B418,X418)</f>
        <v>42</v>
      </c>
      <c r="Z418" t="str">
        <f t="shared" si="71"/>
        <v>OK</v>
      </c>
      <c r="AA418" t="str">
        <f t="shared" si="72"/>
        <v>2025-11</v>
      </c>
      <c r="AB418" t="str">
        <f t="shared" si="73"/>
        <v>2025-12</v>
      </c>
      <c r="AC418" t="str">
        <f t="shared" si="74"/>
        <v>Q4-2025</v>
      </c>
      <c r="AD418" s="5">
        <f t="shared" si="75"/>
        <v>43</v>
      </c>
      <c r="AE418" t="str">
        <f t="shared" si="76"/>
        <v>Lost</v>
      </c>
    </row>
    <row r="419" spans="1:31">
      <c r="A419" t="s">
        <v>521</v>
      </c>
      <c r="B419" s="1">
        <v>46102</v>
      </c>
      <c r="C419" t="s">
        <v>148</v>
      </c>
      <c r="D419" t="s">
        <v>43</v>
      </c>
      <c r="E419" t="s">
        <v>123</v>
      </c>
      <c r="F419" t="s">
        <v>133</v>
      </c>
      <c r="G419" t="s">
        <v>94</v>
      </c>
      <c r="H419" t="s">
        <v>84</v>
      </c>
      <c r="I419" t="s">
        <v>61</v>
      </c>
      <c r="J419" s="1">
        <v>46132</v>
      </c>
      <c r="K419" s="1">
        <v>46132</v>
      </c>
      <c r="L419" s="3">
        <v>95200</v>
      </c>
      <c r="M419" s="4">
        <v>0</v>
      </c>
      <c r="N419" s="4">
        <v>0</v>
      </c>
      <c r="O419" t="s">
        <v>102</v>
      </c>
      <c r="P419">
        <v>4</v>
      </c>
      <c r="Q419" t="str">
        <f>IFERROR(VLOOKUP(E419,Lookups!$A$5:$B$24,2,FALSE),"Other")</f>
        <v>Email</v>
      </c>
      <c r="R419" t="str">
        <f>IFERROR(VLOOKUP(F419,Lookups!$D$5:$F$10,2,FALSE),"Unknown Product")</f>
        <v>Analytics Plus</v>
      </c>
      <c r="S419" t="str">
        <f>IFERROR(VLOOKUP(F419,Lookups!$D$5:$F$10,3,FALSE),"Unknown")</f>
        <v>Analytics</v>
      </c>
      <c r="T419" t="str">
        <f t="shared" si="66"/>
        <v>Enterprise</v>
      </c>
      <c r="U419" t="str">
        <f t="shared" si="67"/>
        <v>Lost</v>
      </c>
      <c r="V419" s="3">
        <f t="shared" si="68"/>
        <v>0</v>
      </c>
      <c r="W419" s="3">
        <f t="shared" si="69"/>
        <v>0</v>
      </c>
      <c r="X419" s="5">
        <f t="shared" si="70"/>
        <v>30</v>
      </c>
      <c r="Y419" s="5">
        <f>IF(U419="Open",Lookups!$B$2-B419,X419)</f>
        <v>30</v>
      </c>
      <c r="Z419" t="str">
        <f t="shared" si="71"/>
        <v>OK</v>
      </c>
      <c r="AA419" t="str">
        <f t="shared" si="72"/>
        <v>2026-03</v>
      </c>
      <c r="AB419" t="str">
        <f t="shared" si="73"/>
        <v>2026-04</v>
      </c>
      <c r="AC419" t="str">
        <f t="shared" si="74"/>
        <v>Q1-2026</v>
      </c>
      <c r="AD419" s="5">
        <f t="shared" si="75"/>
        <v>78</v>
      </c>
      <c r="AE419" t="str">
        <f t="shared" si="76"/>
        <v>Lost</v>
      </c>
    </row>
    <row r="420" spans="1:31">
      <c r="A420" t="s">
        <v>522</v>
      </c>
      <c r="B420" s="1">
        <v>45698</v>
      </c>
      <c r="C420" t="s">
        <v>148</v>
      </c>
      <c r="D420" t="s">
        <v>43</v>
      </c>
      <c r="E420" t="s">
        <v>70</v>
      </c>
      <c r="F420" t="s">
        <v>133</v>
      </c>
      <c r="G420" t="s">
        <v>60</v>
      </c>
      <c r="H420" t="s">
        <v>84</v>
      </c>
      <c r="I420" t="s">
        <v>61</v>
      </c>
      <c r="J420" s="1">
        <v>45744</v>
      </c>
      <c r="K420" s="1">
        <v>45744</v>
      </c>
      <c r="L420" s="3">
        <v>61200</v>
      </c>
      <c r="M420" s="4">
        <v>0</v>
      </c>
      <c r="N420" s="4">
        <v>0</v>
      </c>
      <c r="O420" t="s">
        <v>79</v>
      </c>
      <c r="P420">
        <v>4</v>
      </c>
      <c r="Q420" t="str">
        <f>IFERROR(VLOOKUP(E420,Lookups!$A$5:$B$24,2,FALSE),"Other")</f>
        <v>LinkedIn</v>
      </c>
      <c r="R420" t="str">
        <f>IFERROR(VLOOKUP(F420,Lookups!$D$5:$F$10,2,FALSE),"Unknown Product")</f>
        <v>Analytics Plus</v>
      </c>
      <c r="S420" t="str">
        <f>IFERROR(VLOOKUP(F420,Lookups!$D$5:$F$10,3,FALSE),"Unknown")</f>
        <v>Analytics</v>
      </c>
      <c r="T420" t="str">
        <f t="shared" si="66"/>
        <v>Enterprise</v>
      </c>
      <c r="U420" t="str">
        <f t="shared" si="67"/>
        <v>Lost</v>
      </c>
      <c r="V420" s="3">
        <f t="shared" si="68"/>
        <v>0</v>
      </c>
      <c r="W420" s="3">
        <f t="shared" si="69"/>
        <v>0</v>
      </c>
      <c r="X420" s="5">
        <f t="shared" si="70"/>
        <v>46</v>
      </c>
      <c r="Y420" s="5">
        <f>IF(U420="Open",Lookups!$B$2-B420,X420)</f>
        <v>46</v>
      </c>
      <c r="Z420" t="str">
        <f t="shared" si="71"/>
        <v>OK</v>
      </c>
      <c r="AA420" t="str">
        <f t="shared" si="72"/>
        <v>2025-02</v>
      </c>
      <c r="AB420" t="str">
        <f t="shared" si="73"/>
        <v>2025-03</v>
      </c>
      <c r="AC420" t="str">
        <f t="shared" si="74"/>
        <v>Q1-2025</v>
      </c>
      <c r="AD420" s="5">
        <f t="shared" si="75"/>
        <v>74</v>
      </c>
      <c r="AE420" t="str">
        <f t="shared" si="76"/>
        <v>Lost</v>
      </c>
    </row>
    <row r="421" spans="1:31">
      <c r="A421" t="s">
        <v>523</v>
      </c>
      <c r="B421" s="1">
        <v>45828</v>
      </c>
      <c r="C421" t="s">
        <v>42</v>
      </c>
      <c r="D421" t="s">
        <v>43</v>
      </c>
      <c r="E421" t="s">
        <v>119</v>
      </c>
      <c r="F421" t="s">
        <v>71</v>
      </c>
      <c r="G421" t="s">
        <v>94</v>
      </c>
      <c r="H421" t="s">
        <v>84</v>
      </c>
      <c r="I421" t="s">
        <v>61</v>
      </c>
      <c r="J421" s="1">
        <v>45895</v>
      </c>
      <c r="K421" s="1">
        <v>45895</v>
      </c>
      <c r="L421" s="3">
        <v>53100</v>
      </c>
      <c r="M421" s="4">
        <v>0</v>
      </c>
      <c r="N421" s="4">
        <v>0</v>
      </c>
      <c r="O421" t="s">
        <v>81</v>
      </c>
      <c r="P421">
        <v>2</v>
      </c>
      <c r="Q421" t="str">
        <f>IFERROR(VLOOKUP(E421,Lookups!$A$5:$B$24,2,FALSE),"Other")</f>
        <v>Referral</v>
      </c>
      <c r="R421" t="str">
        <f>IFERROR(VLOOKUP(F421,Lookups!$D$5:$F$10,2,FALSE),"Unknown Product")</f>
        <v>Marketing Automation</v>
      </c>
      <c r="S421" t="str">
        <f>IFERROR(VLOOKUP(F421,Lookups!$D$5:$F$10,3,FALSE),"Unknown")</f>
        <v>Marketing</v>
      </c>
      <c r="T421" t="str">
        <f t="shared" si="66"/>
        <v>Enterprise</v>
      </c>
      <c r="U421" t="str">
        <f t="shared" si="67"/>
        <v>Lost</v>
      </c>
      <c r="V421" s="3">
        <f t="shared" si="68"/>
        <v>0</v>
      </c>
      <c r="W421" s="3">
        <f t="shared" si="69"/>
        <v>0</v>
      </c>
      <c r="X421" s="5">
        <f t="shared" si="70"/>
        <v>67</v>
      </c>
      <c r="Y421" s="5">
        <f>IF(U421="Open",Lookups!$B$2-B421,X421)</f>
        <v>67</v>
      </c>
      <c r="Z421" t="str">
        <f t="shared" si="71"/>
        <v>OK</v>
      </c>
      <c r="AA421" t="str">
        <f t="shared" si="72"/>
        <v>2025-06</v>
      </c>
      <c r="AB421" t="str">
        <f t="shared" si="73"/>
        <v>2025-08</v>
      </c>
      <c r="AC421" t="str">
        <f t="shared" si="74"/>
        <v>Q2-2025</v>
      </c>
      <c r="AD421" s="5">
        <f t="shared" si="75"/>
        <v>85</v>
      </c>
      <c r="AE421" t="str">
        <f t="shared" si="76"/>
        <v>Lost</v>
      </c>
    </row>
    <row r="422" spans="1:31">
      <c r="A422" t="s">
        <v>524</v>
      </c>
      <c r="B422" s="1">
        <v>46249</v>
      </c>
      <c r="C422" t="s">
        <v>64</v>
      </c>
      <c r="D422" t="s">
        <v>57</v>
      </c>
      <c r="E422" t="s">
        <v>115</v>
      </c>
      <c r="F422" t="s">
        <v>59</v>
      </c>
      <c r="G422" t="s">
        <v>76</v>
      </c>
      <c r="H422" t="s">
        <v>47</v>
      </c>
      <c r="I422" t="s">
        <v>61</v>
      </c>
      <c r="J422" s="1">
        <v>46266</v>
      </c>
      <c r="K422" s="1">
        <v>46266</v>
      </c>
      <c r="L422" s="3">
        <v>23300</v>
      </c>
      <c r="M422" s="4">
        <v>0</v>
      </c>
      <c r="N422" s="4">
        <v>0</v>
      </c>
      <c r="O422" t="s">
        <v>81</v>
      </c>
      <c r="P422">
        <v>3</v>
      </c>
      <c r="Q422" t="str">
        <f>IFERROR(VLOOKUP(E422,Lookups!$A$5:$B$24,2,FALSE),"Other")</f>
        <v>Outbound</v>
      </c>
      <c r="R422" t="str">
        <f>IFERROR(VLOOKUP(F422,Lookups!$D$5:$F$10,2,FALSE),"Unknown Product")</f>
        <v>NexaCRM Pro</v>
      </c>
      <c r="S422" t="str">
        <f>IFERROR(VLOOKUP(F422,Lookups!$D$5:$F$10,3,FALSE),"Unknown")</f>
        <v>CRM</v>
      </c>
      <c r="T422" t="str">
        <f t="shared" si="66"/>
        <v>Mid-Market</v>
      </c>
      <c r="U422" t="str">
        <f t="shared" si="67"/>
        <v>Lost</v>
      </c>
      <c r="V422" s="3">
        <f t="shared" si="68"/>
        <v>0</v>
      </c>
      <c r="W422" s="3">
        <f t="shared" si="69"/>
        <v>0</v>
      </c>
      <c r="X422" s="5">
        <f t="shared" si="70"/>
        <v>17</v>
      </c>
      <c r="Y422" s="5">
        <f>IF(U422="Open",Lookups!$B$2-B422,X422)</f>
        <v>17</v>
      </c>
      <c r="Z422" t="str">
        <f t="shared" si="71"/>
        <v>OK</v>
      </c>
      <c r="AA422" t="str">
        <f t="shared" si="72"/>
        <v>2026-08</v>
      </c>
      <c r="AB422" t="str">
        <f t="shared" si="73"/>
        <v>2026-09</v>
      </c>
      <c r="AC422" t="str">
        <f t="shared" si="74"/>
        <v>Q3-2026</v>
      </c>
      <c r="AD422" s="5">
        <f t="shared" si="75"/>
        <v>51</v>
      </c>
      <c r="AE422" t="str">
        <f t="shared" si="76"/>
        <v>Lost</v>
      </c>
    </row>
    <row r="423" spans="1:31">
      <c r="A423" t="s">
        <v>525</v>
      </c>
      <c r="B423" s="1">
        <v>46117</v>
      </c>
      <c r="C423" t="s">
        <v>50</v>
      </c>
      <c r="D423" t="s">
        <v>43</v>
      </c>
      <c r="E423" t="s">
        <v>127</v>
      </c>
      <c r="F423" t="s">
        <v>133</v>
      </c>
      <c r="G423" t="s">
        <v>94</v>
      </c>
      <c r="H423" t="s">
        <v>53</v>
      </c>
      <c r="I423" t="s">
        <v>61</v>
      </c>
      <c r="J423" s="1">
        <v>46147</v>
      </c>
      <c r="K423" s="1">
        <v>46147</v>
      </c>
      <c r="L423" s="3">
        <v>45400</v>
      </c>
      <c r="M423" s="4">
        <v>0</v>
      </c>
      <c r="N423" s="4">
        <v>0</v>
      </c>
      <c r="O423" t="s">
        <v>62</v>
      </c>
      <c r="P423">
        <v>4</v>
      </c>
      <c r="Q423" t="str">
        <f>IFERROR(VLOOKUP(E423,Lookups!$A$5:$B$24,2,FALSE),"Other")</f>
        <v>Paid Search</v>
      </c>
      <c r="R423" t="str">
        <f>IFERROR(VLOOKUP(F423,Lookups!$D$5:$F$10,2,FALSE),"Unknown Product")</f>
        <v>Analytics Plus</v>
      </c>
      <c r="S423" t="str">
        <f>IFERROR(VLOOKUP(F423,Lookups!$D$5:$F$10,3,FALSE),"Unknown")</f>
        <v>Analytics</v>
      </c>
      <c r="T423" t="str">
        <f t="shared" si="66"/>
        <v>Mid-Market</v>
      </c>
      <c r="U423" t="str">
        <f t="shared" si="67"/>
        <v>Lost</v>
      </c>
      <c r="V423" s="3">
        <f t="shared" si="68"/>
        <v>0</v>
      </c>
      <c r="W423" s="3">
        <f t="shared" si="69"/>
        <v>0</v>
      </c>
      <c r="X423" s="5">
        <f t="shared" si="70"/>
        <v>30</v>
      </c>
      <c r="Y423" s="5">
        <f>IF(U423="Open",Lookups!$B$2-B423,X423)</f>
        <v>30</v>
      </c>
      <c r="Z423" t="str">
        <f t="shared" si="71"/>
        <v>OK</v>
      </c>
      <c r="AA423" t="str">
        <f t="shared" si="72"/>
        <v>2026-04</v>
      </c>
      <c r="AB423" t="str">
        <f t="shared" si="73"/>
        <v>2026-05</v>
      </c>
      <c r="AC423" t="str">
        <f t="shared" si="74"/>
        <v>Q2-2026</v>
      </c>
      <c r="AD423" s="5">
        <f t="shared" si="75"/>
        <v>59</v>
      </c>
      <c r="AE423" t="str">
        <f t="shared" si="76"/>
        <v>Lost</v>
      </c>
    </row>
    <row r="424" spans="1:31">
      <c r="A424" t="s">
        <v>526</v>
      </c>
      <c r="B424" s="1">
        <v>46190</v>
      </c>
      <c r="C424" t="s">
        <v>148</v>
      </c>
      <c r="D424" t="s">
        <v>43</v>
      </c>
      <c r="E424" t="s">
        <v>119</v>
      </c>
      <c r="F424" t="s">
        <v>45</v>
      </c>
      <c r="G424" t="s">
        <v>112</v>
      </c>
      <c r="H424" t="s">
        <v>53</v>
      </c>
      <c r="I424" t="s">
        <v>61</v>
      </c>
      <c r="J424" s="1">
        <v>46233</v>
      </c>
      <c r="K424" s="1">
        <v>46233</v>
      </c>
      <c r="L424" s="3">
        <v>22500</v>
      </c>
      <c r="M424" s="4">
        <v>0</v>
      </c>
      <c r="N424" s="4">
        <v>0</v>
      </c>
      <c r="O424" t="s">
        <v>116</v>
      </c>
      <c r="P424">
        <v>3</v>
      </c>
      <c r="Q424" t="str">
        <f>IFERROR(VLOOKUP(E424,Lookups!$A$5:$B$24,2,FALSE),"Other")</f>
        <v>Referral</v>
      </c>
      <c r="R424" t="str">
        <f>IFERROR(VLOOKUP(F424,Lookups!$D$5:$F$10,2,FALSE),"Unknown Product")</f>
        <v>Service Cloud</v>
      </c>
      <c r="S424" t="str">
        <f>IFERROR(VLOOKUP(F424,Lookups!$D$5:$F$10,3,FALSE),"Unknown")</f>
        <v>Customer Service</v>
      </c>
      <c r="T424" t="str">
        <f t="shared" si="66"/>
        <v>Mid-Market</v>
      </c>
      <c r="U424" t="str">
        <f t="shared" si="67"/>
        <v>Lost</v>
      </c>
      <c r="V424" s="3">
        <f t="shared" si="68"/>
        <v>0</v>
      </c>
      <c r="W424" s="3">
        <f t="shared" si="69"/>
        <v>0</v>
      </c>
      <c r="X424" s="5">
        <f t="shared" si="70"/>
        <v>43</v>
      </c>
      <c r="Y424" s="5">
        <f>IF(U424="Open",Lookups!$B$2-B424,X424)</f>
        <v>43</v>
      </c>
      <c r="Z424" t="str">
        <f t="shared" si="71"/>
        <v>OK</v>
      </c>
      <c r="AA424" t="str">
        <f t="shared" si="72"/>
        <v>2026-06</v>
      </c>
      <c r="AB424" t="str">
        <f t="shared" si="73"/>
        <v>2026-07</v>
      </c>
      <c r="AC424" t="str">
        <f t="shared" si="74"/>
        <v>Q2-2026</v>
      </c>
      <c r="AD424" s="5">
        <f t="shared" si="75"/>
        <v>75</v>
      </c>
      <c r="AE424" t="str">
        <f t="shared" si="76"/>
        <v>Lost</v>
      </c>
    </row>
    <row r="425" spans="1:31">
      <c r="A425" t="s">
        <v>527</v>
      </c>
      <c r="B425" s="1">
        <v>45784</v>
      </c>
      <c r="C425" t="s">
        <v>90</v>
      </c>
      <c r="D425" t="s">
        <v>57</v>
      </c>
      <c r="E425" t="s">
        <v>65</v>
      </c>
      <c r="F425" t="s">
        <v>71</v>
      </c>
      <c r="G425" t="s">
        <v>94</v>
      </c>
      <c r="H425" t="s">
        <v>47</v>
      </c>
      <c r="I425" t="s">
        <v>61</v>
      </c>
      <c r="J425" s="1">
        <v>45819</v>
      </c>
      <c r="K425" s="1">
        <v>45819</v>
      </c>
      <c r="L425" s="3">
        <v>14500</v>
      </c>
      <c r="M425" s="4">
        <v>0</v>
      </c>
      <c r="N425" s="4">
        <v>0</v>
      </c>
      <c r="O425" t="s">
        <v>81</v>
      </c>
      <c r="P425">
        <v>4</v>
      </c>
      <c r="Q425" t="str">
        <f>IFERROR(VLOOKUP(E425,Lookups!$A$5:$B$24,2,FALSE),"Other")</f>
        <v>Paid Search</v>
      </c>
      <c r="R425" t="str">
        <f>IFERROR(VLOOKUP(F425,Lookups!$D$5:$F$10,2,FALSE),"Unknown Product")</f>
        <v>Marketing Automation</v>
      </c>
      <c r="S425" t="str">
        <f>IFERROR(VLOOKUP(F425,Lookups!$D$5:$F$10,3,FALSE),"Unknown")</f>
        <v>Marketing</v>
      </c>
      <c r="T425" t="str">
        <f t="shared" si="66"/>
        <v>SMB</v>
      </c>
      <c r="U425" t="str">
        <f t="shared" si="67"/>
        <v>Lost</v>
      </c>
      <c r="V425" s="3">
        <f t="shared" si="68"/>
        <v>0</v>
      </c>
      <c r="W425" s="3">
        <f t="shared" si="69"/>
        <v>0</v>
      </c>
      <c r="X425" s="5">
        <f t="shared" si="70"/>
        <v>35</v>
      </c>
      <c r="Y425" s="5">
        <f>IF(U425="Open",Lookups!$B$2-B425,X425)</f>
        <v>35</v>
      </c>
      <c r="Z425" t="str">
        <f t="shared" si="71"/>
        <v>OK</v>
      </c>
      <c r="AA425" t="str">
        <f t="shared" si="72"/>
        <v>2025-05</v>
      </c>
      <c r="AB425" t="str">
        <f t="shared" si="73"/>
        <v>2025-06</v>
      </c>
      <c r="AC425" t="str">
        <f t="shared" si="74"/>
        <v>Q2-2025</v>
      </c>
      <c r="AD425" s="5">
        <f t="shared" si="75"/>
        <v>43</v>
      </c>
      <c r="AE425" t="str">
        <f t="shared" si="76"/>
        <v>Lost</v>
      </c>
    </row>
    <row r="426" spans="1:31">
      <c r="A426" t="s">
        <v>528</v>
      </c>
      <c r="B426" s="1">
        <v>46245</v>
      </c>
      <c r="C426" t="s">
        <v>69</v>
      </c>
      <c r="D426" t="s">
        <v>57</v>
      </c>
      <c r="E426" t="s">
        <v>127</v>
      </c>
      <c r="F426" t="s">
        <v>45</v>
      </c>
      <c r="G426" t="s">
        <v>112</v>
      </c>
      <c r="H426" t="s">
        <v>84</v>
      </c>
      <c r="I426" t="s">
        <v>73</v>
      </c>
      <c r="J426" s="1">
        <v>46255</v>
      </c>
      <c r="K426" s="1"/>
      <c r="L426" s="3">
        <v>98000</v>
      </c>
      <c r="M426" s="4">
        <v>0.03</v>
      </c>
      <c r="N426" s="4">
        <v>0.2</v>
      </c>
      <c r="P426">
        <v>2</v>
      </c>
      <c r="Q426" t="str">
        <f>IFERROR(VLOOKUP(E426,Lookups!$A$5:$B$24,2,FALSE),"Other")</f>
        <v>Paid Search</v>
      </c>
      <c r="R426" t="str">
        <f>IFERROR(VLOOKUP(F426,Lookups!$D$5:$F$10,2,FALSE),"Unknown Product")</f>
        <v>Service Cloud</v>
      </c>
      <c r="S426" t="str">
        <f>IFERROR(VLOOKUP(F426,Lookups!$D$5:$F$10,3,FALSE),"Unknown")</f>
        <v>Customer Service</v>
      </c>
      <c r="T426" t="str">
        <f t="shared" si="66"/>
        <v>Enterprise</v>
      </c>
      <c r="U426" t="str">
        <f t="shared" si="67"/>
        <v>Open</v>
      </c>
      <c r="V426" s="3">
        <f t="shared" si="68"/>
        <v>0</v>
      </c>
      <c r="W426" s="3">
        <f t="shared" si="69"/>
        <v>19600</v>
      </c>
      <c r="X426" s="5" t="str">
        <f t="shared" si="70"/>
        <v/>
      </c>
      <c r="Y426" s="5">
        <f>IF(U426="Open",Lookups!$B$2-B426,X426)</f>
        <v>21</v>
      </c>
      <c r="Z426" t="str">
        <f t="shared" si="71"/>
        <v>OK</v>
      </c>
      <c r="AA426" t="str">
        <f t="shared" si="72"/>
        <v>2026-08</v>
      </c>
      <c r="AB426" t="str">
        <f t="shared" si="73"/>
        <v/>
      </c>
      <c r="AC426" t="str">
        <f t="shared" si="74"/>
        <v>Q3-2026</v>
      </c>
      <c r="AD426" s="5">
        <f t="shared" si="75"/>
        <v>79</v>
      </c>
      <c r="AE426" t="str">
        <f t="shared" si="76"/>
        <v>Pipeline</v>
      </c>
    </row>
    <row r="427" spans="1:31">
      <c r="A427" t="s">
        <v>529</v>
      </c>
      <c r="B427" s="1">
        <v>46175</v>
      </c>
      <c r="C427" t="s">
        <v>64</v>
      </c>
      <c r="D427" t="s">
        <v>57</v>
      </c>
      <c r="E427" t="s">
        <v>98</v>
      </c>
      <c r="F427" t="s">
        <v>52</v>
      </c>
      <c r="G427" t="s">
        <v>60</v>
      </c>
      <c r="H427" t="s">
        <v>47</v>
      </c>
      <c r="I427" t="s">
        <v>61</v>
      </c>
      <c r="J427" s="1">
        <v>46243</v>
      </c>
      <c r="K427" s="1">
        <v>46243</v>
      </c>
      <c r="L427" s="3">
        <v>5100</v>
      </c>
      <c r="M427" s="4">
        <v>0</v>
      </c>
      <c r="N427" s="4">
        <v>0</v>
      </c>
      <c r="O427" t="s">
        <v>102</v>
      </c>
      <c r="P427">
        <v>5</v>
      </c>
      <c r="Q427" t="str">
        <f>IFERROR(VLOOKUP(E427,Lookups!$A$5:$B$24,2,FALSE),"Other")</f>
        <v>Outbound</v>
      </c>
      <c r="R427" t="str">
        <f>IFERROR(VLOOKUP(F427,Lookups!$D$5:$F$10,2,FALSE),"Unknown Product")</f>
        <v>NexaCRM Core</v>
      </c>
      <c r="S427" t="str">
        <f>IFERROR(VLOOKUP(F427,Lookups!$D$5:$F$10,3,FALSE),"Unknown")</f>
        <v>CRM</v>
      </c>
      <c r="T427" t="str">
        <f t="shared" si="66"/>
        <v>SMB</v>
      </c>
      <c r="U427" t="str">
        <f t="shared" si="67"/>
        <v>Lost</v>
      </c>
      <c r="V427" s="3">
        <f t="shared" si="68"/>
        <v>0</v>
      </c>
      <c r="W427" s="3">
        <f t="shared" si="69"/>
        <v>0</v>
      </c>
      <c r="X427" s="5">
        <f t="shared" si="70"/>
        <v>68</v>
      </c>
      <c r="Y427" s="5">
        <f>IF(U427="Open",Lookups!$B$2-B427,X427)</f>
        <v>68</v>
      </c>
      <c r="Z427" t="str">
        <f t="shared" si="71"/>
        <v>OK</v>
      </c>
      <c r="AA427" t="str">
        <f t="shared" si="72"/>
        <v>2026-06</v>
      </c>
      <c r="AB427" t="str">
        <f t="shared" si="73"/>
        <v>2026-08</v>
      </c>
      <c r="AC427" t="str">
        <f t="shared" si="74"/>
        <v>Q2-2026</v>
      </c>
      <c r="AD427" s="5">
        <f t="shared" si="75"/>
        <v>43</v>
      </c>
      <c r="AE427" t="str">
        <f t="shared" si="76"/>
        <v>Lost</v>
      </c>
    </row>
    <row r="428" spans="1:31">
      <c r="A428" t="s">
        <v>530</v>
      </c>
      <c r="B428" s="1">
        <v>45988</v>
      </c>
      <c r="C428" t="s">
        <v>50</v>
      </c>
      <c r="D428" t="s">
        <v>43</v>
      </c>
      <c r="E428" t="s">
        <v>65</v>
      </c>
      <c r="F428" t="s">
        <v>59</v>
      </c>
      <c r="G428" t="s">
        <v>60</v>
      </c>
      <c r="H428" t="s">
        <v>53</v>
      </c>
      <c r="I428" t="s">
        <v>61</v>
      </c>
      <c r="J428" s="1">
        <v>46070</v>
      </c>
      <c r="K428" s="1">
        <v>46070</v>
      </c>
      <c r="L428" s="3">
        <v>31700</v>
      </c>
      <c r="M428" s="4">
        <v>0</v>
      </c>
      <c r="N428" s="4">
        <v>0</v>
      </c>
      <c r="O428" t="s">
        <v>81</v>
      </c>
      <c r="P428">
        <v>5</v>
      </c>
      <c r="Q428" t="str">
        <f>IFERROR(VLOOKUP(E428,Lookups!$A$5:$B$24,2,FALSE),"Other")</f>
        <v>Paid Search</v>
      </c>
      <c r="R428" t="str">
        <f>IFERROR(VLOOKUP(F428,Lookups!$D$5:$F$10,2,FALSE),"Unknown Product")</f>
        <v>NexaCRM Pro</v>
      </c>
      <c r="S428" t="str">
        <f>IFERROR(VLOOKUP(F428,Lookups!$D$5:$F$10,3,FALSE),"Unknown")</f>
        <v>CRM</v>
      </c>
      <c r="T428" t="str">
        <f t="shared" si="66"/>
        <v>Mid-Market</v>
      </c>
      <c r="U428" t="str">
        <f t="shared" si="67"/>
        <v>Lost</v>
      </c>
      <c r="V428" s="3">
        <f t="shared" si="68"/>
        <v>0</v>
      </c>
      <c r="W428" s="3">
        <f t="shared" si="69"/>
        <v>0</v>
      </c>
      <c r="X428" s="5">
        <f t="shared" si="70"/>
        <v>82</v>
      </c>
      <c r="Y428" s="5">
        <f>IF(U428="Open",Lookups!$B$2-B428,X428)</f>
        <v>82</v>
      </c>
      <c r="Z428" t="str">
        <f t="shared" si="71"/>
        <v>OK</v>
      </c>
      <c r="AA428" t="str">
        <f t="shared" si="72"/>
        <v>2025-11</v>
      </c>
      <c r="AB428" t="str">
        <f t="shared" si="73"/>
        <v>2026-02</v>
      </c>
      <c r="AC428" t="str">
        <f t="shared" si="74"/>
        <v>Q4-2025</v>
      </c>
      <c r="AD428" s="5">
        <f t="shared" si="75"/>
        <v>59</v>
      </c>
      <c r="AE428" t="str">
        <f t="shared" si="76"/>
        <v>Lost</v>
      </c>
    </row>
    <row r="429" spans="1:31">
      <c r="A429" t="s">
        <v>531</v>
      </c>
      <c r="B429" s="1">
        <v>46032</v>
      </c>
      <c r="C429" t="s">
        <v>69</v>
      </c>
      <c r="D429" t="s">
        <v>57</v>
      </c>
      <c r="E429" t="s">
        <v>51</v>
      </c>
      <c r="F429" t="s">
        <v>71</v>
      </c>
      <c r="G429" t="s">
        <v>94</v>
      </c>
      <c r="H429" t="s">
        <v>47</v>
      </c>
      <c r="I429" t="s">
        <v>61</v>
      </c>
      <c r="J429" s="1">
        <v>46076</v>
      </c>
      <c r="K429" s="1">
        <v>46076</v>
      </c>
      <c r="L429" s="3">
        <v>14200</v>
      </c>
      <c r="M429" s="4">
        <v>0</v>
      </c>
      <c r="N429" s="4">
        <v>0</v>
      </c>
      <c r="O429" t="s">
        <v>62</v>
      </c>
      <c r="P429">
        <v>4</v>
      </c>
      <c r="Q429" t="str">
        <f>IFERROR(VLOOKUP(E429,Lookups!$A$5:$B$24,2,FALSE),"Other")</f>
        <v>Paid Search</v>
      </c>
      <c r="R429" t="str">
        <f>IFERROR(VLOOKUP(F429,Lookups!$D$5:$F$10,2,FALSE),"Unknown Product")</f>
        <v>Marketing Automation</v>
      </c>
      <c r="S429" t="str">
        <f>IFERROR(VLOOKUP(F429,Lookups!$D$5:$F$10,3,FALSE),"Unknown")</f>
        <v>Marketing</v>
      </c>
      <c r="T429" t="str">
        <f t="shared" si="66"/>
        <v>SMB</v>
      </c>
      <c r="U429" t="str">
        <f t="shared" si="67"/>
        <v>Lost</v>
      </c>
      <c r="V429" s="3">
        <f t="shared" si="68"/>
        <v>0</v>
      </c>
      <c r="W429" s="3">
        <f t="shared" si="69"/>
        <v>0</v>
      </c>
      <c r="X429" s="5">
        <f t="shared" si="70"/>
        <v>44</v>
      </c>
      <c r="Y429" s="5">
        <f>IF(U429="Open",Lookups!$B$2-B429,X429)</f>
        <v>44</v>
      </c>
      <c r="Z429" t="str">
        <f t="shared" si="71"/>
        <v>OK</v>
      </c>
      <c r="AA429" t="str">
        <f t="shared" si="72"/>
        <v>2026-01</v>
      </c>
      <c r="AB429" t="str">
        <f t="shared" si="73"/>
        <v>2026-02</v>
      </c>
      <c r="AC429" t="str">
        <f t="shared" si="74"/>
        <v>Q1-2026</v>
      </c>
      <c r="AD429" s="5">
        <f t="shared" si="75"/>
        <v>43</v>
      </c>
      <c r="AE429" t="str">
        <f t="shared" si="76"/>
        <v>Lost</v>
      </c>
    </row>
    <row r="430" spans="1:31">
      <c r="A430" t="s">
        <v>532</v>
      </c>
      <c r="B430" s="1">
        <v>45871</v>
      </c>
      <c r="C430" t="s">
        <v>86</v>
      </c>
      <c r="D430" t="s">
        <v>87</v>
      </c>
      <c r="E430" t="s">
        <v>115</v>
      </c>
      <c r="F430" t="s">
        <v>45</v>
      </c>
      <c r="G430" t="s">
        <v>99</v>
      </c>
      <c r="H430" t="s">
        <v>53</v>
      </c>
      <c r="I430" t="s">
        <v>61</v>
      </c>
      <c r="J430" s="1">
        <v>45919</v>
      </c>
      <c r="K430" s="1">
        <v>45919</v>
      </c>
      <c r="L430" s="3">
        <v>32300</v>
      </c>
      <c r="M430" s="4">
        <v>0</v>
      </c>
      <c r="N430" s="4">
        <v>0</v>
      </c>
      <c r="O430" t="s">
        <v>81</v>
      </c>
      <c r="P430">
        <v>2</v>
      </c>
      <c r="Q430" t="str">
        <f>IFERROR(VLOOKUP(E430,Lookups!$A$5:$B$24,2,FALSE),"Other")</f>
        <v>Outbound</v>
      </c>
      <c r="R430" t="str">
        <f>IFERROR(VLOOKUP(F430,Lookups!$D$5:$F$10,2,FALSE),"Unknown Product")</f>
        <v>Service Cloud</v>
      </c>
      <c r="S430" t="str">
        <f>IFERROR(VLOOKUP(F430,Lookups!$D$5:$F$10,3,FALSE),"Unknown")</f>
        <v>Customer Service</v>
      </c>
      <c r="T430" t="str">
        <f t="shared" si="66"/>
        <v>Mid-Market</v>
      </c>
      <c r="U430" t="str">
        <f t="shared" si="67"/>
        <v>Lost</v>
      </c>
      <c r="V430" s="3">
        <f t="shared" si="68"/>
        <v>0</v>
      </c>
      <c r="W430" s="3">
        <f t="shared" si="69"/>
        <v>0</v>
      </c>
      <c r="X430" s="5">
        <f t="shared" si="70"/>
        <v>48</v>
      </c>
      <c r="Y430" s="5">
        <f>IF(U430="Open",Lookups!$B$2-B430,X430)</f>
        <v>48</v>
      </c>
      <c r="Z430" t="str">
        <f t="shared" si="71"/>
        <v>OK</v>
      </c>
      <c r="AA430" t="str">
        <f t="shared" si="72"/>
        <v>2025-08</v>
      </c>
      <c r="AB430" t="str">
        <f t="shared" si="73"/>
        <v>2025-09</v>
      </c>
      <c r="AC430" t="str">
        <f t="shared" si="74"/>
        <v>Q3-2025</v>
      </c>
      <c r="AD430" s="5">
        <f t="shared" si="75"/>
        <v>59</v>
      </c>
      <c r="AE430" t="str">
        <f t="shared" si="76"/>
        <v>Lost</v>
      </c>
    </row>
    <row r="431" spans="1:31">
      <c r="A431" t="s">
        <v>533</v>
      </c>
      <c r="B431" s="1">
        <v>46097</v>
      </c>
      <c r="C431" t="s">
        <v>69</v>
      </c>
      <c r="D431" t="s">
        <v>57</v>
      </c>
      <c r="E431" t="s">
        <v>98</v>
      </c>
      <c r="F431" t="s">
        <v>133</v>
      </c>
      <c r="G431" t="s">
        <v>76</v>
      </c>
      <c r="H431" t="s">
        <v>47</v>
      </c>
      <c r="I431" t="s">
        <v>61</v>
      </c>
      <c r="J431" s="1">
        <v>46141</v>
      </c>
      <c r="K431" s="1">
        <v>46141</v>
      </c>
      <c r="L431" s="3">
        <v>22300</v>
      </c>
      <c r="M431" s="4">
        <v>0</v>
      </c>
      <c r="N431" s="4">
        <v>0</v>
      </c>
      <c r="O431" t="s">
        <v>79</v>
      </c>
      <c r="P431">
        <v>2</v>
      </c>
      <c r="Q431" t="str">
        <f>IFERROR(VLOOKUP(E431,Lookups!$A$5:$B$24,2,FALSE),"Other")</f>
        <v>Outbound</v>
      </c>
      <c r="R431" t="str">
        <f>IFERROR(VLOOKUP(F431,Lookups!$D$5:$F$10,2,FALSE),"Unknown Product")</f>
        <v>Analytics Plus</v>
      </c>
      <c r="S431" t="str">
        <f>IFERROR(VLOOKUP(F431,Lookups!$D$5:$F$10,3,FALSE),"Unknown")</f>
        <v>Analytics</v>
      </c>
      <c r="T431" t="str">
        <f t="shared" si="66"/>
        <v>Mid-Market</v>
      </c>
      <c r="U431" t="str">
        <f t="shared" si="67"/>
        <v>Lost</v>
      </c>
      <c r="V431" s="3">
        <f t="shared" si="68"/>
        <v>0</v>
      </c>
      <c r="W431" s="3">
        <f t="shared" si="69"/>
        <v>0</v>
      </c>
      <c r="X431" s="5">
        <f t="shared" si="70"/>
        <v>44</v>
      </c>
      <c r="Y431" s="5">
        <f>IF(U431="Open",Lookups!$B$2-B431,X431)</f>
        <v>44</v>
      </c>
      <c r="Z431" t="str">
        <f t="shared" si="71"/>
        <v>OK</v>
      </c>
      <c r="AA431" t="str">
        <f t="shared" si="72"/>
        <v>2026-03</v>
      </c>
      <c r="AB431" t="str">
        <f t="shared" si="73"/>
        <v>2026-04</v>
      </c>
      <c r="AC431" t="str">
        <f t="shared" si="74"/>
        <v>Q1-2026</v>
      </c>
      <c r="AD431" s="5">
        <f t="shared" si="75"/>
        <v>51</v>
      </c>
      <c r="AE431" t="str">
        <f t="shared" si="76"/>
        <v>Lost</v>
      </c>
    </row>
    <row r="432" spans="1:31">
      <c r="A432" t="s">
        <v>534</v>
      </c>
      <c r="B432" s="1">
        <v>46069</v>
      </c>
      <c r="C432" t="s">
        <v>148</v>
      </c>
      <c r="D432" t="s">
        <v>43</v>
      </c>
      <c r="E432" t="s">
        <v>119</v>
      </c>
      <c r="F432" t="s">
        <v>45</v>
      </c>
      <c r="G432" t="s">
        <v>60</v>
      </c>
      <c r="H432" t="s">
        <v>53</v>
      </c>
      <c r="I432" t="s">
        <v>77</v>
      </c>
      <c r="J432" s="1">
        <v>46089</v>
      </c>
      <c r="K432" s="1">
        <v>46089</v>
      </c>
      <c r="L432" s="3">
        <v>36600</v>
      </c>
      <c r="M432" s="4">
        <v>0.12</v>
      </c>
      <c r="N432" s="4">
        <v>1</v>
      </c>
      <c r="P432">
        <v>6</v>
      </c>
      <c r="Q432" t="str">
        <f>IFERROR(VLOOKUP(E432,Lookups!$A$5:$B$24,2,FALSE),"Other")</f>
        <v>Referral</v>
      </c>
      <c r="R432" t="str">
        <f>IFERROR(VLOOKUP(F432,Lookups!$D$5:$F$10,2,FALSE),"Unknown Product")</f>
        <v>Service Cloud</v>
      </c>
      <c r="S432" t="str">
        <f>IFERROR(VLOOKUP(F432,Lookups!$D$5:$F$10,3,FALSE),"Unknown")</f>
        <v>Customer Service</v>
      </c>
      <c r="T432" t="str">
        <f t="shared" si="66"/>
        <v>Mid-Market</v>
      </c>
      <c r="U432" t="str">
        <f t="shared" si="67"/>
        <v>Won</v>
      </c>
      <c r="V432" s="3">
        <f t="shared" si="68"/>
        <v>32208</v>
      </c>
      <c r="W432" s="3">
        <f t="shared" si="69"/>
        <v>0</v>
      </c>
      <c r="X432" s="5">
        <f t="shared" si="70"/>
        <v>20</v>
      </c>
      <c r="Y432" s="5">
        <f>IF(U432="Open",Lookups!$B$2-B432,X432)</f>
        <v>20</v>
      </c>
      <c r="Z432" t="str">
        <f t="shared" si="71"/>
        <v>OK</v>
      </c>
      <c r="AA432" t="str">
        <f t="shared" si="72"/>
        <v>2026-02</v>
      </c>
      <c r="AB432" t="str">
        <f t="shared" si="73"/>
        <v>2026-03</v>
      </c>
      <c r="AC432" t="str">
        <f t="shared" si="74"/>
        <v>Q1-2026</v>
      </c>
      <c r="AD432" s="5">
        <f t="shared" si="75"/>
        <v>70</v>
      </c>
      <c r="AE432" t="str">
        <f t="shared" si="76"/>
        <v>Won</v>
      </c>
    </row>
    <row r="433" spans="1:31">
      <c r="A433" t="s">
        <v>535</v>
      </c>
      <c r="B433" s="1">
        <v>46174</v>
      </c>
      <c r="C433" t="s">
        <v>90</v>
      </c>
      <c r="D433" t="s">
        <v>57</v>
      </c>
      <c r="E433" t="s">
        <v>98</v>
      </c>
      <c r="F433" t="s">
        <v>71</v>
      </c>
      <c r="G433" t="s">
        <v>46</v>
      </c>
      <c r="H433" t="s">
        <v>47</v>
      </c>
      <c r="I433" t="s">
        <v>61</v>
      </c>
      <c r="J433" s="1">
        <v>46210</v>
      </c>
      <c r="K433" s="1">
        <v>46210</v>
      </c>
      <c r="L433" s="3">
        <v>18600</v>
      </c>
      <c r="M433" s="4">
        <v>0</v>
      </c>
      <c r="N433" s="4">
        <v>0</v>
      </c>
      <c r="O433" t="s">
        <v>79</v>
      </c>
      <c r="P433">
        <v>3</v>
      </c>
      <c r="Q433" t="str">
        <f>IFERROR(VLOOKUP(E433,Lookups!$A$5:$B$24,2,FALSE),"Other")</f>
        <v>Outbound</v>
      </c>
      <c r="R433" t="str">
        <f>IFERROR(VLOOKUP(F433,Lookups!$D$5:$F$10,2,FALSE),"Unknown Product")</f>
        <v>Marketing Automation</v>
      </c>
      <c r="S433" t="str">
        <f>IFERROR(VLOOKUP(F433,Lookups!$D$5:$F$10,3,FALSE),"Unknown")</f>
        <v>Marketing</v>
      </c>
      <c r="T433" t="str">
        <f t="shared" si="66"/>
        <v>SMB</v>
      </c>
      <c r="U433" t="str">
        <f t="shared" si="67"/>
        <v>Lost</v>
      </c>
      <c r="V433" s="3">
        <f t="shared" si="68"/>
        <v>0</v>
      </c>
      <c r="W433" s="3">
        <f t="shared" si="69"/>
        <v>0</v>
      </c>
      <c r="X433" s="5">
        <f t="shared" si="70"/>
        <v>36</v>
      </c>
      <c r="Y433" s="5">
        <f>IF(U433="Open",Lookups!$B$2-B433,X433)</f>
        <v>36</v>
      </c>
      <c r="Z433" t="str">
        <f t="shared" si="71"/>
        <v>OK</v>
      </c>
      <c r="AA433" t="str">
        <f t="shared" si="72"/>
        <v>2026-06</v>
      </c>
      <c r="AB433" t="str">
        <f t="shared" si="73"/>
        <v>2026-07</v>
      </c>
      <c r="AC433" t="str">
        <f t="shared" si="74"/>
        <v>Q2-2026</v>
      </c>
      <c r="AD433" s="5">
        <f t="shared" si="75"/>
        <v>43</v>
      </c>
      <c r="AE433" t="str">
        <f t="shared" si="76"/>
        <v>Lost</v>
      </c>
    </row>
    <row r="434" spans="1:31">
      <c r="A434" t="s">
        <v>536</v>
      </c>
      <c r="B434" s="1">
        <v>45802</v>
      </c>
      <c r="C434" t="s">
        <v>64</v>
      </c>
      <c r="D434" t="s">
        <v>57</v>
      </c>
      <c r="E434" t="s">
        <v>119</v>
      </c>
      <c r="F434" t="s">
        <v>71</v>
      </c>
      <c r="G434" t="s">
        <v>46</v>
      </c>
      <c r="H434" t="s">
        <v>53</v>
      </c>
      <c r="I434" t="s">
        <v>77</v>
      </c>
      <c r="J434" s="1">
        <v>45877</v>
      </c>
      <c r="K434" s="1">
        <v>45877</v>
      </c>
      <c r="L434" s="3">
        <v>25500</v>
      </c>
      <c r="M434" s="4">
        <v>0.08</v>
      </c>
      <c r="N434" s="4">
        <v>1</v>
      </c>
      <c r="P434">
        <v>6</v>
      </c>
      <c r="Q434" t="str">
        <f>IFERROR(VLOOKUP(E434,Lookups!$A$5:$B$24,2,FALSE),"Other")</f>
        <v>Referral</v>
      </c>
      <c r="R434" t="str">
        <f>IFERROR(VLOOKUP(F434,Lookups!$D$5:$F$10,2,FALSE),"Unknown Product")</f>
        <v>Marketing Automation</v>
      </c>
      <c r="S434" t="str">
        <f>IFERROR(VLOOKUP(F434,Lookups!$D$5:$F$10,3,FALSE),"Unknown")</f>
        <v>Marketing</v>
      </c>
      <c r="T434" t="str">
        <f t="shared" si="66"/>
        <v>Mid-Market</v>
      </c>
      <c r="U434" t="str">
        <f t="shared" si="67"/>
        <v>Won</v>
      </c>
      <c r="V434" s="3">
        <f t="shared" si="68"/>
        <v>23460</v>
      </c>
      <c r="W434" s="3">
        <f t="shared" si="69"/>
        <v>0</v>
      </c>
      <c r="X434" s="5">
        <f t="shared" si="70"/>
        <v>75</v>
      </c>
      <c r="Y434" s="5">
        <f>IF(U434="Open",Lookups!$B$2-B434,X434)</f>
        <v>75</v>
      </c>
      <c r="Z434" t="str">
        <f t="shared" si="71"/>
        <v>OK</v>
      </c>
      <c r="AA434" t="str">
        <f t="shared" si="72"/>
        <v>2025-05</v>
      </c>
      <c r="AB434" t="str">
        <f t="shared" si="73"/>
        <v>2025-08</v>
      </c>
      <c r="AC434" t="str">
        <f t="shared" si="74"/>
        <v>Q2-2025</v>
      </c>
      <c r="AD434" s="5">
        <f t="shared" si="75"/>
        <v>70</v>
      </c>
      <c r="AE434" t="str">
        <f t="shared" si="76"/>
        <v>Won</v>
      </c>
    </row>
    <row r="435" spans="1:31">
      <c r="A435" t="s">
        <v>537</v>
      </c>
      <c r="B435" s="1">
        <v>45834</v>
      </c>
      <c r="C435" t="s">
        <v>148</v>
      </c>
      <c r="D435" t="s">
        <v>43</v>
      </c>
      <c r="E435" t="s">
        <v>160</v>
      </c>
      <c r="F435" t="s">
        <v>59</v>
      </c>
      <c r="G435" t="s">
        <v>60</v>
      </c>
      <c r="H435" t="s">
        <v>47</v>
      </c>
      <c r="I435" t="s">
        <v>77</v>
      </c>
      <c r="J435" s="1">
        <v>45868</v>
      </c>
      <c r="K435" s="1">
        <v>45868</v>
      </c>
      <c r="L435" s="3">
        <v>18100</v>
      </c>
      <c r="M435" s="4">
        <v>0</v>
      </c>
      <c r="N435" s="4">
        <v>1</v>
      </c>
      <c r="P435">
        <v>6</v>
      </c>
      <c r="Q435" t="str">
        <f>IFERROR(VLOOKUP(E435,Lookups!$A$5:$B$24,2,FALSE),"Other")</f>
        <v>Email</v>
      </c>
      <c r="R435" t="str">
        <f>IFERROR(VLOOKUP(F435,Lookups!$D$5:$F$10,2,FALSE),"Unknown Product")</f>
        <v>NexaCRM Pro</v>
      </c>
      <c r="S435" t="str">
        <f>IFERROR(VLOOKUP(F435,Lookups!$D$5:$F$10,3,FALSE),"Unknown")</f>
        <v>CRM</v>
      </c>
      <c r="T435" t="str">
        <f t="shared" si="66"/>
        <v>SMB</v>
      </c>
      <c r="U435" t="str">
        <f t="shared" si="67"/>
        <v>Won</v>
      </c>
      <c r="V435" s="3">
        <f t="shared" si="68"/>
        <v>18100</v>
      </c>
      <c r="W435" s="3">
        <f t="shared" si="69"/>
        <v>0</v>
      </c>
      <c r="X435" s="5">
        <f t="shared" si="70"/>
        <v>34</v>
      </c>
      <c r="Y435" s="5">
        <f>IF(U435="Open",Lookups!$B$2-B435,X435)</f>
        <v>34</v>
      </c>
      <c r="Z435" t="str">
        <f t="shared" si="71"/>
        <v>OK</v>
      </c>
      <c r="AA435" t="str">
        <f t="shared" si="72"/>
        <v>2025-06</v>
      </c>
      <c r="AB435" t="str">
        <f t="shared" si="73"/>
        <v>2025-07</v>
      </c>
      <c r="AC435" t="str">
        <f t="shared" si="74"/>
        <v>Q2-2025</v>
      </c>
      <c r="AD435" s="5">
        <f t="shared" si="75"/>
        <v>47</v>
      </c>
      <c r="AE435" t="str">
        <f t="shared" si="76"/>
        <v>Won</v>
      </c>
    </row>
    <row r="436" spans="1:31">
      <c r="A436" t="s">
        <v>538</v>
      </c>
      <c r="B436" s="1">
        <v>46051</v>
      </c>
      <c r="C436" t="s">
        <v>148</v>
      </c>
      <c r="D436" t="s">
        <v>43</v>
      </c>
      <c r="E436" t="s">
        <v>119</v>
      </c>
      <c r="F436" t="s">
        <v>67</v>
      </c>
      <c r="G436" t="s">
        <v>94</v>
      </c>
      <c r="H436" t="s">
        <v>53</v>
      </c>
      <c r="I436" t="s">
        <v>48</v>
      </c>
      <c r="J436" s="1">
        <v>46213</v>
      </c>
      <c r="K436" s="1"/>
      <c r="L436" s="3">
        <v>38800</v>
      </c>
      <c r="M436" s="4">
        <v>0.05</v>
      </c>
      <c r="N436" s="4">
        <v>0.85</v>
      </c>
      <c r="P436">
        <v>5</v>
      </c>
      <c r="Q436" t="str">
        <f>IFERROR(VLOOKUP(E436,Lookups!$A$5:$B$24,2,FALSE),"Other")</f>
        <v>Referral</v>
      </c>
      <c r="R436" t="str">
        <f>IFERROR(VLOOKUP(F436,Lookups!$D$5:$F$10,2,FALSE),"Unknown Product")</f>
        <v>Revenue Operations Suite</v>
      </c>
      <c r="S436" t="str">
        <f>IFERROR(VLOOKUP(F436,Lookups!$D$5:$F$10,3,FALSE),"Unknown")</f>
        <v>Revenue Ops</v>
      </c>
      <c r="T436" t="str">
        <f t="shared" si="66"/>
        <v>Mid-Market</v>
      </c>
      <c r="U436" t="str">
        <f t="shared" si="67"/>
        <v>Open</v>
      </c>
      <c r="V436" s="3">
        <f t="shared" si="68"/>
        <v>0</v>
      </c>
      <c r="W436" s="3">
        <f t="shared" si="69"/>
        <v>32980</v>
      </c>
      <c r="X436" s="5" t="str">
        <f t="shared" si="70"/>
        <v/>
      </c>
      <c r="Y436" s="5">
        <f>IF(U436="Open",Lookups!$B$2-B436,X436)</f>
        <v>215</v>
      </c>
      <c r="Z436" t="str">
        <f t="shared" si="71"/>
        <v>STALE</v>
      </c>
      <c r="AA436" t="str">
        <f t="shared" si="72"/>
        <v>2026-01</v>
      </c>
      <c r="AB436" t="str">
        <f t="shared" si="73"/>
        <v/>
      </c>
      <c r="AC436" t="str">
        <f t="shared" si="74"/>
        <v>Q1-2026</v>
      </c>
      <c r="AD436" s="5">
        <f t="shared" si="75"/>
        <v>70</v>
      </c>
      <c r="AE436" t="str">
        <f t="shared" si="76"/>
        <v>Commit</v>
      </c>
    </row>
    <row r="437" spans="1:31">
      <c r="A437" t="s">
        <v>539</v>
      </c>
      <c r="B437" s="1">
        <v>45976</v>
      </c>
      <c r="C437" t="s">
        <v>56</v>
      </c>
      <c r="D437" t="s">
        <v>57</v>
      </c>
      <c r="E437" t="s">
        <v>115</v>
      </c>
      <c r="F437" t="s">
        <v>45</v>
      </c>
      <c r="G437" t="s">
        <v>112</v>
      </c>
      <c r="H437" t="s">
        <v>47</v>
      </c>
      <c r="I437" t="s">
        <v>77</v>
      </c>
      <c r="J437" s="1">
        <v>46062</v>
      </c>
      <c r="K437" s="1">
        <v>46062</v>
      </c>
      <c r="L437" s="3">
        <v>25000</v>
      </c>
      <c r="M437" s="4">
        <v>0</v>
      </c>
      <c r="N437" s="4">
        <v>1</v>
      </c>
      <c r="P437">
        <v>6</v>
      </c>
      <c r="Q437" t="str">
        <f>IFERROR(VLOOKUP(E437,Lookups!$A$5:$B$24,2,FALSE),"Other")</f>
        <v>Outbound</v>
      </c>
      <c r="R437" t="str">
        <f>IFERROR(VLOOKUP(F437,Lookups!$D$5:$F$10,2,FALSE),"Unknown Product")</f>
        <v>Service Cloud</v>
      </c>
      <c r="S437" t="str">
        <f>IFERROR(VLOOKUP(F437,Lookups!$D$5:$F$10,3,FALSE),"Unknown")</f>
        <v>Customer Service</v>
      </c>
      <c r="T437" t="str">
        <f t="shared" si="66"/>
        <v>Mid-Market</v>
      </c>
      <c r="U437" t="str">
        <f t="shared" si="67"/>
        <v>Won</v>
      </c>
      <c r="V437" s="3">
        <f t="shared" si="68"/>
        <v>25000</v>
      </c>
      <c r="W437" s="3">
        <f t="shared" si="69"/>
        <v>0</v>
      </c>
      <c r="X437" s="5">
        <f t="shared" si="70"/>
        <v>86</v>
      </c>
      <c r="Y437" s="5">
        <f>IF(U437="Open",Lookups!$B$2-B437,X437)</f>
        <v>86</v>
      </c>
      <c r="Z437" t="str">
        <f t="shared" si="71"/>
        <v>OK</v>
      </c>
      <c r="AA437" t="str">
        <f t="shared" si="72"/>
        <v>2025-11</v>
      </c>
      <c r="AB437" t="str">
        <f t="shared" si="73"/>
        <v>2026-02</v>
      </c>
      <c r="AC437" t="str">
        <f t="shared" si="74"/>
        <v>Q4-2025</v>
      </c>
      <c r="AD437" s="5">
        <f t="shared" si="75"/>
        <v>56</v>
      </c>
      <c r="AE437" t="str">
        <f t="shared" si="76"/>
        <v>Won</v>
      </c>
    </row>
    <row r="438" spans="1:31">
      <c r="A438" t="s">
        <v>540</v>
      </c>
      <c r="B438" s="1">
        <v>46097</v>
      </c>
      <c r="C438" t="s">
        <v>50</v>
      </c>
      <c r="D438" t="s">
        <v>43</v>
      </c>
      <c r="E438" t="s">
        <v>115</v>
      </c>
      <c r="F438" t="s">
        <v>59</v>
      </c>
      <c r="G438" t="s">
        <v>99</v>
      </c>
      <c r="H438" t="s">
        <v>84</v>
      </c>
      <c r="I438" t="s">
        <v>77</v>
      </c>
      <c r="J438" s="1">
        <v>46197</v>
      </c>
      <c r="K438" s="1">
        <v>46197</v>
      </c>
      <c r="L438" s="3">
        <v>87900</v>
      </c>
      <c r="M438" s="4">
        <v>0.12</v>
      </c>
      <c r="N438" s="4">
        <v>1</v>
      </c>
      <c r="P438">
        <v>6</v>
      </c>
      <c r="Q438" t="str">
        <f>IFERROR(VLOOKUP(E438,Lookups!$A$5:$B$24,2,FALSE),"Other")</f>
        <v>Outbound</v>
      </c>
      <c r="R438" t="str">
        <f>IFERROR(VLOOKUP(F438,Lookups!$D$5:$F$10,2,FALSE),"Unknown Product")</f>
        <v>NexaCRM Pro</v>
      </c>
      <c r="S438" t="str">
        <f>IFERROR(VLOOKUP(F438,Lookups!$D$5:$F$10,3,FALSE),"Unknown")</f>
        <v>CRM</v>
      </c>
      <c r="T438" t="str">
        <f t="shared" si="66"/>
        <v>Enterprise</v>
      </c>
      <c r="U438" t="str">
        <f t="shared" si="67"/>
        <v>Won</v>
      </c>
      <c r="V438" s="3">
        <f t="shared" si="68"/>
        <v>77352</v>
      </c>
      <c r="W438" s="3">
        <f t="shared" si="69"/>
        <v>0</v>
      </c>
      <c r="X438" s="5">
        <f t="shared" si="70"/>
        <v>100</v>
      </c>
      <c r="Y438" s="5">
        <f>IF(U438="Open",Lookups!$B$2-B438,X438)</f>
        <v>100</v>
      </c>
      <c r="Z438" t="str">
        <f t="shared" si="71"/>
        <v>OK</v>
      </c>
      <c r="AA438" t="str">
        <f t="shared" si="72"/>
        <v>2026-03</v>
      </c>
      <c r="AB438" t="str">
        <f t="shared" si="73"/>
        <v>2026-06</v>
      </c>
      <c r="AC438" t="str">
        <f t="shared" si="74"/>
        <v>Q1-2026</v>
      </c>
      <c r="AD438" s="5">
        <f t="shared" si="75"/>
        <v>74</v>
      </c>
      <c r="AE438" t="str">
        <f t="shared" si="76"/>
        <v>Won</v>
      </c>
    </row>
    <row r="439" spans="1:31">
      <c r="A439" t="s">
        <v>541</v>
      </c>
      <c r="B439" s="1">
        <v>45949</v>
      </c>
      <c r="C439" t="s">
        <v>69</v>
      </c>
      <c r="D439" t="s">
        <v>57</v>
      </c>
      <c r="E439" t="s">
        <v>75</v>
      </c>
      <c r="F439" t="s">
        <v>52</v>
      </c>
      <c r="G439" t="s">
        <v>72</v>
      </c>
      <c r="H439" t="s">
        <v>53</v>
      </c>
      <c r="I439" t="s">
        <v>61</v>
      </c>
      <c r="J439" s="1">
        <v>45989</v>
      </c>
      <c r="K439" s="1">
        <v>45989</v>
      </c>
      <c r="L439" s="3">
        <v>16600</v>
      </c>
      <c r="M439" s="4">
        <v>0</v>
      </c>
      <c r="N439" s="4">
        <v>0</v>
      </c>
      <c r="O439" t="s">
        <v>62</v>
      </c>
      <c r="P439">
        <v>4</v>
      </c>
      <c r="Q439" t="str">
        <f>IFERROR(VLOOKUP(E439,Lookups!$A$5:$B$24,2,FALSE),"Other")</f>
        <v>Webinar</v>
      </c>
      <c r="R439" t="str">
        <f>IFERROR(VLOOKUP(F439,Lookups!$D$5:$F$10,2,FALSE),"Unknown Product")</f>
        <v>NexaCRM Core</v>
      </c>
      <c r="S439" t="str">
        <f>IFERROR(VLOOKUP(F439,Lookups!$D$5:$F$10,3,FALSE),"Unknown")</f>
        <v>CRM</v>
      </c>
      <c r="T439" t="str">
        <f t="shared" si="66"/>
        <v>SMB</v>
      </c>
      <c r="U439" t="str">
        <f t="shared" si="67"/>
        <v>Lost</v>
      </c>
      <c r="V439" s="3">
        <f t="shared" si="68"/>
        <v>0</v>
      </c>
      <c r="W439" s="3">
        <f t="shared" si="69"/>
        <v>0</v>
      </c>
      <c r="X439" s="5">
        <f t="shared" si="70"/>
        <v>40</v>
      </c>
      <c r="Y439" s="5">
        <f>IF(U439="Open",Lookups!$B$2-B439,X439)</f>
        <v>40</v>
      </c>
      <c r="Z439" t="str">
        <f t="shared" si="71"/>
        <v>OK</v>
      </c>
      <c r="AA439" t="str">
        <f t="shared" si="72"/>
        <v>2025-10</v>
      </c>
      <c r="AB439" t="str">
        <f t="shared" si="73"/>
        <v>2025-11</v>
      </c>
      <c r="AC439" t="str">
        <f t="shared" si="74"/>
        <v>Q4-2025</v>
      </c>
      <c r="AD439" s="5">
        <f t="shared" si="75"/>
        <v>51</v>
      </c>
      <c r="AE439" t="str">
        <f t="shared" si="76"/>
        <v>Lost</v>
      </c>
    </row>
    <row r="440" spans="1:31">
      <c r="A440" t="s">
        <v>542</v>
      </c>
      <c r="B440" s="1">
        <v>46129</v>
      </c>
      <c r="C440" t="s">
        <v>64</v>
      </c>
      <c r="D440" t="s">
        <v>57</v>
      </c>
      <c r="E440" t="s">
        <v>51</v>
      </c>
      <c r="F440" t="s">
        <v>67</v>
      </c>
      <c r="G440" t="s">
        <v>72</v>
      </c>
      <c r="H440" t="s">
        <v>53</v>
      </c>
      <c r="I440" t="s">
        <v>61</v>
      </c>
      <c r="J440" s="1">
        <v>46180</v>
      </c>
      <c r="K440" s="1">
        <v>46180</v>
      </c>
      <c r="L440" s="3">
        <v>62400</v>
      </c>
      <c r="M440" s="4">
        <v>0</v>
      </c>
      <c r="N440" s="4">
        <v>0</v>
      </c>
      <c r="O440" t="s">
        <v>81</v>
      </c>
      <c r="P440">
        <v>4</v>
      </c>
      <c r="Q440" t="str">
        <f>IFERROR(VLOOKUP(E440,Lookups!$A$5:$B$24,2,FALSE),"Other")</f>
        <v>Paid Search</v>
      </c>
      <c r="R440" t="str">
        <f>IFERROR(VLOOKUP(F440,Lookups!$D$5:$F$10,2,FALSE),"Unknown Product")</f>
        <v>Revenue Operations Suite</v>
      </c>
      <c r="S440" t="str">
        <f>IFERROR(VLOOKUP(F440,Lookups!$D$5:$F$10,3,FALSE),"Unknown")</f>
        <v>Revenue Ops</v>
      </c>
      <c r="T440" t="str">
        <f t="shared" si="66"/>
        <v>Enterprise</v>
      </c>
      <c r="U440" t="str">
        <f t="shared" si="67"/>
        <v>Lost</v>
      </c>
      <c r="V440" s="3">
        <f t="shared" si="68"/>
        <v>0</v>
      </c>
      <c r="W440" s="3">
        <f t="shared" si="69"/>
        <v>0</v>
      </c>
      <c r="X440" s="5">
        <f t="shared" si="70"/>
        <v>51</v>
      </c>
      <c r="Y440" s="5">
        <f>IF(U440="Open",Lookups!$B$2-B440,X440)</f>
        <v>51</v>
      </c>
      <c r="Z440" t="str">
        <f t="shared" si="71"/>
        <v>OK</v>
      </c>
      <c r="AA440" t="str">
        <f t="shared" si="72"/>
        <v>2026-04</v>
      </c>
      <c r="AB440" t="str">
        <f t="shared" si="73"/>
        <v>2026-06</v>
      </c>
      <c r="AC440" t="str">
        <f t="shared" si="74"/>
        <v>Q2-2026</v>
      </c>
      <c r="AD440" s="5">
        <f t="shared" si="75"/>
        <v>66</v>
      </c>
      <c r="AE440" t="str">
        <f t="shared" si="76"/>
        <v>Lost</v>
      </c>
    </row>
    <row r="441" spans="1:31">
      <c r="A441" t="s">
        <v>543</v>
      </c>
      <c r="B441" s="1">
        <v>46066</v>
      </c>
      <c r="C441" t="s">
        <v>86</v>
      </c>
      <c r="D441" t="s">
        <v>87</v>
      </c>
      <c r="E441" t="s">
        <v>83</v>
      </c>
      <c r="F441" t="s">
        <v>71</v>
      </c>
      <c r="G441" t="s">
        <v>94</v>
      </c>
      <c r="H441" t="s">
        <v>47</v>
      </c>
      <c r="I441" t="s">
        <v>77</v>
      </c>
      <c r="J441" s="1">
        <v>46078</v>
      </c>
      <c r="K441" s="1">
        <v>46078</v>
      </c>
      <c r="L441" s="3">
        <v>16800</v>
      </c>
      <c r="M441" s="4">
        <v>0.05</v>
      </c>
      <c r="N441" s="4">
        <v>1</v>
      </c>
      <c r="P441">
        <v>6</v>
      </c>
      <c r="Q441" t="str">
        <f>IFERROR(VLOOKUP(E441,Lookups!$A$5:$B$24,2,FALSE),"Other")</f>
        <v>Organic Search</v>
      </c>
      <c r="R441" t="str">
        <f>IFERROR(VLOOKUP(F441,Lookups!$D$5:$F$10,2,FALSE),"Unknown Product")</f>
        <v>Marketing Automation</v>
      </c>
      <c r="S441" t="str">
        <f>IFERROR(VLOOKUP(F441,Lookups!$D$5:$F$10,3,FALSE),"Unknown")</f>
        <v>Marketing</v>
      </c>
      <c r="T441" t="str">
        <f t="shared" si="66"/>
        <v>SMB</v>
      </c>
      <c r="U441" t="str">
        <f t="shared" si="67"/>
        <v>Won</v>
      </c>
      <c r="V441" s="3">
        <f t="shared" si="68"/>
        <v>15960</v>
      </c>
      <c r="W441" s="3">
        <f t="shared" si="69"/>
        <v>0</v>
      </c>
      <c r="X441" s="5">
        <f t="shared" si="70"/>
        <v>12</v>
      </c>
      <c r="Y441" s="5">
        <f>IF(U441="Open",Lookups!$B$2-B441,X441)</f>
        <v>12</v>
      </c>
      <c r="Z441" t="str">
        <f t="shared" si="71"/>
        <v>OK</v>
      </c>
      <c r="AA441" t="str">
        <f t="shared" si="72"/>
        <v>2026-02</v>
      </c>
      <c r="AB441" t="str">
        <f t="shared" si="73"/>
        <v>2026-02</v>
      </c>
      <c r="AC441" t="str">
        <f t="shared" si="74"/>
        <v>Q1-2026</v>
      </c>
      <c r="AD441" s="5">
        <f t="shared" si="75"/>
        <v>49</v>
      </c>
      <c r="AE441" t="str">
        <f t="shared" si="76"/>
        <v>Won</v>
      </c>
    </row>
    <row r="442" spans="1:31">
      <c r="A442" t="s">
        <v>544</v>
      </c>
      <c r="B442" s="1">
        <v>45836</v>
      </c>
      <c r="C442" t="s">
        <v>64</v>
      </c>
      <c r="D442" t="s">
        <v>57</v>
      </c>
      <c r="E442" t="s">
        <v>51</v>
      </c>
      <c r="F442" t="s">
        <v>59</v>
      </c>
      <c r="G442" t="s">
        <v>60</v>
      </c>
      <c r="H442" t="s">
        <v>53</v>
      </c>
      <c r="I442" t="s">
        <v>48</v>
      </c>
      <c r="J442" s="1">
        <v>45989</v>
      </c>
      <c r="K442" s="1"/>
      <c r="L442" s="3">
        <v>34500</v>
      </c>
      <c r="M442" s="4">
        <v>0.05</v>
      </c>
      <c r="N442" s="4">
        <v>0.85</v>
      </c>
      <c r="P442">
        <v>5</v>
      </c>
      <c r="Q442" t="str">
        <f>IFERROR(VLOOKUP(E442,Lookups!$A$5:$B$24,2,FALSE),"Other")</f>
        <v>Paid Search</v>
      </c>
      <c r="R442" t="str">
        <f>IFERROR(VLOOKUP(F442,Lookups!$D$5:$F$10,2,FALSE),"Unknown Product")</f>
        <v>NexaCRM Pro</v>
      </c>
      <c r="S442" t="str">
        <f>IFERROR(VLOOKUP(F442,Lookups!$D$5:$F$10,3,FALSE),"Unknown")</f>
        <v>CRM</v>
      </c>
      <c r="T442" t="str">
        <f t="shared" si="66"/>
        <v>Mid-Market</v>
      </c>
      <c r="U442" t="str">
        <f t="shared" si="67"/>
        <v>Open</v>
      </c>
      <c r="V442" s="3">
        <f t="shared" si="68"/>
        <v>0</v>
      </c>
      <c r="W442" s="3">
        <f t="shared" si="69"/>
        <v>29325</v>
      </c>
      <c r="X442" s="5" t="str">
        <f t="shared" si="70"/>
        <v/>
      </c>
      <c r="Y442" s="5">
        <f>IF(U442="Open",Lookups!$B$2-B442,X442)</f>
        <v>430</v>
      </c>
      <c r="Z442" t="str">
        <f t="shared" si="71"/>
        <v>STALE</v>
      </c>
      <c r="AA442" t="str">
        <f t="shared" si="72"/>
        <v>2025-06</v>
      </c>
      <c r="AB442" t="str">
        <f t="shared" si="73"/>
        <v/>
      </c>
      <c r="AC442" t="str">
        <f t="shared" si="74"/>
        <v>Q2-2025</v>
      </c>
      <c r="AD442" s="5">
        <f t="shared" si="75"/>
        <v>59</v>
      </c>
      <c r="AE442" t="str">
        <f t="shared" si="76"/>
        <v>Commit</v>
      </c>
    </row>
    <row r="443" spans="1:31">
      <c r="A443" t="s">
        <v>545</v>
      </c>
      <c r="B443" s="1">
        <v>46107</v>
      </c>
      <c r="C443" t="s">
        <v>86</v>
      </c>
      <c r="D443" t="s">
        <v>87</v>
      </c>
      <c r="E443" t="s">
        <v>138</v>
      </c>
      <c r="F443" t="s">
        <v>52</v>
      </c>
      <c r="G443" t="s">
        <v>46</v>
      </c>
      <c r="H443" t="s">
        <v>47</v>
      </c>
      <c r="I443" t="s">
        <v>77</v>
      </c>
      <c r="J443" s="1">
        <v>46187</v>
      </c>
      <c r="K443" s="1">
        <v>46187</v>
      </c>
      <c r="L443" s="3">
        <v>6300</v>
      </c>
      <c r="M443" s="4">
        <v>0.1</v>
      </c>
      <c r="N443" s="4">
        <v>1</v>
      </c>
      <c r="P443">
        <v>6</v>
      </c>
      <c r="Q443" t="str">
        <f>IFERROR(VLOOKUP(E443,Lookups!$A$5:$B$24,2,FALSE),"Other")</f>
        <v>Organic Search</v>
      </c>
      <c r="R443" t="str">
        <f>IFERROR(VLOOKUP(F443,Lookups!$D$5:$F$10,2,FALSE),"Unknown Product")</f>
        <v>NexaCRM Core</v>
      </c>
      <c r="S443" t="str">
        <f>IFERROR(VLOOKUP(F443,Lookups!$D$5:$F$10,3,FALSE),"Unknown")</f>
        <v>CRM</v>
      </c>
      <c r="T443" t="str">
        <f t="shared" si="66"/>
        <v>SMB</v>
      </c>
      <c r="U443" t="str">
        <f t="shared" si="67"/>
        <v>Won</v>
      </c>
      <c r="V443" s="3">
        <f t="shared" si="68"/>
        <v>5670</v>
      </c>
      <c r="W443" s="3">
        <f t="shared" si="69"/>
        <v>0</v>
      </c>
      <c r="X443" s="5">
        <f t="shared" si="70"/>
        <v>80</v>
      </c>
      <c r="Y443" s="5">
        <f>IF(U443="Open",Lookups!$B$2-B443,X443)</f>
        <v>80</v>
      </c>
      <c r="Z443" t="str">
        <f t="shared" si="71"/>
        <v>OK</v>
      </c>
      <c r="AA443" t="str">
        <f t="shared" si="72"/>
        <v>2026-03</v>
      </c>
      <c r="AB443" t="str">
        <f t="shared" si="73"/>
        <v>2026-06</v>
      </c>
      <c r="AC443" t="str">
        <f t="shared" si="74"/>
        <v>Q1-2026</v>
      </c>
      <c r="AD443" s="5">
        <f t="shared" si="75"/>
        <v>49</v>
      </c>
      <c r="AE443" t="str">
        <f t="shared" si="76"/>
        <v>Won</v>
      </c>
    </row>
    <row r="444" spans="1:31">
      <c r="A444" t="s">
        <v>546</v>
      </c>
      <c r="B444" s="1">
        <v>45798</v>
      </c>
      <c r="C444" t="s">
        <v>86</v>
      </c>
      <c r="D444" t="s">
        <v>87</v>
      </c>
      <c r="E444" t="s">
        <v>92</v>
      </c>
      <c r="F444" t="s">
        <v>52</v>
      </c>
      <c r="G444" t="s">
        <v>112</v>
      </c>
      <c r="H444" t="s">
        <v>53</v>
      </c>
      <c r="I444" t="s">
        <v>48</v>
      </c>
      <c r="J444" s="1">
        <v>45986</v>
      </c>
      <c r="K444" s="1"/>
      <c r="L444" s="3">
        <v>16900</v>
      </c>
      <c r="M444" s="4">
        <v>0.05</v>
      </c>
      <c r="N444" s="4">
        <v>0.85</v>
      </c>
      <c r="P444">
        <v>5</v>
      </c>
      <c r="Q444" t="str">
        <f>IFERROR(VLOOKUP(E444,Lookups!$A$5:$B$24,2,FALSE),"Other")</f>
        <v>Webinar</v>
      </c>
      <c r="R444" t="str">
        <f>IFERROR(VLOOKUP(F444,Lookups!$D$5:$F$10,2,FALSE),"Unknown Product")</f>
        <v>NexaCRM Core</v>
      </c>
      <c r="S444" t="str">
        <f>IFERROR(VLOOKUP(F444,Lookups!$D$5:$F$10,3,FALSE),"Unknown")</f>
        <v>CRM</v>
      </c>
      <c r="T444" t="str">
        <f t="shared" si="66"/>
        <v>SMB</v>
      </c>
      <c r="U444" t="str">
        <f t="shared" si="67"/>
        <v>Open</v>
      </c>
      <c r="V444" s="3">
        <f t="shared" si="68"/>
        <v>0</v>
      </c>
      <c r="W444" s="3">
        <f t="shared" si="69"/>
        <v>14365</v>
      </c>
      <c r="X444" s="5" t="str">
        <f t="shared" si="70"/>
        <v/>
      </c>
      <c r="Y444" s="5">
        <f>IF(U444="Open",Lookups!$B$2-B444,X444)</f>
        <v>468</v>
      </c>
      <c r="Z444" t="str">
        <f t="shared" si="71"/>
        <v>STALE</v>
      </c>
      <c r="AA444" t="str">
        <f t="shared" si="72"/>
        <v>2025-05</v>
      </c>
      <c r="AB444" t="str">
        <f t="shared" si="73"/>
        <v/>
      </c>
      <c r="AC444" t="str">
        <f t="shared" si="74"/>
        <v>Q2-2025</v>
      </c>
      <c r="AD444" s="5">
        <f t="shared" si="75"/>
        <v>56</v>
      </c>
      <c r="AE444" t="str">
        <f t="shared" si="76"/>
        <v>Commit</v>
      </c>
    </row>
    <row r="445" spans="1:31">
      <c r="A445" t="s">
        <v>547</v>
      </c>
      <c r="B445" s="1">
        <v>46130</v>
      </c>
      <c r="C445" t="s">
        <v>56</v>
      </c>
      <c r="D445" t="s">
        <v>57</v>
      </c>
      <c r="E445" t="s">
        <v>83</v>
      </c>
      <c r="F445" t="s">
        <v>52</v>
      </c>
      <c r="G445" t="s">
        <v>94</v>
      </c>
      <c r="H445" t="s">
        <v>47</v>
      </c>
      <c r="I445" t="s">
        <v>61</v>
      </c>
      <c r="J445" s="1">
        <v>46178</v>
      </c>
      <c r="K445" s="1">
        <v>46178</v>
      </c>
      <c r="L445" s="3">
        <v>4800</v>
      </c>
      <c r="M445" s="4">
        <v>0</v>
      </c>
      <c r="N445" s="4">
        <v>0</v>
      </c>
      <c r="O445" t="s">
        <v>110</v>
      </c>
      <c r="P445">
        <v>2</v>
      </c>
      <c r="Q445" t="str">
        <f>IFERROR(VLOOKUP(E445,Lookups!$A$5:$B$24,2,FALSE),"Other")</f>
        <v>Organic Search</v>
      </c>
      <c r="R445" t="str">
        <f>IFERROR(VLOOKUP(F445,Lookups!$D$5:$F$10,2,FALSE),"Unknown Product")</f>
        <v>NexaCRM Core</v>
      </c>
      <c r="S445" t="str">
        <f>IFERROR(VLOOKUP(F445,Lookups!$D$5:$F$10,3,FALSE),"Unknown")</f>
        <v>CRM</v>
      </c>
      <c r="T445" t="str">
        <f t="shared" si="66"/>
        <v>SMB</v>
      </c>
      <c r="U445" t="str">
        <f t="shared" si="67"/>
        <v>Lost</v>
      </c>
      <c r="V445" s="3">
        <f t="shared" si="68"/>
        <v>0</v>
      </c>
      <c r="W445" s="3">
        <f t="shared" si="69"/>
        <v>0</v>
      </c>
      <c r="X445" s="5">
        <f t="shared" si="70"/>
        <v>48</v>
      </c>
      <c r="Y445" s="5">
        <f>IF(U445="Open",Lookups!$B$2-B445,X445)</f>
        <v>48</v>
      </c>
      <c r="Z445" t="str">
        <f t="shared" si="71"/>
        <v>OK</v>
      </c>
      <c r="AA445" t="str">
        <f t="shared" si="72"/>
        <v>2026-04</v>
      </c>
      <c r="AB445" t="str">
        <f t="shared" si="73"/>
        <v>2026-06</v>
      </c>
      <c r="AC445" t="str">
        <f t="shared" si="74"/>
        <v>Q2-2026</v>
      </c>
      <c r="AD445" s="5">
        <f t="shared" si="75"/>
        <v>49</v>
      </c>
      <c r="AE445" t="str">
        <f t="shared" si="76"/>
        <v>Lost</v>
      </c>
    </row>
    <row r="446" spans="1:31">
      <c r="A446" t="s">
        <v>548</v>
      </c>
      <c r="B446" s="1">
        <v>46185</v>
      </c>
      <c r="C446" t="s">
        <v>56</v>
      </c>
      <c r="D446" t="s">
        <v>57</v>
      </c>
      <c r="E446" t="s">
        <v>65</v>
      </c>
      <c r="F446" t="s">
        <v>45</v>
      </c>
      <c r="G446" t="s">
        <v>99</v>
      </c>
      <c r="H446" t="s">
        <v>47</v>
      </c>
      <c r="I446" t="s">
        <v>105</v>
      </c>
      <c r="J446" s="1">
        <v>46257</v>
      </c>
      <c r="K446" s="1"/>
      <c r="L446" s="3">
        <v>13500</v>
      </c>
      <c r="M446" s="4">
        <v>0</v>
      </c>
      <c r="N446" s="4">
        <v>0.4</v>
      </c>
      <c r="P446">
        <v>3</v>
      </c>
      <c r="Q446" t="str">
        <f>IFERROR(VLOOKUP(E446,Lookups!$A$5:$B$24,2,FALSE),"Other")</f>
        <v>Paid Search</v>
      </c>
      <c r="R446" t="str">
        <f>IFERROR(VLOOKUP(F446,Lookups!$D$5:$F$10,2,FALSE),"Unknown Product")</f>
        <v>Service Cloud</v>
      </c>
      <c r="S446" t="str">
        <f>IFERROR(VLOOKUP(F446,Lookups!$D$5:$F$10,3,FALSE),"Unknown")</f>
        <v>Customer Service</v>
      </c>
      <c r="T446" t="str">
        <f t="shared" si="66"/>
        <v>SMB</v>
      </c>
      <c r="U446" t="str">
        <f t="shared" si="67"/>
        <v>Open</v>
      </c>
      <c r="V446" s="3">
        <f t="shared" si="68"/>
        <v>0</v>
      </c>
      <c r="W446" s="3">
        <f t="shared" si="69"/>
        <v>5400</v>
      </c>
      <c r="X446" s="5" t="str">
        <f t="shared" si="70"/>
        <v/>
      </c>
      <c r="Y446" s="5">
        <f>IF(U446="Open",Lookups!$B$2-B446,X446)</f>
        <v>81</v>
      </c>
      <c r="Z446" t="str">
        <f t="shared" si="71"/>
        <v>STALE</v>
      </c>
      <c r="AA446" t="str">
        <f t="shared" si="72"/>
        <v>2026-06</v>
      </c>
      <c r="AB446" t="str">
        <f t="shared" si="73"/>
        <v/>
      </c>
      <c r="AC446" t="str">
        <f t="shared" si="74"/>
        <v>Q2-2026</v>
      </c>
      <c r="AD446" s="5">
        <f t="shared" si="75"/>
        <v>43</v>
      </c>
      <c r="AE446" t="str">
        <f t="shared" si="76"/>
        <v>Pipeline</v>
      </c>
    </row>
    <row r="447" spans="1:31">
      <c r="A447" t="s">
        <v>549</v>
      </c>
      <c r="B447" s="1">
        <v>46187</v>
      </c>
      <c r="C447" t="s">
        <v>69</v>
      </c>
      <c r="D447" t="s">
        <v>57</v>
      </c>
      <c r="E447" t="s">
        <v>146</v>
      </c>
      <c r="F447" t="s">
        <v>71</v>
      </c>
      <c r="G447" t="s">
        <v>72</v>
      </c>
      <c r="H447" t="s">
        <v>47</v>
      </c>
      <c r="I447" t="s">
        <v>105</v>
      </c>
      <c r="J447" s="1">
        <v>46257</v>
      </c>
      <c r="K447" s="1"/>
      <c r="L447" s="3">
        <v>12100</v>
      </c>
      <c r="M447" s="4">
        <v>0</v>
      </c>
      <c r="N447" s="4">
        <v>0.4</v>
      </c>
      <c r="P447">
        <v>3</v>
      </c>
      <c r="Q447" t="str">
        <f>IFERROR(VLOOKUP(E447,Lookups!$A$5:$B$24,2,FALSE),"Other")</f>
        <v>LinkedIn</v>
      </c>
      <c r="R447" t="str">
        <f>IFERROR(VLOOKUP(F447,Lookups!$D$5:$F$10,2,FALSE),"Unknown Product")</f>
        <v>Marketing Automation</v>
      </c>
      <c r="S447" t="str">
        <f>IFERROR(VLOOKUP(F447,Lookups!$D$5:$F$10,3,FALSE),"Unknown")</f>
        <v>Marketing</v>
      </c>
      <c r="T447" t="str">
        <f t="shared" si="66"/>
        <v>SMB</v>
      </c>
      <c r="U447" t="str">
        <f t="shared" si="67"/>
        <v>Open</v>
      </c>
      <c r="V447" s="3">
        <f t="shared" si="68"/>
        <v>0</v>
      </c>
      <c r="W447" s="3">
        <f t="shared" si="69"/>
        <v>4840</v>
      </c>
      <c r="X447" s="5" t="str">
        <f t="shared" si="70"/>
        <v/>
      </c>
      <c r="Y447" s="5">
        <f>IF(U447="Open",Lookups!$B$2-B447,X447)</f>
        <v>79</v>
      </c>
      <c r="Z447" t="str">
        <f t="shared" si="71"/>
        <v>STALE</v>
      </c>
      <c r="AA447" t="str">
        <f t="shared" si="72"/>
        <v>2026-06</v>
      </c>
      <c r="AB447" t="str">
        <f t="shared" si="73"/>
        <v/>
      </c>
      <c r="AC447" t="str">
        <f t="shared" si="74"/>
        <v>Q2-2026</v>
      </c>
      <c r="AD447" s="5">
        <f t="shared" si="75"/>
        <v>43</v>
      </c>
      <c r="AE447" t="str">
        <f t="shared" si="76"/>
        <v>Pipeline</v>
      </c>
    </row>
    <row r="448" spans="1:31">
      <c r="A448" t="s">
        <v>550</v>
      </c>
      <c r="B448" s="1">
        <v>46115</v>
      </c>
      <c r="C448" t="s">
        <v>50</v>
      </c>
      <c r="D448" t="s">
        <v>43</v>
      </c>
      <c r="E448" t="s">
        <v>107</v>
      </c>
      <c r="F448" t="s">
        <v>67</v>
      </c>
      <c r="G448" t="s">
        <v>46</v>
      </c>
      <c r="H448" t="s">
        <v>47</v>
      </c>
      <c r="I448" t="s">
        <v>54</v>
      </c>
      <c r="J448" s="1">
        <v>46211</v>
      </c>
      <c r="K448" s="1"/>
      <c r="L448" s="3">
        <v>24700</v>
      </c>
      <c r="M448" s="4">
        <v>0.03</v>
      </c>
      <c r="N448" s="4">
        <v>0.65</v>
      </c>
      <c r="P448">
        <v>4</v>
      </c>
      <c r="Q448" t="str">
        <f>IFERROR(VLOOKUP(E448,Lookups!$A$5:$B$24,2,FALSE),"Other")</f>
        <v>Referral</v>
      </c>
      <c r="R448" t="str">
        <f>IFERROR(VLOOKUP(F448,Lookups!$D$5:$F$10,2,FALSE),"Unknown Product")</f>
        <v>Revenue Operations Suite</v>
      </c>
      <c r="S448" t="str">
        <f>IFERROR(VLOOKUP(F448,Lookups!$D$5:$F$10,3,FALSE),"Unknown")</f>
        <v>Revenue Ops</v>
      </c>
      <c r="T448" t="str">
        <f t="shared" si="66"/>
        <v>Mid-Market</v>
      </c>
      <c r="U448" t="str">
        <f t="shared" si="67"/>
        <v>Open</v>
      </c>
      <c r="V448" s="3">
        <f t="shared" si="68"/>
        <v>0</v>
      </c>
      <c r="W448" s="3">
        <f t="shared" si="69"/>
        <v>16055</v>
      </c>
      <c r="X448" s="5" t="str">
        <f t="shared" si="70"/>
        <v/>
      </c>
      <c r="Y448" s="5">
        <f>IF(U448="Open",Lookups!$B$2-B448,X448)</f>
        <v>151</v>
      </c>
      <c r="Z448" t="str">
        <f t="shared" si="71"/>
        <v>STALE</v>
      </c>
      <c r="AA448" t="str">
        <f t="shared" si="72"/>
        <v>2026-04</v>
      </c>
      <c r="AB448" t="str">
        <f t="shared" si="73"/>
        <v/>
      </c>
      <c r="AC448" t="str">
        <f t="shared" si="74"/>
        <v>Q2-2026</v>
      </c>
      <c r="AD448" s="5">
        <f t="shared" si="75"/>
        <v>62</v>
      </c>
      <c r="AE448" t="str">
        <f t="shared" si="76"/>
        <v>Best Case</v>
      </c>
    </row>
    <row r="449" spans="1:31">
      <c r="A449" t="s">
        <v>551</v>
      </c>
      <c r="B449" s="1">
        <v>46049</v>
      </c>
      <c r="C449" t="s">
        <v>50</v>
      </c>
      <c r="D449" t="s">
        <v>43</v>
      </c>
      <c r="E449" t="s">
        <v>123</v>
      </c>
      <c r="F449" t="s">
        <v>67</v>
      </c>
      <c r="G449" t="s">
        <v>112</v>
      </c>
      <c r="H449" t="s">
        <v>84</v>
      </c>
      <c r="I449" t="s">
        <v>61</v>
      </c>
      <c r="J449" s="1">
        <v>46083</v>
      </c>
      <c r="K449" s="1">
        <v>46083</v>
      </c>
      <c r="L449" s="3">
        <v>77400</v>
      </c>
      <c r="M449" s="4">
        <v>0</v>
      </c>
      <c r="N449" s="4">
        <v>0</v>
      </c>
      <c r="O449" t="s">
        <v>110</v>
      </c>
      <c r="P449">
        <v>3</v>
      </c>
      <c r="Q449" t="str">
        <f>IFERROR(VLOOKUP(E449,Lookups!$A$5:$B$24,2,FALSE),"Other")</f>
        <v>Email</v>
      </c>
      <c r="R449" t="str">
        <f>IFERROR(VLOOKUP(F449,Lookups!$D$5:$F$10,2,FALSE),"Unknown Product")</f>
        <v>Revenue Operations Suite</v>
      </c>
      <c r="S449" t="str">
        <f>IFERROR(VLOOKUP(F449,Lookups!$D$5:$F$10,3,FALSE),"Unknown")</f>
        <v>Revenue Ops</v>
      </c>
      <c r="T449" t="str">
        <f t="shared" si="66"/>
        <v>Enterprise</v>
      </c>
      <c r="U449" t="str">
        <f t="shared" si="67"/>
        <v>Lost</v>
      </c>
      <c r="V449" s="3">
        <f t="shared" si="68"/>
        <v>0</v>
      </c>
      <c r="W449" s="3">
        <f t="shared" si="69"/>
        <v>0</v>
      </c>
      <c r="X449" s="5">
        <f t="shared" si="70"/>
        <v>34</v>
      </c>
      <c r="Y449" s="5">
        <f>IF(U449="Open",Lookups!$B$2-B449,X449)</f>
        <v>34</v>
      </c>
      <c r="Z449" t="str">
        <f t="shared" si="71"/>
        <v>OK</v>
      </c>
      <c r="AA449" t="str">
        <f t="shared" si="72"/>
        <v>2026-01</v>
      </c>
      <c r="AB449" t="str">
        <f t="shared" si="73"/>
        <v>2026-03</v>
      </c>
      <c r="AC449" t="str">
        <f t="shared" si="74"/>
        <v>Q1-2026</v>
      </c>
      <c r="AD449" s="5">
        <f t="shared" si="75"/>
        <v>83</v>
      </c>
      <c r="AE449" t="str">
        <f t="shared" si="76"/>
        <v>Lost</v>
      </c>
    </row>
    <row r="450" spans="1:31">
      <c r="A450" t="s">
        <v>552</v>
      </c>
      <c r="B450" s="1">
        <v>46214</v>
      </c>
      <c r="C450" t="s">
        <v>90</v>
      </c>
      <c r="D450" t="s">
        <v>57</v>
      </c>
      <c r="E450" t="s">
        <v>51</v>
      </c>
      <c r="F450" t="s">
        <v>67</v>
      </c>
      <c r="G450" t="s">
        <v>46</v>
      </c>
      <c r="H450" t="s">
        <v>53</v>
      </c>
      <c r="I450" t="s">
        <v>73</v>
      </c>
      <c r="J450" s="1">
        <v>46240</v>
      </c>
      <c r="K450" s="1"/>
      <c r="L450" s="3">
        <v>83200</v>
      </c>
      <c r="M450" s="4">
        <v>0</v>
      </c>
      <c r="N450" s="4">
        <v>0.2</v>
      </c>
      <c r="P450">
        <v>2</v>
      </c>
      <c r="Q450" t="str">
        <f>IFERROR(VLOOKUP(E450,Lookups!$A$5:$B$24,2,FALSE),"Other")</f>
        <v>Paid Search</v>
      </c>
      <c r="R450" t="str">
        <f>IFERROR(VLOOKUP(F450,Lookups!$D$5:$F$10,2,FALSE),"Unknown Product")</f>
        <v>Revenue Operations Suite</v>
      </c>
      <c r="S450" t="str">
        <f>IFERROR(VLOOKUP(F450,Lookups!$D$5:$F$10,3,FALSE),"Unknown")</f>
        <v>Revenue Ops</v>
      </c>
      <c r="T450" t="str">
        <f t="shared" ref="T450:T513" si="77">IF(L450&gt;=50000,"Enterprise",IF(L450&gt;=20000,"Mid-Market","SMB"))</f>
        <v>Enterprise</v>
      </c>
      <c r="U450" t="str">
        <f t="shared" ref="U450:U513" si="78">IF(I450="Closed Won","Won",IF(I450="Closed Lost","Lost","Open"))</f>
        <v>Open</v>
      </c>
      <c r="V450" s="3">
        <f t="shared" ref="V450:V513" si="79">IF(U450="Won",L450*(1-M450),0)</f>
        <v>0</v>
      </c>
      <c r="W450" s="3">
        <f t="shared" ref="W450:W513" si="80">IF(U450="Open",L450*N450,0)</f>
        <v>16640</v>
      </c>
      <c r="X450" s="5" t="str">
        <f t="shared" ref="X450:X513" si="81">IF(U450="Open","",IFERROR(K450-B450,""))</f>
        <v/>
      </c>
      <c r="Y450" s="5">
        <f>IF(U450="Open",Lookups!$B$2-B450,X450)</f>
        <v>52</v>
      </c>
      <c r="Z450" t="str">
        <f t="shared" ref="Z450:Z513" si="82">IF(AND(U450="Open",Y450&gt;30),"STALE","OK")</f>
        <v>STALE</v>
      </c>
      <c r="AA450" t="str">
        <f t="shared" ref="AA450:AA513" si="83">TEXT(B450,"yyyy-mm")</f>
        <v>2026-07</v>
      </c>
      <c r="AB450" t="str">
        <f t="shared" ref="AB450:AB513" si="84">IF(K450="","",TEXT(K450,"yyyy-mm"))</f>
        <v/>
      </c>
      <c r="AC450" t="str">
        <f t="shared" ref="AC450:AC513" si="85">"Q"&amp;ROUNDUP(MONTH(B450)/3,0)&amp;"-"&amp;YEAR(B450)</f>
        <v>Q3-2026</v>
      </c>
      <c r="AD450" s="5">
        <f t="shared" ref="AD450:AD513" si="86">MIN(100,IF(H450="Enterprise",30,IF(H450="Mid-Market",22,14))+IF(T450="Enterprise",25,IF(T450="Mid-Market",18,10))+IF(Q450="Referral",25,IF(Q450="Organic Search",20,IF(Q450="Email",18,14)))+IF(G450="Technology",10,5))</f>
        <v>66</v>
      </c>
      <c r="AE450" t="str">
        <f t="shared" ref="AE450:AE513" si="87">IF(U450&lt;&gt;"Open",U450,IF(N450&gt;=0.8,"Commit",IF(N450&gt;=0.5,"Best Case","Pipeline")))</f>
        <v>Pipeline</v>
      </c>
    </row>
    <row r="451" spans="1:31">
      <c r="A451" t="s">
        <v>553</v>
      </c>
      <c r="B451" s="1">
        <v>46201</v>
      </c>
      <c r="C451" t="s">
        <v>64</v>
      </c>
      <c r="D451" t="s">
        <v>57</v>
      </c>
      <c r="E451" t="s">
        <v>146</v>
      </c>
      <c r="F451" t="s">
        <v>59</v>
      </c>
      <c r="G451" t="s">
        <v>99</v>
      </c>
      <c r="H451" t="s">
        <v>53</v>
      </c>
      <c r="I451" t="s">
        <v>73</v>
      </c>
      <c r="J451" s="1">
        <v>46226</v>
      </c>
      <c r="K451" s="1"/>
      <c r="L451" s="3">
        <v>27200</v>
      </c>
      <c r="M451" s="4">
        <v>0</v>
      </c>
      <c r="N451" s="4">
        <v>0.2</v>
      </c>
      <c r="P451">
        <v>2</v>
      </c>
      <c r="Q451" t="str">
        <f>IFERROR(VLOOKUP(E451,Lookups!$A$5:$B$24,2,FALSE),"Other")</f>
        <v>LinkedIn</v>
      </c>
      <c r="R451" t="str">
        <f>IFERROR(VLOOKUP(F451,Lookups!$D$5:$F$10,2,FALSE),"Unknown Product")</f>
        <v>NexaCRM Pro</v>
      </c>
      <c r="S451" t="str">
        <f>IFERROR(VLOOKUP(F451,Lookups!$D$5:$F$10,3,FALSE),"Unknown")</f>
        <v>CRM</v>
      </c>
      <c r="T451" t="str">
        <f t="shared" si="77"/>
        <v>Mid-Market</v>
      </c>
      <c r="U451" t="str">
        <f t="shared" si="78"/>
        <v>Open</v>
      </c>
      <c r="V451" s="3">
        <f t="shared" si="79"/>
        <v>0</v>
      </c>
      <c r="W451" s="3">
        <f t="shared" si="80"/>
        <v>5440</v>
      </c>
      <c r="X451" s="5" t="str">
        <f t="shared" si="81"/>
        <v/>
      </c>
      <c r="Y451" s="5">
        <f>IF(U451="Open",Lookups!$B$2-B451,X451)</f>
        <v>65</v>
      </c>
      <c r="Z451" t="str">
        <f t="shared" si="82"/>
        <v>STALE</v>
      </c>
      <c r="AA451" t="str">
        <f t="shared" si="83"/>
        <v>2026-06</v>
      </c>
      <c r="AB451" t="str">
        <f t="shared" si="84"/>
        <v/>
      </c>
      <c r="AC451" t="str">
        <f t="shared" si="85"/>
        <v>Q2-2026</v>
      </c>
      <c r="AD451" s="5">
        <f t="shared" si="86"/>
        <v>59</v>
      </c>
      <c r="AE451" t="str">
        <f t="shared" si="87"/>
        <v>Pipeline</v>
      </c>
    </row>
    <row r="452" spans="1:31">
      <c r="A452" t="s">
        <v>554</v>
      </c>
      <c r="B452" s="1">
        <v>45692</v>
      </c>
      <c r="C452" t="s">
        <v>90</v>
      </c>
      <c r="D452" t="s">
        <v>57</v>
      </c>
      <c r="E452" t="s">
        <v>58</v>
      </c>
      <c r="F452" t="s">
        <v>71</v>
      </c>
      <c r="G452" t="s">
        <v>94</v>
      </c>
      <c r="H452" t="s">
        <v>47</v>
      </c>
      <c r="I452" t="s">
        <v>61</v>
      </c>
      <c r="J452" s="1">
        <v>45716</v>
      </c>
      <c r="K452" s="1">
        <v>45716</v>
      </c>
      <c r="L452" s="3">
        <v>19400</v>
      </c>
      <c r="M452" s="4">
        <v>0</v>
      </c>
      <c r="N452" s="4">
        <v>0</v>
      </c>
      <c r="O452" t="s">
        <v>116</v>
      </c>
      <c r="P452">
        <v>3</v>
      </c>
      <c r="Q452" t="str">
        <f>IFERROR(VLOOKUP(E452,Lookups!$A$5:$B$24,2,FALSE),"Other")</f>
        <v>Email</v>
      </c>
      <c r="R452" t="str">
        <f>IFERROR(VLOOKUP(F452,Lookups!$D$5:$F$10,2,FALSE),"Unknown Product")</f>
        <v>Marketing Automation</v>
      </c>
      <c r="S452" t="str">
        <f>IFERROR(VLOOKUP(F452,Lookups!$D$5:$F$10,3,FALSE),"Unknown")</f>
        <v>Marketing</v>
      </c>
      <c r="T452" t="str">
        <f t="shared" si="77"/>
        <v>SMB</v>
      </c>
      <c r="U452" t="str">
        <f t="shared" si="78"/>
        <v>Lost</v>
      </c>
      <c r="V452" s="3">
        <f t="shared" si="79"/>
        <v>0</v>
      </c>
      <c r="W452" s="3">
        <f t="shared" si="80"/>
        <v>0</v>
      </c>
      <c r="X452" s="5">
        <f t="shared" si="81"/>
        <v>24</v>
      </c>
      <c r="Y452" s="5">
        <f>IF(U452="Open",Lookups!$B$2-B452,X452)</f>
        <v>24</v>
      </c>
      <c r="Z452" t="str">
        <f t="shared" si="82"/>
        <v>OK</v>
      </c>
      <c r="AA452" t="str">
        <f t="shared" si="83"/>
        <v>2025-02</v>
      </c>
      <c r="AB452" t="str">
        <f t="shared" si="84"/>
        <v>2025-02</v>
      </c>
      <c r="AC452" t="str">
        <f t="shared" si="85"/>
        <v>Q1-2025</v>
      </c>
      <c r="AD452" s="5">
        <f t="shared" si="86"/>
        <v>47</v>
      </c>
      <c r="AE452" t="str">
        <f t="shared" si="87"/>
        <v>Lost</v>
      </c>
    </row>
    <row r="453" spans="1:31">
      <c r="A453" t="s">
        <v>555</v>
      </c>
      <c r="B453" s="1">
        <v>45714</v>
      </c>
      <c r="C453" t="s">
        <v>42</v>
      </c>
      <c r="D453" t="s">
        <v>43</v>
      </c>
      <c r="E453" t="s">
        <v>104</v>
      </c>
      <c r="F453" t="s">
        <v>133</v>
      </c>
      <c r="G453" t="s">
        <v>60</v>
      </c>
      <c r="H453" t="s">
        <v>84</v>
      </c>
      <c r="I453" t="s">
        <v>61</v>
      </c>
      <c r="J453" s="1">
        <v>45722</v>
      </c>
      <c r="K453" s="1">
        <v>45722</v>
      </c>
      <c r="L453" s="3">
        <v>82900</v>
      </c>
      <c r="M453" s="4">
        <v>0</v>
      </c>
      <c r="N453" s="4">
        <v>0</v>
      </c>
      <c r="O453" t="s">
        <v>81</v>
      </c>
      <c r="P453">
        <v>4</v>
      </c>
      <c r="Q453" t="str">
        <f>IFERROR(VLOOKUP(E453,Lookups!$A$5:$B$24,2,FALSE),"Other")</f>
        <v>Other</v>
      </c>
      <c r="R453" t="str">
        <f>IFERROR(VLOOKUP(F453,Lookups!$D$5:$F$10,2,FALSE),"Unknown Product")</f>
        <v>Analytics Plus</v>
      </c>
      <c r="S453" t="str">
        <f>IFERROR(VLOOKUP(F453,Lookups!$D$5:$F$10,3,FALSE),"Unknown")</f>
        <v>Analytics</v>
      </c>
      <c r="T453" t="str">
        <f t="shared" si="77"/>
        <v>Enterprise</v>
      </c>
      <c r="U453" t="str">
        <f t="shared" si="78"/>
        <v>Lost</v>
      </c>
      <c r="V453" s="3">
        <f t="shared" si="79"/>
        <v>0</v>
      </c>
      <c r="W453" s="3">
        <f t="shared" si="80"/>
        <v>0</v>
      </c>
      <c r="X453" s="5">
        <f t="shared" si="81"/>
        <v>8</v>
      </c>
      <c r="Y453" s="5">
        <f>IF(U453="Open",Lookups!$B$2-B453,X453)</f>
        <v>8</v>
      </c>
      <c r="Z453" t="str">
        <f t="shared" si="82"/>
        <v>OK</v>
      </c>
      <c r="AA453" t="str">
        <f t="shared" si="83"/>
        <v>2025-02</v>
      </c>
      <c r="AB453" t="str">
        <f t="shared" si="84"/>
        <v>2025-03</v>
      </c>
      <c r="AC453" t="str">
        <f t="shared" si="85"/>
        <v>Q1-2025</v>
      </c>
      <c r="AD453" s="5">
        <f t="shared" si="86"/>
        <v>74</v>
      </c>
      <c r="AE453" t="str">
        <f t="shared" si="87"/>
        <v>Lost</v>
      </c>
    </row>
    <row r="454" spans="1:31">
      <c r="A454" t="s">
        <v>556</v>
      </c>
      <c r="B454" s="1">
        <v>46149</v>
      </c>
      <c r="C454" t="s">
        <v>86</v>
      </c>
      <c r="D454" t="s">
        <v>87</v>
      </c>
      <c r="E454" t="s">
        <v>58</v>
      </c>
      <c r="F454" t="s">
        <v>71</v>
      </c>
      <c r="G454" t="s">
        <v>72</v>
      </c>
      <c r="H454" t="s">
        <v>84</v>
      </c>
      <c r="I454" t="s">
        <v>77</v>
      </c>
      <c r="J454" s="1">
        <v>46210</v>
      </c>
      <c r="K454" s="1">
        <v>46210</v>
      </c>
      <c r="L454" s="3">
        <v>69200</v>
      </c>
      <c r="M454" s="4">
        <v>0.03</v>
      </c>
      <c r="N454" s="4">
        <v>1</v>
      </c>
      <c r="P454">
        <v>6</v>
      </c>
      <c r="Q454" t="str">
        <f>IFERROR(VLOOKUP(E454,Lookups!$A$5:$B$24,2,FALSE),"Other")</f>
        <v>Email</v>
      </c>
      <c r="R454" t="str">
        <f>IFERROR(VLOOKUP(F454,Lookups!$D$5:$F$10,2,FALSE),"Unknown Product")</f>
        <v>Marketing Automation</v>
      </c>
      <c r="S454" t="str">
        <f>IFERROR(VLOOKUP(F454,Lookups!$D$5:$F$10,3,FALSE),"Unknown")</f>
        <v>Marketing</v>
      </c>
      <c r="T454" t="str">
        <f t="shared" si="77"/>
        <v>Enterprise</v>
      </c>
      <c r="U454" t="str">
        <f t="shared" si="78"/>
        <v>Won</v>
      </c>
      <c r="V454" s="3">
        <f t="shared" si="79"/>
        <v>67124</v>
      </c>
      <c r="W454" s="3">
        <f t="shared" si="80"/>
        <v>0</v>
      </c>
      <c r="X454" s="5">
        <f t="shared" si="81"/>
        <v>61</v>
      </c>
      <c r="Y454" s="5">
        <f>IF(U454="Open",Lookups!$B$2-B454,X454)</f>
        <v>61</v>
      </c>
      <c r="Z454" t="str">
        <f t="shared" si="82"/>
        <v>OK</v>
      </c>
      <c r="AA454" t="str">
        <f t="shared" si="83"/>
        <v>2026-05</v>
      </c>
      <c r="AB454" t="str">
        <f t="shared" si="84"/>
        <v>2026-07</v>
      </c>
      <c r="AC454" t="str">
        <f t="shared" si="85"/>
        <v>Q2-2026</v>
      </c>
      <c r="AD454" s="5">
        <f t="shared" si="86"/>
        <v>78</v>
      </c>
      <c r="AE454" t="str">
        <f t="shared" si="87"/>
        <v>Won</v>
      </c>
    </row>
    <row r="455" spans="1:31">
      <c r="A455" t="s">
        <v>557</v>
      </c>
      <c r="B455" s="1">
        <v>46133</v>
      </c>
      <c r="C455" t="s">
        <v>90</v>
      </c>
      <c r="D455" t="s">
        <v>57</v>
      </c>
      <c r="E455" t="s">
        <v>44</v>
      </c>
      <c r="F455" t="s">
        <v>59</v>
      </c>
      <c r="G455" t="s">
        <v>94</v>
      </c>
      <c r="H455" t="s">
        <v>47</v>
      </c>
      <c r="I455" t="s">
        <v>61</v>
      </c>
      <c r="J455" s="1">
        <v>46173</v>
      </c>
      <c r="K455" s="1">
        <v>46173</v>
      </c>
      <c r="L455" s="3">
        <v>12500</v>
      </c>
      <c r="M455" s="4">
        <v>0</v>
      </c>
      <c r="N455" s="4">
        <v>0</v>
      </c>
      <c r="O455" t="s">
        <v>62</v>
      </c>
      <c r="P455">
        <v>2</v>
      </c>
      <c r="Q455" t="str">
        <f>IFERROR(VLOOKUP(E455,Lookups!$A$5:$B$24,2,FALSE),"Other")</f>
        <v>Organic Search</v>
      </c>
      <c r="R455" t="str">
        <f>IFERROR(VLOOKUP(F455,Lookups!$D$5:$F$10,2,FALSE),"Unknown Product")</f>
        <v>NexaCRM Pro</v>
      </c>
      <c r="S455" t="str">
        <f>IFERROR(VLOOKUP(F455,Lookups!$D$5:$F$10,3,FALSE),"Unknown")</f>
        <v>CRM</v>
      </c>
      <c r="T455" t="str">
        <f t="shared" si="77"/>
        <v>SMB</v>
      </c>
      <c r="U455" t="str">
        <f t="shared" si="78"/>
        <v>Lost</v>
      </c>
      <c r="V455" s="3">
        <f t="shared" si="79"/>
        <v>0</v>
      </c>
      <c r="W455" s="3">
        <f t="shared" si="80"/>
        <v>0</v>
      </c>
      <c r="X455" s="5">
        <f t="shared" si="81"/>
        <v>40</v>
      </c>
      <c r="Y455" s="5">
        <f>IF(U455="Open",Lookups!$B$2-B455,X455)</f>
        <v>40</v>
      </c>
      <c r="Z455" t="str">
        <f t="shared" si="82"/>
        <v>OK</v>
      </c>
      <c r="AA455" t="str">
        <f t="shared" si="83"/>
        <v>2026-04</v>
      </c>
      <c r="AB455" t="str">
        <f t="shared" si="84"/>
        <v>2026-05</v>
      </c>
      <c r="AC455" t="str">
        <f t="shared" si="85"/>
        <v>Q2-2026</v>
      </c>
      <c r="AD455" s="5">
        <f t="shared" si="86"/>
        <v>49</v>
      </c>
      <c r="AE455" t="str">
        <f t="shared" si="87"/>
        <v>Lost</v>
      </c>
    </row>
    <row r="456" spans="1:31">
      <c r="A456" t="s">
        <v>558</v>
      </c>
      <c r="B456" s="1">
        <v>45902</v>
      </c>
      <c r="C456" t="s">
        <v>64</v>
      </c>
      <c r="D456" t="s">
        <v>57</v>
      </c>
      <c r="E456" t="s">
        <v>51</v>
      </c>
      <c r="F456" t="s">
        <v>52</v>
      </c>
      <c r="G456" t="s">
        <v>112</v>
      </c>
      <c r="H456" t="s">
        <v>47</v>
      </c>
      <c r="I456" t="s">
        <v>77</v>
      </c>
      <c r="J456" s="1">
        <v>45985</v>
      </c>
      <c r="K456" s="1">
        <v>45985</v>
      </c>
      <c r="L456" s="3">
        <v>5300</v>
      </c>
      <c r="M456" s="4">
        <v>0</v>
      </c>
      <c r="N456" s="4">
        <v>1</v>
      </c>
      <c r="P456">
        <v>6</v>
      </c>
      <c r="Q456" t="str">
        <f>IFERROR(VLOOKUP(E456,Lookups!$A$5:$B$24,2,FALSE),"Other")</f>
        <v>Paid Search</v>
      </c>
      <c r="R456" t="str">
        <f>IFERROR(VLOOKUP(F456,Lookups!$D$5:$F$10,2,FALSE),"Unknown Product")</f>
        <v>NexaCRM Core</v>
      </c>
      <c r="S456" t="str">
        <f>IFERROR(VLOOKUP(F456,Lookups!$D$5:$F$10,3,FALSE),"Unknown")</f>
        <v>CRM</v>
      </c>
      <c r="T456" t="str">
        <f t="shared" si="77"/>
        <v>SMB</v>
      </c>
      <c r="U456" t="str">
        <f t="shared" si="78"/>
        <v>Won</v>
      </c>
      <c r="V456" s="3">
        <f t="shared" si="79"/>
        <v>5300</v>
      </c>
      <c r="W456" s="3">
        <f t="shared" si="80"/>
        <v>0</v>
      </c>
      <c r="X456" s="5">
        <f t="shared" si="81"/>
        <v>83</v>
      </c>
      <c r="Y456" s="5">
        <f>IF(U456="Open",Lookups!$B$2-B456,X456)</f>
        <v>83</v>
      </c>
      <c r="Z456" t="str">
        <f t="shared" si="82"/>
        <v>OK</v>
      </c>
      <c r="AA456" t="str">
        <f t="shared" si="83"/>
        <v>2025-09</v>
      </c>
      <c r="AB456" t="str">
        <f t="shared" si="84"/>
        <v>2025-11</v>
      </c>
      <c r="AC456" t="str">
        <f t="shared" si="85"/>
        <v>Q3-2025</v>
      </c>
      <c r="AD456" s="5">
        <f t="shared" si="86"/>
        <v>48</v>
      </c>
      <c r="AE456" t="str">
        <f t="shared" si="87"/>
        <v>Won</v>
      </c>
    </row>
    <row r="457" spans="1:31">
      <c r="A457" t="s">
        <v>559</v>
      </c>
      <c r="B457" s="1">
        <v>46153</v>
      </c>
      <c r="C457" t="s">
        <v>64</v>
      </c>
      <c r="D457" t="s">
        <v>57</v>
      </c>
      <c r="E457" t="s">
        <v>123</v>
      </c>
      <c r="F457" t="s">
        <v>133</v>
      </c>
      <c r="G457" t="s">
        <v>112</v>
      </c>
      <c r="H457" t="s">
        <v>47</v>
      </c>
      <c r="I457" t="s">
        <v>54</v>
      </c>
      <c r="J457" s="1">
        <v>46198</v>
      </c>
      <c r="K457" s="1"/>
      <c r="L457" s="3">
        <v>15300</v>
      </c>
      <c r="M457" s="4">
        <v>0.05</v>
      </c>
      <c r="N457" s="4">
        <v>0.65</v>
      </c>
      <c r="P457">
        <v>4</v>
      </c>
      <c r="Q457" t="str">
        <f>IFERROR(VLOOKUP(E457,Lookups!$A$5:$B$24,2,FALSE),"Other")</f>
        <v>Email</v>
      </c>
      <c r="R457" t="str">
        <f>IFERROR(VLOOKUP(F457,Lookups!$D$5:$F$10,2,FALSE),"Unknown Product")</f>
        <v>Analytics Plus</v>
      </c>
      <c r="S457" t="str">
        <f>IFERROR(VLOOKUP(F457,Lookups!$D$5:$F$10,3,FALSE),"Unknown")</f>
        <v>Analytics</v>
      </c>
      <c r="T457" t="str">
        <f t="shared" si="77"/>
        <v>SMB</v>
      </c>
      <c r="U457" t="str">
        <f t="shared" si="78"/>
        <v>Open</v>
      </c>
      <c r="V457" s="3">
        <f t="shared" si="79"/>
        <v>0</v>
      </c>
      <c r="W457" s="3">
        <f t="shared" si="80"/>
        <v>9945</v>
      </c>
      <c r="X457" s="5" t="str">
        <f t="shared" si="81"/>
        <v/>
      </c>
      <c r="Y457" s="5">
        <f>IF(U457="Open",Lookups!$B$2-B457,X457)</f>
        <v>113</v>
      </c>
      <c r="Z457" t="str">
        <f t="shared" si="82"/>
        <v>STALE</v>
      </c>
      <c r="AA457" t="str">
        <f t="shared" si="83"/>
        <v>2026-05</v>
      </c>
      <c r="AB457" t="str">
        <f t="shared" si="84"/>
        <v/>
      </c>
      <c r="AC457" t="str">
        <f t="shared" si="85"/>
        <v>Q2-2026</v>
      </c>
      <c r="AD457" s="5">
        <f t="shared" si="86"/>
        <v>52</v>
      </c>
      <c r="AE457" t="str">
        <f t="shared" si="87"/>
        <v>Best Case</v>
      </c>
    </row>
    <row r="458" spans="1:31">
      <c r="A458" t="s">
        <v>560</v>
      </c>
      <c r="B458" s="1">
        <v>46237</v>
      </c>
      <c r="C458" t="s">
        <v>64</v>
      </c>
      <c r="D458" t="s">
        <v>57</v>
      </c>
      <c r="E458" t="s">
        <v>44</v>
      </c>
      <c r="F458" t="s">
        <v>71</v>
      </c>
      <c r="G458" t="s">
        <v>46</v>
      </c>
      <c r="H458" t="s">
        <v>47</v>
      </c>
      <c r="I458" t="s">
        <v>61</v>
      </c>
      <c r="J458" s="1">
        <v>46266</v>
      </c>
      <c r="K458" s="1">
        <v>46266</v>
      </c>
      <c r="L458" s="3">
        <v>12500</v>
      </c>
      <c r="M458" s="4">
        <v>0</v>
      </c>
      <c r="N458" s="4">
        <v>0</v>
      </c>
      <c r="O458" t="s">
        <v>79</v>
      </c>
      <c r="P458">
        <v>3</v>
      </c>
      <c r="Q458" t="str">
        <f>IFERROR(VLOOKUP(E458,Lookups!$A$5:$B$24,2,FALSE),"Other")</f>
        <v>Organic Search</v>
      </c>
      <c r="R458" t="str">
        <f>IFERROR(VLOOKUP(F458,Lookups!$D$5:$F$10,2,FALSE),"Unknown Product")</f>
        <v>Marketing Automation</v>
      </c>
      <c r="S458" t="str">
        <f>IFERROR(VLOOKUP(F458,Lookups!$D$5:$F$10,3,FALSE),"Unknown")</f>
        <v>Marketing</v>
      </c>
      <c r="T458" t="str">
        <f t="shared" si="77"/>
        <v>SMB</v>
      </c>
      <c r="U458" t="str">
        <f t="shared" si="78"/>
        <v>Lost</v>
      </c>
      <c r="V458" s="3">
        <f t="shared" si="79"/>
        <v>0</v>
      </c>
      <c r="W458" s="3">
        <f t="shared" si="80"/>
        <v>0</v>
      </c>
      <c r="X458" s="5">
        <f t="shared" si="81"/>
        <v>29</v>
      </c>
      <c r="Y458" s="5">
        <f>IF(U458="Open",Lookups!$B$2-B458,X458)</f>
        <v>29</v>
      </c>
      <c r="Z458" t="str">
        <f t="shared" si="82"/>
        <v>OK</v>
      </c>
      <c r="AA458" t="str">
        <f t="shared" si="83"/>
        <v>2026-08</v>
      </c>
      <c r="AB458" t="str">
        <f t="shared" si="84"/>
        <v>2026-09</v>
      </c>
      <c r="AC458" t="str">
        <f t="shared" si="85"/>
        <v>Q3-2026</v>
      </c>
      <c r="AD458" s="5">
        <f t="shared" si="86"/>
        <v>49</v>
      </c>
      <c r="AE458" t="str">
        <f t="shared" si="87"/>
        <v>Lost</v>
      </c>
    </row>
    <row r="459" spans="1:31">
      <c r="A459" t="s">
        <v>561</v>
      </c>
      <c r="B459" s="1">
        <v>46219</v>
      </c>
      <c r="C459" t="s">
        <v>56</v>
      </c>
      <c r="D459" t="s">
        <v>57</v>
      </c>
      <c r="E459" t="s">
        <v>123</v>
      </c>
      <c r="F459" t="s">
        <v>59</v>
      </c>
      <c r="G459" t="s">
        <v>112</v>
      </c>
      <c r="H459" t="s">
        <v>53</v>
      </c>
      <c r="I459" t="s">
        <v>61</v>
      </c>
      <c r="J459" s="1">
        <v>46266</v>
      </c>
      <c r="K459" s="1">
        <v>46266</v>
      </c>
      <c r="L459" s="3">
        <v>42200</v>
      </c>
      <c r="M459" s="4">
        <v>0</v>
      </c>
      <c r="N459" s="4">
        <v>0</v>
      </c>
      <c r="O459" t="s">
        <v>81</v>
      </c>
      <c r="P459">
        <v>3</v>
      </c>
      <c r="Q459" t="str">
        <f>IFERROR(VLOOKUP(E459,Lookups!$A$5:$B$24,2,FALSE),"Other")</f>
        <v>Email</v>
      </c>
      <c r="R459" t="str">
        <f>IFERROR(VLOOKUP(F459,Lookups!$D$5:$F$10,2,FALSE),"Unknown Product")</f>
        <v>NexaCRM Pro</v>
      </c>
      <c r="S459" t="str">
        <f>IFERROR(VLOOKUP(F459,Lookups!$D$5:$F$10,3,FALSE),"Unknown")</f>
        <v>CRM</v>
      </c>
      <c r="T459" t="str">
        <f t="shared" si="77"/>
        <v>Mid-Market</v>
      </c>
      <c r="U459" t="str">
        <f t="shared" si="78"/>
        <v>Lost</v>
      </c>
      <c r="V459" s="3">
        <f t="shared" si="79"/>
        <v>0</v>
      </c>
      <c r="W459" s="3">
        <f t="shared" si="80"/>
        <v>0</v>
      </c>
      <c r="X459" s="5">
        <f t="shared" si="81"/>
        <v>47</v>
      </c>
      <c r="Y459" s="5">
        <f>IF(U459="Open",Lookups!$B$2-B459,X459)</f>
        <v>47</v>
      </c>
      <c r="Z459" t="str">
        <f t="shared" si="82"/>
        <v>OK</v>
      </c>
      <c r="AA459" t="str">
        <f t="shared" si="83"/>
        <v>2026-07</v>
      </c>
      <c r="AB459" t="str">
        <f t="shared" si="84"/>
        <v>2026-09</v>
      </c>
      <c r="AC459" t="str">
        <f t="shared" si="85"/>
        <v>Q3-2026</v>
      </c>
      <c r="AD459" s="5">
        <f t="shared" si="86"/>
        <v>68</v>
      </c>
      <c r="AE459" t="str">
        <f t="shared" si="87"/>
        <v>Lost</v>
      </c>
    </row>
    <row r="460" spans="1:31">
      <c r="A460" t="s">
        <v>562</v>
      </c>
      <c r="B460" s="1">
        <v>45855</v>
      </c>
      <c r="C460" t="s">
        <v>50</v>
      </c>
      <c r="D460" t="s">
        <v>43</v>
      </c>
      <c r="E460" t="s">
        <v>70</v>
      </c>
      <c r="F460" t="s">
        <v>59</v>
      </c>
      <c r="G460" t="s">
        <v>60</v>
      </c>
      <c r="H460" t="s">
        <v>47</v>
      </c>
      <c r="I460" t="s">
        <v>61</v>
      </c>
      <c r="J460" s="1">
        <v>45924</v>
      </c>
      <c r="K460" s="1">
        <v>45924</v>
      </c>
      <c r="L460" s="3">
        <v>25200</v>
      </c>
      <c r="M460" s="4">
        <v>0</v>
      </c>
      <c r="N460" s="4">
        <v>0</v>
      </c>
      <c r="O460" t="s">
        <v>81</v>
      </c>
      <c r="P460">
        <v>4</v>
      </c>
      <c r="Q460" t="str">
        <f>IFERROR(VLOOKUP(E460,Lookups!$A$5:$B$24,2,FALSE),"Other")</f>
        <v>LinkedIn</v>
      </c>
      <c r="R460" t="str">
        <f>IFERROR(VLOOKUP(F460,Lookups!$D$5:$F$10,2,FALSE),"Unknown Product")</f>
        <v>NexaCRM Pro</v>
      </c>
      <c r="S460" t="str">
        <f>IFERROR(VLOOKUP(F460,Lookups!$D$5:$F$10,3,FALSE),"Unknown")</f>
        <v>CRM</v>
      </c>
      <c r="T460" t="str">
        <f t="shared" si="77"/>
        <v>Mid-Market</v>
      </c>
      <c r="U460" t="str">
        <f t="shared" si="78"/>
        <v>Lost</v>
      </c>
      <c r="V460" s="3">
        <f t="shared" si="79"/>
        <v>0</v>
      </c>
      <c r="W460" s="3">
        <f t="shared" si="80"/>
        <v>0</v>
      </c>
      <c r="X460" s="5">
        <f t="shared" si="81"/>
        <v>69</v>
      </c>
      <c r="Y460" s="5">
        <f>IF(U460="Open",Lookups!$B$2-B460,X460)</f>
        <v>69</v>
      </c>
      <c r="Z460" t="str">
        <f t="shared" si="82"/>
        <v>OK</v>
      </c>
      <c r="AA460" t="str">
        <f t="shared" si="83"/>
        <v>2025-07</v>
      </c>
      <c r="AB460" t="str">
        <f t="shared" si="84"/>
        <v>2025-09</v>
      </c>
      <c r="AC460" t="str">
        <f t="shared" si="85"/>
        <v>Q3-2025</v>
      </c>
      <c r="AD460" s="5">
        <f t="shared" si="86"/>
        <v>51</v>
      </c>
      <c r="AE460" t="str">
        <f t="shared" si="87"/>
        <v>Lost</v>
      </c>
    </row>
    <row r="461" spans="1:31">
      <c r="A461" t="s">
        <v>563</v>
      </c>
      <c r="B461" s="1">
        <v>45955</v>
      </c>
      <c r="C461" t="s">
        <v>69</v>
      </c>
      <c r="D461" t="s">
        <v>57</v>
      </c>
      <c r="E461" t="s">
        <v>107</v>
      </c>
      <c r="F461" t="s">
        <v>52</v>
      </c>
      <c r="G461" t="s">
        <v>76</v>
      </c>
      <c r="H461" t="s">
        <v>47</v>
      </c>
      <c r="I461" t="s">
        <v>61</v>
      </c>
      <c r="J461" s="1">
        <v>46000</v>
      </c>
      <c r="K461" s="1">
        <v>46000</v>
      </c>
      <c r="L461" s="3">
        <v>5000</v>
      </c>
      <c r="M461" s="4">
        <v>0</v>
      </c>
      <c r="N461" s="4">
        <v>0</v>
      </c>
      <c r="O461" t="s">
        <v>102</v>
      </c>
      <c r="P461">
        <v>4</v>
      </c>
      <c r="Q461" t="str">
        <f>IFERROR(VLOOKUP(E461,Lookups!$A$5:$B$24,2,FALSE),"Other")</f>
        <v>Referral</v>
      </c>
      <c r="R461" t="str">
        <f>IFERROR(VLOOKUP(F461,Lookups!$D$5:$F$10,2,FALSE),"Unknown Product")</f>
        <v>NexaCRM Core</v>
      </c>
      <c r="S461" t="str">
        <f>IFERROR(VLOOKUP(F461,Lookups!$D$5:$F$10,3,FALSE),"Unknown")</f>
        <v>CRM</v>
      </c>
      <c r="T461" t="str">
        <f t="shared" si="77"/>
        <v>SMB</v>
      </c>
      <c r="U461" t="str">
        <f t="shared" si="78"/>
        <v>Lost</v>
      </c>
      <c r="V461" s="3">
        <f t="shared" si="79"/>
        <v>0</v>
      </c>
      <c r="W461" s="3">
        <f t="shared" si="80"/>
        <v>0</v>
      </c>
      <c r="X461" s="5">
        <f t="shared" si="81"/>
        <v>45</v>
      </c>
      <c r="Y461" s="5">
        <f>IF(U461="Open",Lookups!$B$2-B461,X461)</f>
        <v>45</v>
      </c>
      <c r="Z461" t="str">
        <f t="shared" si="82"/>
        <v>OK</v>
      </c>
      <c r="AA461" t="str">
        <f t="shared" si="83"/>
        <v>2025-10</v>
      </c>
      <c r="AB461" t="str">
        <f t="shared" si="84"/>
        <v>2025-12</v>
      </c>
      <c r="AC461" t="str">
        <f t="shared" si="85"/>
        <v>Q4-2025</v>
      </c>
      <c r="AD461" s="5">
        <f t="shared" si="86"/>
        <v>54</v>
      </c>
      <c r="AE461" t="str">
        <f t="shared" si="87"/>
        <v>Lost</v>
      </c>
    </row>
    <row r="462" spans="1:31">
      <c r="A462" t="s">
        <v>564</v>
      </c>
      <c r="B462" s="1">
        <v>45693</v>
      </c>
      <c r="C462" t="s">
        <v>148</v>
      </c>
      <c r="D462" t="s">
        <v>43</v>
      </c>
      <c r="E462" t="s">
        <v>51</v>
      </c>
      <c r="F462" t="s">
        <v>133</v>
      </c>
      <c r="G462" t="s">
        <v>112</v>
      </c>
      <c r="H462" t="s">
        <v>47</v>
      </c>
      <c r="I462" t="s">
        <v>61</v>
      </c>
      <c r="J462" s="1">
        <v>45750</v>
      </c>
      <c r="K462" s="1">
        <v>45750</v>
      </c>
      <c r="L462" s="3">
        <v>29800</v>
      </c>
      <c r="M462" s="4">
        <v>0</v>
      </c>
      <c r="N462" s="4">
        <v>0</v>
      </c>
      <c r="O462" t="s">
        <v>110</v>
      </c>
      <c r="P462">
        <v>3</v>
      </c>
      <c r="Q462" t="str">
        <f>IFERROR(VLOOKUP(E462,Lookups!$A$5:$B$24,2,FALSE),"Other")</f>
        <v>Paid Search</v>
      </c>
      <c r="R462" t="str">
        <f>IFERROR(VLOOKUP(F462,Lookups!$D$5:$F$10,2,FALSE),"Unknown Product")</f>
        <v>Analytics Plus</v>
      </c>
      <c r="S462" t="str">
        <f>IFERROR(VLOOKUP(F462,Lookups!$D$5:$F$10,3,FALSE),"Unknown")</f>
        <v>Analytics</v>
      </c>
      <c r="T462" t="str">
        <f t="shared" si="77"/>
        <v>Mid-Market</v>
      </c>
      <c r="U462" t="str">
        <f t="shared" si="78"/>
        <v>Lost</v>
      </c>
      <c r="V462" s="3">
        <f t="shared" si="79"/>
        <v>0</v>
      </c>
      <c r="W462" s="3">
        <f t="shared" si="80"/>
        <v>0</v>
      </c>
      <c r="X462" s="5">
        <f t="shared" si="81"/>
        <v>57</v>
      </c>
      <c r="Y462" s="5">
        <f>IF(U462="Open",Lookups!$B$2-B462,X462)</f>
        <v>57</v>
      </c>
      <c r="Z462" t="str">
        <f t="shared" si="82"/>
        <v>OK</v>
      </c>
      <c r="AA462" t="str">
        <f t="shared" si="83"/>
        <v>2025-02</v>
      </c>
      <c r="AB462" t="str">
        <f t="shared" si="84"/>
        <v>2025-04</v>
      </c>
      <c r="AC462" t="str">
        <f t="shared" si="85"/>
        <v>Q1-2025</v>
      </c>
      <c r="AD462" s="5">
        <f t="shared" si="86"/>
        <v>56</v>
      </c>
      <c r="AE462" t="str">
        <f t="shared" si="87"/>
        <v>Lost</v>
      </c>
    </row>
    <row r="463" spans="1:31">
      <c r="A463" t="s">
        <v>565</v>
      </c>
      <c r="B463" s="1">
        <v>46202</v>
      </c>
      <c r="C463" t="s">
        <v>86</v>
      </c>
      <c r="D463" t="s">
        <v>87</v>
      </c>
      <c r="E463" t="s">
        <v>51</v>
      </c>
      <c r="F463" t="s">
        <v>67</v>
      </c>
      <c r="G463" t="s">
        <v>94</v>
      </c>
      <c r="H463" t="s">
        <v>84</v>
      </c>
      <c r="I463" t="s">
        <v>105</v>
      </c>
      <c r="J463" s="1">
        <v>46246</v>
      </c>
      <c r="K463" s="1"/>
      <c r="L463" s="3">
        <v>141600</v>
      </c>
      <c r="M463" s="4">
        <v>0.05</v>
      </c>
      <c r="N463" s="4">
        <v>0.4</v>
      </c>
      <c r="P463">
        <v>3</v>
      </c>
      <c r="Q463" t="str">
        <f>IFERROR(VLOOKUP(E463,Lookups!$A$5:$B$24,2,FALSE),"Other")</f>
        <v>Paid Search</v>
      </c>
      <c r="R463" t="str">
        <f>IFERROR(VLOOKUP(F463,Lookups!$D$5:$F$10,2,FALSE),"Unknown Product")</f>
        <v>Revenue Operations Suite</v>
      </c>
      <c r="S463" t="str">
        <f>IFERROR(VLOOKUP(F463,Lookups!$D$5:$F$10,3,FALSE),"Unknown")</f>
        <v>Revenue Ops</v>
      </c>
      <c r="T463" t="str">
        <f t="shared" si="77"/>
        <v>Enterprise</v>
      </c>
      <c r="U463" t="str">
        <f t="shared" si="78"/>
        <v>Open</v>
      </c>
      <c r="V463" s="3">
        <f t="shared" si="79"/>
        <v>0</v>
      </c>
      <c r="W463" s="3">
        <f t="shared" si="80"/>
        <v>56640</v>
      </c>
      <c r="X463" s="5" t="str">
        <f t="shared" si="81"/>
        <v/>
      </c>
      <c r="Y463" s="5">
        <f>IF(U463="Open",Lookups!$B$2-B463,X463)</f>
        <v>64</v>
      </c>
      <c r="Z463" t="str">
        <f t="shared" si="82"/>
        <v>STALE</v>
      </c>
      <c r="AA463" t="str">
        <f t="shared" si="83"/>
        <v>2026-06</v>
      </c>
      <c r="AB463" t="str">
        <f t="shared" si="84"/>
        <v/>
      </c>
      <c r="AC463" t="str">
        <f t="shared" si="85"/>
        <v>Q2-2026</v>
      </c>
      <c r="AD463" s="5">
        <f t="shared" si="86"/>
        <v>74</v>
      </c>
      <c r="AE463" t="str">
        <f t="shared" si="87"/>
        <v>Pipeline</v>
      </c>
    </row>
    <row r="464" spans="1:31">
      <c r="A464" t="s">
        <v>566</v>
      </c>
      <c r="B464" s="1">
        <v>45947</v>
      </c>
      <c r="C464" t="s">
        <v>86</v>
      </c>
      <c r="D464" t="s">
        <v>87</v>
      </c>
      <c r="E464" t="s">
        <v>83</v>
      </c>
      <c r="F464" t="s">
        <v>45</v>
      </c>
      <c r="G464" t="s">
        <v>60</v>
      </c>
      <c r="H464" t="s">
        <v>47</v>
      </c>
      <c r="I464" t="s">
        <v>61</v>
      </c>
      <c r="J464" s="1">
        <v>45999</v>
      </c>
      <c r="K464" s="1">
        <v>45999</v>
      </c>
      <c r="L464" s="3">
        <v>14900</v>
      </c>
      <c r="M464" s="4">
        <v>0</v>
      </c>
      <c r="N464" s="4">
        <v>0</v>
      </c>
      <c r="O464" t="s">
        <v>62</v>
      </c>
      <c r="P464">
        <v>3</v>
      </c>
      <c r="Q464" t="str">
        <f>IFERROR(VLOOKUP(E464,Lookups!$A$5:$B$24,2,FALSE),"Other")</f>
        <v>Organic Search</v>
      </c>
      <c r="R464" t="str">
        <f>IFERROR(VLOOKUP(F464,Lookups!$D$5:$F$10,2,FALSE),"Unknown Product")</f>
        <v>Service Cloud</v>
      </c>
      <c r="S464" t="str">
        <f>IFERROR(VLOOKUP(F464,Lookups!$D$5:$F$10,3,FALSE),"Unknown")</f>
        <v>Customer Service</v>
      </c>
      <c r="T464" t="str">
        <f t="shared" si="77"/>
        <v>SMB</v>
      </c>
      <c r="U464" t="str">
        <f t="shared" si="78"/>
        <v>Lost</v>
      </c>
      <c r="V464" s="3">
        <f t="shared" si="79"/>
        <v>0</v>
      </c>
      <c r="W464" s="3">
        <f t="shared" si="80"/>
        <v>0</v>
      </c>
      <c r="X464" s="5">
        <f t="shared" si="81"/>
        <v>52</v>
      </c>
      <c r="Y464" s="5">
        <f>IF(U464="Open",Lookups!$B$2-B464,X464)</f>
        <v>52</v>
      </c>
      <c r="Z464" t="str">
        <f t="shared" si="82"/>
        <v>OK</v>
      </c>
      <c r="AA464" t="str">
        <f t="shared" si="83"/>
        <v>2025-10</v>
      </c>
      <c r="AB464" t="str">
        <f t="shared" si="84"/>
        <v>2025-12</v>
      </c>
      <c r="AC464" t="str">
        <f t="shared" si="85"/>
        <v>Q4-2025</v>
      </c>
      <c r="AD464" s="5">
        <f t="shared" si="86"/>
        <v>49</v>
      </c>
      <c r="AE464" t="str">
        <f t="shared" si="87"/>
        <v>Lost</v>
      </c>
    </row>
    <row r="465" spans="1:31">
      <c r="A465" t="s">
        <v>567</v>
      </c>
      <c r="B465" s="1">
        <v>45848</v>
      </c>
      <c r="C465" t="s">
        <v>56</v>
      </c>
      <c r="D465" t="s">
        <v>57</v>
      </c>
      <c r="E465" t="s">
        <v>58</v>
      </c>
      <c r="F465" t="s">
        <v>67</v>
      </c>
      <c r="G465" t="s">
        <v>99</v>
      </c>
      <c r="H465" t="s">
        <v>53</v>
      </c>
      <c r="I465" t="s">
        <v>61</v>
      </c>
      <c r="J465" s="1">
        <v>45939</v>
      </c>
      <c r="K465" s="1">
        <v>45939</v>
      </c>
      <c r="L465" s="3">
        <v>42500</v>
      </c>
      <c r="M465" s="4">
        <v>0</v>
      </c>
      <c r="N465" s="4">
        <v>0</v>
      </c>
      <c r="O465" t="s">
        <v>116</v>
      </c>
      <c r="P465">
        <v>2</v>
      </c>
      <c r="Q465" t="str">
        <f>IFERROR(VLOOKUP(E465,Lookups!$A$5:$B$24,2,FALSE),"Other")</f>
        <v>Email</v>
      </c>
      <c r="R465" t="str">
        <f>IFERROR(VLOOKUP(F465,Lookups!$D$5:$F$10,2,FALSE),"Unknown Product")</f>
        <v>Revenue Operations Suite</v>
      </c>
      <c r="S465" t="str">
        <f>IFERROR(VLOOKUP(F465,Lookups!$D$5:$F$10,3,FALSE),"Unknown")</f>
        <v>Revenue Ops</v>
      </c>
      <c r="T465" t="str">
        <f t="shared" si="77"/>
        <v>Mid-Market</v>
      </c>
      <c r="U465" t="str">
        <f t="shared" si="78"/>
        <v>Lost</v>
      </c>
      <c r="V465" s="3">
        <f t="shared" si="79"/>
        <v>0</v>
      </c>
      <c r="W465" s="3">
        <f t="shared" si="80"/>
        <v>0</v>
      </c>
      <c r="X465" s="5">
        <f t="shared" si="81"/>
        <v>91</v>
      </c>
      <c r="Y465" s="5">
        <f>IF(U465="Open",Lookups!$B$2-B465,X465)</f>
        <v>91</v>
      </c>
      <c r="Z465" t="str">
        <f t="shared" si="82"/>
        <v>OK</v>
      </c>
      <c r="AA465" t="str">
        <f t="shared" si="83"/>
        <v>2025-07</v>
      </c>
      <c r="AB465" t="str">
        <f t="shared" si="84"/>
        <v>2025-10</v>
      </c>
      <c r="AC465" t="str">
        <f t="shared" si="85"/>
        <v>Q3-2025</v>
      </c>
      <c r="AD465" s="5">
        <f t="shared" si="86"/>
        <v>63</v>
      </c>
      <c r="AE465" t="str">
        <f t="shared" si="87"/>
        <v>Lost</v>
      </c>
    </row>
    <row r="466" spans="1:31">
      <c r="A466" t="s">
        <v>568</v>
      </c>
      <c r="B466" s="1">
        <v>45702</v>
      </c>
      <c r="C466" t="s">
        <v>69</v>
      </c>
      <c r="D466" t="s">
        <v>57</v>
      </c>
      <c r="E466" t="s">
        <v>70</v>
      </c>
      <c r="F466" t="s">
        <v>71</v>
      </c>
      <c r="G466" t="s">
        <v>99</v>
      </c>
      <c r="H466" t="s">
        <v>84</v>
      </c>
      <c r="I466" t="s">
        <v>61</v>
      </c>
      <c r="J466" s="1">
        <v>45719</v>
      </c>
      <c r="K466" s="1">
        <v>45719</v>
      </c>
      <c r="L466" s="3">
        <v>56500</v>
      </c>
      <c r="M466" s="4">
        <v>0</v>
      </c>
      <c r="N466" s="4">
        <v>0</v>
      </c>
      <c r="O466" t="s">
        <v>116</v>
      </c>
      <c r="P466">
        <v>4</v>
      </c>
      <c r="Q466" t="str">
        <f>IFERROR(VLOOKUP(E466,Lookups!$A$5:$B$24,2,FALSE),"Other")</f>
        <v>LinkedIn</v>
      </c>
      <c r="R466" t="str">
        <f>IFERROR(VLOOKUP(F466,Lookups!$D$5:$F$10,2,FALSE),"Unknown Product")</f>
        <v>Marketing Automation</v>
      </c>
      <c r="S466" t="str">
        <f>IFERROR(VLOOKUP(F466,Lookups!$D$5:$F$10,3,FALSE),"Unknown")</f>
        <v>Marketing</v>
      </c>
      <c r="T466" t="str">
        <f t="shared" si="77"/>
        <v>Enterprise</v>
      </c>
      <c r="U466" t="str">
        <f t="shared" si="78"/>
        <v>Lost</v>
      </c>
      <c r="V466" s="3">
        <f t="shared" si="79"/>
        <v>0</v>
      </c>
      <c r="W466" s="3">
        <f t="shared" si="80"/>
        <v>0</v>
      </c>
      <c r="X466" s="5">
        <f t="shared" si="81"/>
        <v>17</v>
      </c>
      <c r="Y466" s="5">
        <f>IF(U466="Open",Lookups!$B$2-B466,X466)</f>
        <v>17</v>
      </c>
      <c r="Z466" t="str">
        <f t="shared" si="82"/>
        <v>OK</v>
      </c>
      <c r="AA466" t="str">
        <f t="shared" si="83"/>
        <v>2025-02</v>
      </c>
      <c r="AB466" t="str">
        <f t="shared" si="84"/>
        <v>2025-03</v>
      </c>
      <c r="AC466" t="str">
        <f t="shared" si="85"/>
        <v>Q1-2025</v>
      </c>
      <c r="AD466" s="5">
        <f t="shared" si="86"/>
        <v>74</v>
      </c>
      <c r="AE466" t="str">
        <f t="shared" si="87"/>
        <v>Lost</v>
      </c>
    </row>
    <row r="467" spans="1:31">
      <c r="A467" t="s">
        <v>569</v>
      </c>
      <c r="B467" s="1">
        <v>45872</v>
      </c>
      <c r="C467" t="s">
        <v>69</v>
      </c>
      <c r="D467" t="s">
        <v>57</v>
      </c>
      <c r="E467" t="s">
        <v>98</v>
      </c>
      <c r="F467" t="s">
        <v>59</v>
      </c>
      <c r="G467" t="s">
        <v>99</v>
      </c>
      <c r="H467" t="s">
        <v>84</v>
      </c>
      <c r="I467" t="s">
        <v>77</v>
      </c>
      <c r="J467" s="1">
        <v>45936</v>
      </c>
      <c r="K467" s="1">
        <v>45936</v>
      </c>
      <c r="L467" s="3">
        <v>66200</v>
      </c>
      <c r="M467" s="4">
        <v>0.03</v>
      </c>
      <c r="N467" s="4">
        <v>1</v>
      </c>
      <c r="P467">
        <v>6</v>
      </c>
      <c r="Q467" t="str">
        <f>IFERROR(VLOOKUP(E467,Lookups!$A$5:$B$24,2,FALSE),"Other")</f>
        <v>Outbound</v>
      </c>
      <c r="R467" t="str">
        <f>IFERROR(VLOOKUP(F467,Lookups!$D$5:$F$10,2,FALSE),"Unknown Product")</f>
        <v>NexaCRM Pro</v>
      </c>
      <c r="S467" t="str">
        <f>IFERROR(VLOOKUP(F467,Lookups!$D$5:$F$10,3,FALSE),"Unknown")</f>
        <v>CRM</v>
      </c>
      <c r="T467" t="str">
        <f t="shared" si="77"/>
        <v>Enterprise</v>
      </c>
      <c r="U467" t="str">
        <f t="shared" si="78"/>
        <v>Won</v>
      </c>
      <c r="V467" s="3">
        <f t="shared" si="79"/>
        <v>64214</v>
      </c>
      <c r="W467" s="3">
        <f t="shared" si="80"/>
        <v>0</v>
      </c>
      <c r="X467" s="5">
        <f t="shared" si="81"/>
        <v>64</v>
      </c>
      <c r="Y467" s="5">
        <f>IF(U467="Open",Lookups!$B$2-B467,X467)</f>
        <v>64</v>
      </c>
      <c r="Z467" t="str">
        <f t="shared" si="82"/>
        <v>OK</v>
      </c>
      <c r="AA467" t="str">
        <f t="shared" si="83"/>
        <v>2025-08</v>
      </c>
      <c r="AB467" t="str">
        <f t="shared" si="84"/>
        <v>2025-10</v>
      </c>
      <c r="AC467" t="str">
        <f t="shared" si="85"/>
        <v>Q3-2025</v>
      </c>
      <c r="AD467" s="5">
        <f t="shared" si="86"/>
        <v>74</v>
      </c>
      <c r="AE467" t="str">
        <f t="shared" si="87"/>
        <v>Won</v>
      </c>
    </row>
    <row r="468" spans="1:31">
      <c r="A468" t="s">
        <v>570</v>
      </c>
      <c r="B468" s="1">
        <v>45777</v>
      </c>
      <c r="C468" t="s">
        <v>90</v>
      </c>
      <c r="D468" t="s">
        <v>57</v>
      </c>
      <c r="E468" t="s">
        <v>138</v>
      </c>
      <c r="F468" t="s">
        <v>52</v>
      </c>
      <c r="G468" t="s">
        <v>94</v>
      </c>
      <c r="H468" t="s">
        <v>53</v>
      </c>
      <c r="I468" t="s">
        <v>61</v>
      </c>
      <c r="J468" s="1">
        <v>45800</v>
      </c>
      <c r="K468" s="1">
        <v>45800</v>
      </c>
      <c r="L468" s="3">
        <v>13700</v>
      </c>
      <c r="M468" s="4">
        <v>0</v>
      </c>
      <c r="N468" s="4">
        <v>0</v>
      </c>
      <c r="O468" t="s">
        <v>81</v>
      </c>
      <c r="P468">
        <v>5</v>
      </c>
      <c r="Q468" t="str">
        <f>IFERROR(VLOOKUP(E468,Lookups!$A$5:$B$24,2,FALSE),"Other")</f>
        <v>Organic Search</v>
      </c>
      <c r="R468" t="str">
        <f>IFERROR(VLOOKUP(F468,Lookups!$D$5:$F$10,2,FALSE),"Unknown Product")</f>
        <v>NexaCRM Core</v>
      </c>
      <c r="S468" t="str">
        <f>IFERROR(VLOOKUP(F468,Lookups!$D$5:$F$10,3,FALSE),"Unknown")</f>
        <v>CRM</v>
      </c>
      <c r="T468" t="str">
        <f t="shared" si="77"/>
        <v>SMB</v>
      </c>
      <c r="U468" t="str">
        <f t="shared" si="78"/>
        <v>Lost</v>
      </c>
      <c r="V468" s="3">
        <f t="shared" si="79"/>
        <v>0</v>
      </c>
      <c r="W468" s="3">
        <f t="shared" si="80"/>
        <v>0</v>
      </c>
      <c r="X468" s="5">
        <f t="shared" si="81"/>
        <v>23</v>
      </c>
      <c r="Y468" s="5">
        <f>IF(U468="Open",Lookups!$B$2-B468,X468)</f>
        <v>23</v>
      </c>
      <c r="Z468" t="str">
        <f t="shared" si="82"/>
        <v>OK</v>
      </c>
      <c r="AA468" t="str">
        <f t="shared" si="83"/>
        <v>2025-04</v>
      </c>
      <c r="AB468" t="str">
        <f t="shared" si="84"/>
        <v>2025-05</v>
      </c>
      <c r="AC468" t="str">
        <f t="shared" si="85"/>
        <v>Q2-2025</v>
      </c>
      <c r="AD468" s="5">
        <f t="shared" si="86"/>
        <v>57</v>
      </c>
      <c r="AE468" t="str">
        <f t="shared" si="87"/>
        <v>Lost</v>
      </c>
    </row>
    <row r="469" spans="1:31">
      <c r="A469" t="s">
        <v>571</v>
      </c>
      <c r="B469" s="1">
        <v>45939</v>
      </c>
      <c r="C469" t="s">
        <v>90</v>
      </c>
      <c r="D469" t="s">
        <v>57</v>
      </c>
      <c r="E469" t="s">
        <v>146</v>
      </c>
      <c r="F469" t="s">
        <v>133</v>
      </c>
      <c r="G469" t="s">
        <v>72</v>
      </c>
      <c r="H469" t="s">
        <v>53</v>
      </c>
      <c r="I469" t="s">
        <v>61</v>
      </c>
      <c r="J469" s="1">
        <v>45989</v>
      </c>
      <c r="K469" s="1">
        <v>45989</v>
      </c>
      <c r="L469" s="3">
        <v>36800</v>
      </c>
      <c r="M469" s="4">
        <v>0</v>
      </c>
      <c r="N469" s="4">
        <v>0</v>
      </c>
      <c r="O469" t="s">
        <v>81</v>
      </c>
      <c r="P469">
        <v>4</v>
      </c>
      <c r="Q469" t="str">
        <f>IFERROR(VLOOKUP(E469,Lookups!$A$5:$B$24,2,FALSE),"Other")</f>
        <v>LinkedIn</v>
      </c>
      <c r="R469" t="str">
        <f>IFERROR(VLOOKUP(F469,Lookups!$D$5:$F$10,2,FALSE),"Unknown Product")</f>
        <v>Analytics Plus</v>
      </c>
      <c r="S469" t="str">
        <f>IFERROR(VLOOKUP(F469,Lookups!$D$5:$F$10,3,FALSE),"Unknown")</f>
        <v>Analytics</v>
      </c>
      <c r="T469" t="str">
        <f t="shared" si="77"/>
        <v>Mid-Market</v>
      </c>
      <c r="U469" t="str">
        <f t="shared" si="78"/>
        <v>Lost</v>
      </c>
      <c r="V469" s="3">
        <f t="shared" si="79"/>
        <v>0</v>
      </c>
      <c r="W469" s="3">
        <f t="shared" si="80"/>
        <v>0</v>
      </c>
      <c r="X469" s="5">
        <f t="shared" si="81"/>
        <v>50</v>
      </c>
      <c r="Y469" s="5">
        <f>IF(U469="Open",Lookups!$B$2-B469,X469)</f>
        <v>50</v>
      </c>
      <c r="Z469" t="str">
        <f t="shared" si="82"/>
        <v>OK</v>
      </c>
      <c r="AA469" t="str">
        <f t="shared" si="83"/>
        <v>2025-10</v>
      </c>
      <c r="AB469" t="str">
        <f t="shared" si="84"/>
        <v>2025-11</v>
      </c>
      <c r="AC469" t="str">
        <f t="shared" si="85"/>
        <v>Q4-2025</v>
      </c>
      <c r="AD469" s="5">
        <f t="shared" si="86"/>
        <v>59</v>
      </c>
      <c r="AE469" t="str">
        <f t="shared" si="87"/>
        <v>Lost</v>
      </c>
    </row>
    <row r="470" spans="1:31">
      <c r="A470" t="s">
        <v>572</v>
      </c>
      <c r="B470" s="1">
        <v>45777</v>
      </c>
      <c r="C470" t="s">
        <v>64</v>
      </c>
      <c r="D470" t="s">
        <v>57</v>
      </c>
      <c r="E470" t="s">
        <v>123</v>
      </c>
      <c r="F470" t="s">
        <v>59</v>
      </c>
      <c r="G470" t="s">
        <v>72</v>
      </c>
      <c r="H470" t="s">
        <v>47</v>
      </c>
      <c r="I470" t="s">
        <v>61</v>
      </c>
      <c r="J470" s="1">
        <v>45828</v>
      </c>
      <c r="K470" s="1">
        <v>45828</v>
      </c>
      <c r="L470" s="3">
        <v>14700</v>
      </c>
      <c r="M470" s="4">
        <v>0</v>
      </c>
      <c r="N470" s="4">
        <v>0</v>
      </c>
      <c r="O470" t="s">
        <v>81</v>
      </c>
      <c r="P470">
        <v>4</v>
      </c>
      <c r="Q470" t="str">
        <f>IFERROR(VLOOKUP(E470,Lookups!$A$5:$B$24,2,FALSE),"Other")</f>
        <v>Email</v>
      </c>
      <c r="R470" t="str">
        <f>IFERROR(VLOOKUP(F470,Lookups!$D$5:$F$10,2,FALSE),"Unknown Product")</f>
        <v>NexaCRM Pro</v>
      </c>
      <c r="S470" t="str">
        <f>IFERROR(VLOOKUP(F470,Lookups!$D$5:$F$10,3,FALSE),"Unknown")</f>
        <v>CRM</v>
      </c>
      <c r="T470" t="str">
        <f t="shared" si="77"/>
        <v>SMB</v>
      </c>
      <c r="U470" t="str">
        <f t="shared" si="78"/>
        <v>Lost</v>
      </c>
      <c r="V470" s="3">
        <f t="shared" si="79"/>
        <v>0</v>
      </c>
      <c r="W470" s="3">
        <f t="shared" si="80"/>
        <v>0</v>
      </c>
      <c r="X470" s="5">
        <f t="shared" si="81"/>
        <v>51</v>
      </c>
      <c r="Y470" s="5">
        <f>IF(U470="Open",Lookups!$B$2-B470,X470)</f>
        <v>51</v>
      </c>
      <c r="Z470" t="str">
        <f t="shared" si="82"/>
        <v>OK</v>
      </c>
      <c r="AA470" t="str">
        <f t="shared" si="83"/>
        <v>2025-04</v>
      </c>
      <c r="AB470" t="str">
        <f t="shared" si="84"/>
        <v>2025-06</v>
      </c>
      <c r="AC470" t="str">
        <f t="shared" si="85"/>
        <v>Q2-2025</v>
      </c>
      <c r="AD470" s="5">
        <f t="shared" si="86"/>
        <v>47</v>
      </c>
      <c r="AE470" t="str">
        <f t="shared" si="87"/>
        <v>Lost</v>
      </c>
    </row>
    <row r="471" spans="1:31">
      <c r="A471" t="s">
        <v>573</v>
      </c>
      <c r="B471" s="1">
        <v>45910</v>
      </c>
      <c r="C471" t="s">
        <v>148</v>
      </c>
      <c r="D471" t="s">
        <v>43</v>
      </c>
      <c r="E471" t="s">
        <v>92</v>
      </c>
      <c r="F471" t="s">
        <v>67</v>
      </c>
      <c r="G471" t="s">
        <v>76</v>
      </c>
      <c r="H471" t="s">
        <v>47</v>
      </c>
      <c r="I471" t="s">
        <v>61</v>
      </c>
      <c r="J471" s="1">
        <v>45968</v>
      </c>
      <c r="K471" s="1">
        <v>45968</v>
      </c>
      <c r="L471" s="3">
        <v>29800</v>
      </c>
      <c r="M471" s="4">
        <v>0</v>
      </c>
      <c r="N471" s="4">
        <v>0</v>
      </c>
      <c r="O471" t="s">
        <v>102</v>
      </c>
      <c r="P471">
        <v>2</v>
      </c>
      <c r="Q471" t="str">
        <f>IFERROR(VLOOKUP(E471,Lookups!$A$5:$B$24,2,FALSE),"Other")</f>
        <v>Webinar</v>
      </c>
      <c r="R471" t="str">
        <f>IFERROR(VLOOKUP(F471,Lookups!$D$5:$F$10,2,FALSE),"Unknown Product")</f>
        <v>Revenue Operations Suite</v>
      </c>
      <c r="S471" t="str">
        <f>IFERROR(VLOOKUP(F471,Lookups!$D$5:$F$10,3,FALSE),"Unknown")</f>
        <v>Revenue Ops</v>
      </c>
      <c r="T471" t="str">
        <f t="shared" si="77"/>
        <v>Mid-Market</v>
      </c>
      <c r="U471" t="str">
        <f t="shared" si="78"/>
        <v>Lost</v>
      </c>
      <c r="V471" s="3">
        <f t="shared" si="79"/>
        <v>0</v>
      </c>
      <c r="W471" s="3">
        <f t="shared" si="80"/>
        <v>0</v>
      </c>
      <c r="X471" s="5">
        <f t="shared" si="81"/>
        <v>58</v>
      </c>
      <c r="Y471" s="5">
        <f>IF(U471="Open",Lookups!$B$2-B471,X471)</f>
        <v>58</v>
      </c>
      <c r="Z471" t="str">
        <f t="shared" si="82"/>
        <v>OK</v>
      </c>
      <c r="AA471" t="str">
        <f t="shared" si="83"/>
        <v>2025-09</v>
      </c>
      <c r="AB471" t="str">
        <f t="shared" si="84"/>
        <v>2025-11</v>
      </c>
      <c r="AC471" t="str">
        <f t="shared" si="85"/>
        <v>Q3-2025</v>
      </c>
      <c r="AD471" s="5">
        <f t="shared" si="86"/>
        <v>51</v>
      </c>
      <c r="AE471" t="str">
        <f t="shared" si="87"/>
        <v>Lost</v>
      </c>
    </row>
    <row r="472" spans="1:31">
      <c r="A472" t="s">
        <v>574</v>
      </c>
      <c r="B472" s="1">
        <v>46118</v>
      </c>
      <c r="C472" t="s">
        <v>50</v>
      </c>
      <c r="D472" t="s">
        <v>43</v>
      </c>
      <c r="E472" t="s">
        <v>70</v>
      </c>
      <c r="F472" t="s">
        <v>52</v>
      </c>
      <c r="G472" t="s">
        <v>76</v>
      </c>
      <c r="H472" t="s">
        <v>53</v>
      </c>
      <c r="I472" t="s">
        <v>61</v>
      </c>
      <c r="J472" s="1">
        <v>46197</v>
      </c>
      <c r="K472" s="1">
        <v>46197</v>
      </c>
      <c r="L472" s="3">
        <v>16300</v>
      </c>
      <c r="M472" s="4">
        <v>0</v>
      </c>
      <c r="N472" s="4">
        <v>0</v>
      </c>
      <c r="O472" t="s">
        <v>62</v>
      </c>
      <c r="P472">
        <v>2</v>
      </c>
      <c r="Q472" t="str">
        <f>IFERROR(VLOOKUP(E472,Lookups!$A$5:$B$24,2,FALSE),"Other")</f>
        <v>LinkedIn</v>
      </c>
      <c r="R472" t="str">
        <f>IFERROR(VLOOKUP(F472,Lookups!$D$5:$F$10,2,FALSE),"Unknown Product")</f>
        <v>NexaCRM Core</v>
      </c>
      <c r="S472" t="str">
        <f>IFERROR(VLOOKUP(F472,Lookups!$D$5:$F$10,3,FALSE),"Unknown")</f>
        <v>CRM</v>
      </c>
      <c r="T472" t="str">
        <f t="shared" si="77"/>
        <v>SMB</v>
      </c>
      <c r="U472" t="str">
        <f t="shared" si="78"/>
        <v>Lost</v>
      </c>
      <c r="V472" s="3">
        <f t="shared" si="79"/>
        <v>0</v>
      </c>
      <c r="W472" s="3">
        <f t="shared" si="80"/>
        <v>0</v>
      </c>
      <c r="X472" s="5">
        <f t="shared" si="81"/>
        <v>79</v>
      </c>
      <c r="Y472" s="5">
        <f>IF(U472="Open",Lookups!$B$2-B472,X472)</f>
        <v>79</v>
      </c>
      <c r="Z472" t="str">
        <f t="shared" si="82"/>
        <v>OK</v>
      </c>
      <c r="AA472" t="str">
        <f t="shared" si="83"/>
        <v>2026-04</v>
      </c>
      <c r="AB472" t="str">
        <f t="shared" si="84"/>
        <v>2026-06</v>
      </c>
      <c r="AC472" t="str">
        <f t="shared" si="85"/>
        <v>Q2-2026</v>
      </c>
      <c r="AD472" s="5">
        <f t="shared" si="86"/>
        <v>51</v>
      </c>
      <c r="AE472" t="str">
        <f t="shared" si="87"/>
        <v>Lost</v>
      </c>
    </row>
    <row r="473" spans="1:31">
      <c r="A473" t="s">
        <v>575</v>
      </c>
      <c r="B473" s="1">
        <v>46028</v>
      </c>
      <c r="C473" t="s">
        <v>90</v>
      </c>
      <c r="D473" t="s">
        <v>57</v>
      </c>
      <c r="E473" t="s">
        <v>119</v>
      </c>
      <c r="F473" t="s">
        <v>133</v>
      </c>
      <c r="G473" t="s">
        <v>76</v>
      </c>
      <c r="H473" t="s">
        <v>84</v>
      </c>
      <c r="I473" t="s">
        <v>61</v>
      </c>
      <c r="J473" s="1">
        <v>46084</v>
      </c>
      <c r="K473" s="1">
        <v>46084</v>
      </c>
      <c r="L473" s="3">
        <v>50700</v>
      </c>
      <c r="M473" s="4">
        <v>0</v>
      </c>
      <c r="N473" s="4">
        <v>0</v>
      </c>
      <c r="O473" t="s">
        <v>79</v>
      </c>
      <c r="P473">
        <v>4</v>
      </c>
      <c r="Q473" t="str">
        <f>IFERROR(VLOOKUP(E473,Lookups!$A$5:$B$24,2,FALSE),"Other")</f>
        <v>Referral</v>
      </c>
      <c r="R473" t="str">
        <f>IFERROR(VLOOKUP(F473,Lookups!$D$5:$F$10,2,FALSE),"Unknown Product")</f>
        <v>Analytics Plus</v>
      </c>
      <c r="S473" t="str">
        <f>IFERROR(VLOOKUP(F473,Lookups!$D$5:$F$10,3,FALSE),"Unknown")</f>
        <v>Analytics</v>
      </c>
      <c r="T473" t="str">
        <f t="shared" si="77"/>
        <v>Enterprise</v>
      </c>
      <c r="U473" t="str">
        <f t="shared" si="78"/>
        <v>Lost</v>
      </c>
      <c r="V473" s="3">
        <f t="shared" si="79"/>
        <v>0</v>
      </c>
      <c r="W473" s="3">
        <f t="shared" si="80"/>
        <v>0</v>
      </c>
      <c r="X473" s="5">
        <f t="shared" si="81"/>
        <v>56</v>
      </c>
      <c r="Y473" s="5">
        <f>IF(U473="Open",Lookups!$B$2-B473,X473)</f>
        <v>56</v>
      </c>
      <c r="Z473" t="str">
        <f t="shared" si="82"/>
        <v>OK</v>
      </c>
      <c r="AA473" t="str">
        <f t="shared" si="83"/>
        <v>2026-01</v>
      </c>
      <c r="AB473" t="str">
        <f t="shared" si="84"/>
        <v>2026-03</v>
      </c>
      <c r="AC473" t="str">
        <f t="shared" si="85"/>
        <v>Q1-2026</v>
      </c>
      <c r="AD473" s="5">
        <f t="shared" si="86"/>
        <v>85</v>
      </c>
      <c r="AE473" t="str">
        <f t="shared" si="87"/>
        <v>Lost</v>
      </c>
    </row>
    <row r="474" spans="1:31">
      <c r="A474" t="s">
        <v>576</v>
      </c>
      <c r="B474" s="1">
        <v>45716</v>
      </c>
      <c r="C474" t="s">
        <v>90</v>
      </c>
      <c r="D474" t="s">
        <v>57</v>
      </c>
      <c r="E474" t="s">
        <v>138</v>
      </c>
      <c r="F474" t="s">
        <v>59</v>
      </c>
      <c r="G474" t="s">
        <v>112</v>
      </c>
      <c r="H474" t="s">
        <v>53</v>
      </c>
      <c r="I474" t="s">
        <v>48</v>
      </c>
      <c r="J474" s="1">
        <v>46181</v>
      </c>
      <c r="K474" s="1"/>
      <c r="L474" s="3">
        <v>27400</v>
      </c>
      <c r="M474" s="4">
        <v>0</v>
      </c>
      <c r="N474" s="4">
        <v>0.85</v>
      </c>
      <c r="P474">
        <v>5</v>
      </c>
      <c r="Q474" t="str">
        <f>IFERROR(VLOOKUP(E474,Lookups!$A$5:$B$24,2,FALSE),"Other")</f>
        <v>Organic Search</v>
      </c>
      <c r="R474" t="str">
        <f>IFERROR(VLOOKUP(F474,Lookups!$D$5:$F$10,2,FALSE),"Unknown Product")</f>
        <v>NexaCRM Pro</v>
      </c>
      <c r="S474" t="str">
        <f>IFERROR(VLOOKUP(F474,Lookups!$D$5:$F$10,3,FALSE),"Unknown")</f>
        <v>CRM</v>
      </c>
      <c r="T474" t="str">
        <f t="shared" si="77"/>
        <v>Mid-Market</v>
      </c>
      <c r="U474" t="str">
        <f t="shared" si="78"/>
        <v>Open</v>
      </c>
      <c r="V474" s="3">
        <f t="shared" si="79"/>
        <v>0</v>
      </c>
      <c r="W474" s="3">
        <f t="shared" si="80"/>
        <v>23290</v>
      </c>
      <c r="X474" s="5" t="str">
        <f t="shared" si="81"/>
        <v/>
      </c>
      <c r="Y474" s="5">
        <f>IF(U474="Open",Lookups!$B$2-B474,X474)</f>
        <v>550</v>
      </c>
      <c r="Z474" t="str">
        <f t="shared" si="82"/>
        <v>STALE</v>
      </c>
      <c r="AA474" t="str">
        <f t="shared" si="83"/>
        <v>2025-02</v>
      </c>
      <c r="AB474" t="str">
        <f t="shared" si="84"/>
        <v/>
      </c>
      <c r="AC474" t="str">
        <f t="shared" si="85"/>
        <v>Q1-2025</v>
      </c>
      <c r="AD474" s="5">
        <f t="shared" si="86"/>
        <v>70</v>
      </c>
      <c r="AE474" t="str">
        <f t="shared" si="87"/>
        <v>Commit</v>
      </c>
    </row>
    <row r="475" spans="1:31">
      <c r="A475" t="s">
        <v>577</v>
      </c>
      <c r="B475" s="1">
        <v>45841</v>
      </c>
      <c r="C475" t="s">
        <v>148</v>
      </c>
      <c r="D475" t="s">
        <v>43</v>
      </c>
      <c r="E475" t="s">
        <v>146</v>
      </c>
      <c r="F475" t="s">
        <v>59</v>
      </c>
      <c r="G475" t="s">
        <v>112</v>
      </c>
      <c r="H475" t="s">
        <v>47</v>
      </c>
      <c r="I475" t="s">
        <v>77</v>
      </c>
      <c r="J475" s="1">
        <v>45900</v>
      </c>
      <c r="K475" s="1">
        <v>45900</v>
      </c>
      <c r="L475" s="3">
        <v>20800</v>
      </c>
      <c r="M475" s="4">
        <v>0.1</v>
      </c>
      <c r="N475" s="4">
        <v>1</v>
      </c>
      <c r="P475">
        <v>6</v>
      </c>
      <c r="Q475" t="str">
        <f>IFERROR(VLOOKUP(E475,Lookups!$A$5:$B$24,2,FALSE),"Other")</f>
        <v>LinkedIn</v>
      </c>
      <c r="R475" t="str">
        <f>IFERROR(VLOOKUP(F475,Lookups!$D$5:$F$10,2,FALSE),"Unknown Product")</f>
        <v>NexaCRM Pro</v>
      </c>
      <c r="S475" t="str">
        <f>IFERROR(VLOOKUP(F475,Lookups!$D$5:$F$10,3,FALSE),"Unknown")</f>
        <v>CRM</v>
      </c>
      <c r="T475" t="str">
        <f t="shared" si="77"/>
        <v>Mid-Market</v>
      </c>
      <c r="U475" t="str">
        <f t="shared" si="78"/>
        <v>Won</v>
      </c>
      <c r="V475" s="3">
        <f t="shared" si="79"/>
        <v>18720</v>
      </c>
      <c r="W475" s="3">
        <f t="shared" si="80"/>
        <v>0</v>
      </c>
      <c r="X475" s="5">
        <f t="shared" si="81"/>
        <v>59</v>
      </c>
      <c r="Y475" s="5">
        <f>IF(U475="Open",Lookups!$B$2-B475,X475)</f>
        <v>59</v>
      </c>
      <c r="Z475" t="str">
        <f t="shared" si="82"/>
        <v>OK</v>
      </c>
      <c r="AA475" t="str">
        <f t="shared" si="83"/>
        <v>2025-07</v>
      </c>
      <c r="AB475" t="str">
        <f t="shared" si="84"/>
        <v>2025-08</v>
      </c>
      <c r="AC475" t="str">
        <f t="shared" si="85"/>
        <v>Q3-2025</v>
      </c>
      <c r="AD475" s="5">
        <f t="shared" si="86"/>
        <v>56</v>
      </c>
      <c r="AE475" t="str">
        <f t="shared" si="87"/>
        <v>Won</v>
      </c>
    </row>
    <row r="476" spans="1:31">
      <c r="A476" t="s">
        <v>578</v>
      </c>
      <c r="B476" s="1">
        <v>45923</v>
      </c>
      <c r="C476" t="s">
        <v>64</v>
      </c>
      <c r="D476" t="s">
        <v>57</v>
      </c>
      <c r="E476" t="s">
        <v>58</v>
      </c>
      <c r="F476" t="s">
        <v>45</v>
      </c>
      <c r="G476" t="s">
        <v>46</v>
      </c>
      <c r="H476" t="s">
        <v>84</v>
      </c>
      <c r="I476" t="s">
        <v>61</v>
      </c>
      <c r="J476" s="1">
        <v>45988</v>
      </c>
      <c r="K476" s="1">
        <v>45988</v>
      </c>
      <c r="L476" s="3">
        <v>74500</v>
      </c>
      <c r="M476" s="4">
        <v>0</v>
      </c>
      <c r="N476" s="4">
        <v>0</v>
      </c>
      <c r="O476" t="s">
        <v>81</v>
      </c>
      <c r="P476">
        <v>3</v>
      </c>
      <c r="Q476" t="str">
        <f>IFERROR(VLOOKUP(E476,Lookups!$A$5:$B$24,2,FALSE),"Other")</f>
        <v>Email</v>
      </c>
      <c r="R476" t="str">
        <f>IFERROR(VLOOKUP(F476,Lookups!$D$5:$F$10,2,FALSE),"Unknown Product")</f>
        <v>Service Cloud</v>
      </c>
      <c r="S476" t="str">
        <f>IFERROR(VLOOKUP(F476,Lookups!$D$5:$F$10,3,FALSE),"Unknown")</f>
        <v>Customer Service</v>
      </c>
      <c r="T476" t="str">
        <f t="shared" si="77"/>
        <v>Enterprise</v>
      </c>
      <c r="U476" t="str">
        <f t="shared" si="78"/>
        <v>Lost</v>
      </c>
      <c r="V476" s="3">
        <f t="shared" si="79"/>
        <v>0</v>
      </c>
      <c r="W476" s="3">
        <f t="shared" si="80"/>
        <v>0</v>
      </c>
      <c r="X476" s="5">
        <f t="shared" si="81"/>
        <v>65</v>
      </c>
      <c r="Y476" s="5">
        <f>IF(U476="Open",Lookups!$B$2-B476,X476)</f>
        <v>65</v>
      </c>
      <c r="Z476" t="str">
        <f t="shared" si="82"/>
        <v>OK</v>
      </c>
      <c r="AA476" t="str">
        <f t="shared" si="83"/>
        <v>2025-09</v>
      </c>
      <c r="AB476" t="str">
        <f t="shared" si="84"/>
        <v>2025-11</v>
      </c>
      <c r="AC476" t="str">
        <f t="shared" si="85"/>
        <v>Q3-2025</v>
      </c>
      <c r="AD476" s="5">
        <f t="shared" si="86"/>
        <v>78</v>
      </c>
      <c r="AE476" t="str">
        <f t="shared" si="87"/>
        <v>Lost</v>
      </c>
    </row>
    <row r="477" spans="1:31">
      <c r="A477" t="s">
        <v>579</v>
      </c>
      <c r="B477" s="1">
        <v>45869</v>
      </c>
      <c r="C477" t="s">
        <v>50</v>
      </c>
      <c r="D477" t="s">
        <v>43</v>
      </c>
      <c r="E477" t="s">
        <v>119</v>
      </c>
      <c r="F477" t="s">
        <v>52</v>
      </c>
      <c r="G477" t="s">
        <v>76</v>
      </c>
      <c r="H477" t="s">
        <v>53</v>
      </c>
      <c r="I477" t="s">
        <v>61</v>
      </c>
      <c r="J477" s="1">
        <v>45888</v>
      </c>
      <c r="K477" s="1">
        <v>45888</v>
      </c>
      <c r="L477" s="3">
        <v>11400</v>
      </c>
      <c r="M477" s="4">
        <v>0</v>
      </c>
      <c r="N477" s="4">
        <v>0</v>
      </c>
      <c r="O477" t="s">
        <v>62</v>
      </c>
      <c r="P477">
        <v>2</v>
      </c>
      <c r="Q477" t="str">
        <f>IFERROR(VLOOKUP(E477,Lookups!$A$5:$B$24,2,FALSE),"Other")</f>
        <v>Referral</v>
      </c>
      <c r="R477" t="str">
        <f>IFERROR(VLOOKUP(F477,Lookups!$D$5:$F$10,2,FALSE),"Unknown Product")</f>
        <v>NexaCRM Core</v>
      </c>
      <c r="S477" t="str">
        <f>IFERROR(VLOOKUP(F477,Lookups!$D$5:$F$10,3,FALSE),"Unknown")</f>
        <v>CRM</v>
      </c>
      <c r="T477" t="str">
        <f t="shared" si="77"/>
        <v>SMB</v>
      </c>
      <c r="U477" t="str">
        <f t="shared" si="78"/>
        <v>Lost</v>
      </c>
      <c r="V477" s="3">
        <f t="shared" si="79"/>
        <v>0</v>
      </c>
      <c r="W477" s="3">
        <f t="shared" si="80"/>
        <v>0</v>
      </c>
      <c r="X477" s="5">
        <f t="shared" si="81"/>
        <v>19</v>
      </c>
      <c r="Y477" s="5">
        <f>IF(U477="Open",Lookups!$B$2-B477,X477)</f>
        <v>19</v>
      </c>
      <c r="Z477" t="str">
        <f t="shared" si="82"/>
        <v>OK</v>
      </c>
      <c r="AA477" t="str">
        <f t="shared" si="83"/>
        <v>2025-07</v>
      </c>
      <c r="AB477" t="str">
        <f t="shared" si="84"/>
        <v>2025-08</v>
      </c>
      <c r="AC477" t="str">
        <f t="shared" si="85"/>
        <v>Q3-2025</v>
      </c>
      <c r="AD477" s="5">
        <f t="shared" si="86"/>
        <v>62</v>
      </c>
      <c r="AE477" t="str">
        <f t="shared" si="87"/>
        <v>Lost</v>
      </c>
    </row>
    <row r="478" spans="1:31">
      <c r="A478" t="s">
        <v>580</v>
      </c>
      <c r="B478" s="1">
        <v>45873</v>
      </c>
      <c r="C478" t="s">
        <v>50</v>
      </c>
      <c r="D478" t="s">
        <v>43</v>
      </c>
      <c r="E478" t="s">
        <v>70</v>
      </c>
      <c r="F478" t="s">
        <v>59</v>
      </c>
      <c r="G478" t="s">
        <v>112</v>
      </c>
      <c r="H478" t="s">
        <v>47</v>
      </c>
      <c r="I478" t="s">
        <v>61</v>
      </c>
      <c r="J478" s="1">
        <v>45913</v>
      </c>
      <c r="K478" s="1">
        <v>45913</v>
      </c>
      <c r="L478" s="3">
        <v>19200</v>
      </c>
      <c r="M478" s="4">
        <v>0</v>
      </c>
      <c r="N478" s="4">
        <v>0</v>
      </c>
      <c r="O478" t="s">
        <v>102</v>
      </c>
      <c r="P478">
        <v>2</v>
      </c>
      <c r="Q478" t="str">
        <f>IFERROR(VLOOKUP(E478,Lookups!$A$5:$B$24,2,FALSE),"Other")</f>
        <v>LinkedIn</v>
      </c>
      <c r="R478" t="str">
        <f>IFERROR(VLOOKUP(F478,Lookups!$D$5:$F$10,2,FALSE),"Unknown Product")</f>
        <v>NexaCRM Pro</v>
      </c>
      <c r="S478" t="str">
        <f>IFERROR(VLOOKUP(F478,Lookups!$D$5:$F$10,3,FALSE),"Unknown")</f>
        <v>CRM</v>
      </c>
      <c r="T478" t="str">
        <f t="shared" si="77"/>
        <v>SMB</v>
      </c>
      <c r="U478" t="str">
        <f t="shared" si="78"/>
        <v>Lost</v>
      </c>
      <c r="V478" s="3">
        <f t="shared" si="79"/>
        <v>0</v>
      </c>
      <c r="W478" s="3">
        <f t="shared" si="80"/>
        <v>0</v>
      </c>
      <c r="X478" s="5">
        <f t="shared" si="81"/>
        <v>40</v>
      </c>
      <c r="Y478" s="5">
        <f>IF(U478="Open",Lookups!$B$2-B478,X478)</f>
        <v>40</v>
      </c>
      <c r="Z478" t="str">
        <f t="shared" si="82"/>
        <v>OK</v>
      </c>
      <c r="AA478" t="str">
        <f t="shared" si="83"/>
        <v>2025-08</v>
      </c>
      <c r="AB478" t="str">
        <f t="shared" si="84"/>
        <v>2025-09</v>
      </c>
      <c r="AC478" t="str">
        <f t="shared" si="85"/>
        <v>Q3-2025</v>
      </c>
      <c r="AD478" s="5">
        <f t="shared" si="86"/>
        <v>48</v>
      </c>
      <c r="AE478" t="str">
        <f t="shared" si="87"/>
        <v>Lost</v>
      </c>
    </row>
    <row r="479" spans="1:31">
      <c r="A479" t="s">
        <v>581</v>
      </c>
      <c r="B479" s="1">
        <v>45772</v>
      </c>
      <c r="C479" t="s">
        <v>86</v>
      </c>
      <c r="D479" t="s">
        <v>87</v>
      </c>
      <c r="E479" t="s">
        <v>127</v>
      </c>
      <c r="F479" t="s">
        <v>133</v>
      </c>
      <c r="G479" t="s">
        <v>46</v>
      </c>
      <c r="H479" t="s">
        <v>53</v>
      </c>
      <c r="I479" t="s">
        <v>61</v>
      </c>
      <c r="J479" s="1">
        <v>45827</v>
      </c>
      <c r="K479" s="1">
        <v>45827</v>
      </c>
      <c r="L479" s="3">
        <v>53500</v>
      </c>
      <c r="M479" s="4">
        <v>0</v>
      </c>
      <c r="N479" s="4">
        <v>0</v>
      </c>
      <c r="O479" t="s">
        <v>116</v>
      </c>
      <c r="P479">
        <v>4</v>
      </c>
      <c r="Q479" t="str">
        <f>IFERROR(VLOOKUP(E479,Lookups!$A$5:$B$24,2,FALSE),"Other")</f>
        <v>Paid Search</v>
      </c>
      <c r="R479" t="str">
        <f>IFERROR(VLOOKUP(F479,Lookups!$D$5:$F$10,2,FALSE),"Unknown Product")</f>
        <v>Analytics Plus</v>
      </c>
      <c r="S479" t="str">
        <f>IFERROR(VLOOKUP(F479,Lookups!$D$5:$F$10,3,FALSE),"Unknown")</f>
        <v>Analytics</v>
      </c>
      <c r="T479" t="str">
        <f t="shared" si="77"/>
        <v>Enterprise</v>
      </c>
      <c r="U479" t="str">
        <f t="shared" si="78"/>
        <v>Lost</v>
      </c>
      <c r="V479" s="3">
        <f t="shared" si="79"/>
        <v>0</v>
      </c>
      <c r="W479" s="3">
        <f t="shared" si="80"/>
        <v>0</v>
      </c>
      <c r="X479" s="5">
        <f t="shared" si="81"/>
        <v>55</v>
      </c>
      <c r="Y479" s="5">
        <f>IF(U479="Open",Lookups!$B$2-B479,X479)</f>
        <v>55</v>
      </c>
      <c r="Z479" t="str">
        <f t="shared" si="82"/>
        <v>OK</v>
      </c>
      <c r="AA479" t="str">
        <f t="shared" si="83"/>
        <v>2025-04</v>
      </c>
      <c r="AB479" t="str">
        <f t="shared" si="84"/>
        <v>2025-06</v>
      </c>
      <c r="AC479" t="str">
        <f t="shared" si="85"/>
        <v>Q2-2025</v>
      </c>
      <c r="AD479" s="5">
        <f t="shared" si="86"/>
        <v>66</v>
      </c>
      <c r="AE479" t="str">
        <f t="shared" si="87"/>
        <v>Lost</v>
      </c>
    </row>
    <row r="480" spans="1:31">
      <c r="A480" t="s">
        <v>582</v>
      </c>
      <c r="B480" s="1">
        <v>45754</v>
      </c>
      <c r="C480" t="s">
        <v>86</v>
      </c>
      <c r="D480" t="s">
        <v>87</v>
      </c>
      <c r="E480" t="s">
        <v>115</v>
      </c>
      <c r="F480" t="s">
        <v>133</v>
      </c>
      <c r="G480" t="s">
        <v>72</v>
      </c>
      <c r="H480" t="s">
        <v>47</v>
      </c>
      <c r="I480" t="s">
        <v>77</v>
      </c>
      <c r="J480" s="1">
        <v>45795</v>
      </c>
      <c r="K480" s="1">
        <v>45795</v>
      </c>
      <c r="L480" s="3">
        <v>27400</v>
      </c>
      <c r="M480" s="4">
        <v>0.1</v>
      </c>
      <c r="N480" s="4">
        <v>1</v>
      </c>
      <c r="P480">
        <v>6</v>
      </c>
      <c r="Q480" t="str">
        <f>IFERROR(VLOOKUP(E480,Lookups!$A$5:$B$24,2,FALSE),"Other")</f>
        <v>Outbound</v>
      </c>
      <c r="R480" t="str">
        <f>IFERROR(VLOOKUP(F480,Lookups!$D$5:$F$10,2,FALSE),"Unknown Product")</f>
        <v>Analytics Plus</v>
      </c>
      <c r="S480" t="str">
        <f>IFERROR(VLOOKUP(F480,Lookups!$D$5:$F$10,3,FALSE),"Unknown")</f>
        <v>Analytics</v>
      </c>
      <c r="T480" t="str">
        <f t="shared" si="77"/>
        <v>Mid-Market</v>
      </c>
      <c r="U480" t="str">
        <f t="shared" si="78"/>
        <v>Won</v>
      </c>
      <c r="V480" s="3">
        <f t="shared" si="79"/>
        <v>24660</v>
      </c>
      <c r="W480" s="3">
        <f t="shared" si="80"/>
        <v>0</v>
      </c>
      <c r="X480" s="5">
        <f t="shared" si="81"/>
        <v>41</v>
      </c>
      <c r="Y480" s="5">
        <f>IF(U480="Open",Lookups!$B$2-B480,X480)</f>
        <v>41</v>
      </c>
      <c r="Z480" t="str">
        <f t="shared" si="82"/>
        <v>OK</v>
      </c>
      <c r="AA480" t="str">
        <f t="shared" si="83"/>
        <v>2025-04</v>
      </c>
      <c r="AB480" t="str">
        <f t="shared" si="84"/>
        <v>2025-05</v>
      </c>
      <c r="AC480" t="str">
        <f t="shared" si="85"/>
        <v>Q2-2025</v>
      </c>
      <c r="AD480" s="5">
        <f t="shared" si="86"/>
        <v>51</v>
      </c>
      <c r="AE480" t="str">
        <f t="shared" si="87"/>
        <v>Won</v>
      </c>
    </row>
    <row r="481" spans="1:31">
      <c r="A481" t="s">
        <v>583</v>
      </c>
      <c r="B481" s="1">
        <v>45782</v>
      </c>
      <c r="C481" t="s">
        <v>86</v>
      </c>
      <c r="D481" t="s">
        <v>87</v>
      </c>
      <c r="E481" t="s">
        <v>44</v>
      </c>
      <c r="F481" t="s">
        <v>52</v>
      </c>
      <c r="G481" t="s">
        <v>99</v>
      </c>
      <c r="H481" t="s">
        <v>53</v>
      </c>
      <c r="I481" t="s">
        <v>77</v>
      </c>
      <c r="J481" s="1">
        <v>45839</v>
      </c>
      <c r="K481" s="1">
        <v>45839</v>
      </c>
      <c r="L481" s="3">
        <v>15700</v>
      </c>
      <c r="M481" s="4">
        <v>0.08</v>
      </c>
      <c r="N481" s="4">
        <v>1</v>
      </c>
      <c r="P481">
        <v>6</v>
      </c>
      <c r="Q481" t="str">
        <f>IFERROR(VLOOKUP(E481,Lookups!$A$5:$B$24,2,FALSE),"Other")</f>
        <v>Organic Search</v>
      </c>
      <c r="R481" t="str">
        <f>IFERROR(VLOOKUP(F481,Lookups!$D$5:$F$10,2,FALSE),"Unknown Product")</f>
        <v>NexaCRM Core</v>
      </c>
      <c r="S481" t="str">
        <f>IFERROR(VLOOKUP(F481,Lookups!$D$5:$F$10,3,FALSE),"Unknown")</f>
        <v>CRM</v>
      </c>
      <c r="T481" t="str">
        <f t="shared" si="77"/>
        <v>SMB</v>
      </c>
      <c r="U481" t="str">
        <f t="shared" si="78"/>
        <v>Won</v>
      </c>
      <c r="V481" s="3">
        <f t="shared" si="79"/>
        <v>14444</v>
      </c>
      <c r="W481" s="3">
        <f t="shared" si="80"/>
        <v>0</v>
      </c>
      <c r="X481" s="5">
        <f t="shared" si="81"/>
        <v>57</v>
      </c>
      <c r="Y481" s="5">
        <f>IF(U481="Open",Lookups!$B$2-B481,X481)</f>
        <v>57</v>
      </c>
      <c r="Z481" t="str">
        <f t="shared" si="82"/>
        <v>OK</v>
      </c>
      <c r="AA481" t="str">
        <f t="shared" si="83"/>
        <v>2025-05</v>
      </c>
      <c r="AB481" t="str">
        <f t="shared" si="84"/>
        <v>2025-07</v>
      </c>
      <c r="AC481" t="str">
        <f t="shared" si="85"/>
        <v>Q2-2025</v>
      </c>
      <c r="AD481" s="5">
        <f t="shared" si="86"/>
        <v>57</v>
      </c>
      <c r="AE481" t="str">
        <f t="shared" si="87"/>
        <v>Won</v>
      </c>
    </row>
    <row r="482" spans="1:31">
      <c r="A482" t="s">
        <v>584</v>
      </c>
      <c r="B482" s="1">
        <v>46182</v>
      </c>
      <c r="C482" t="s">
        <v>86</v>
      </c>
      <c r="D482" t="s">
        <v>87</v>
      </c>
      <c r="E482" t="s">
        <v>92</v>
      </c>
      <c r="F482" t="s">
        <v>45</v>
      </c>
      <c r="G482" t="s">
        <v>99</v>
      </c>
      <c r="H482" t="s">
        <v>47</v>
      </c>
      <c r="I482" t="s">
        <v>61</v>
      </c>
      <c r="J482" s="1">
        <v>46237</v>
      </c>
      <c r="K482" s="1">
        <v>46237</v>
      </c>
      <c r="L482" s="3">
        <v>24400</v>
      </c>
      <c r="M482" s="4">
        <v>0</v>
      </c>
      <c r="N482" s="4">
        <v>0</v>
      </c>
      <c r="O482" t="s">
        <v>62</v>
      </c>
      <c r="P482">
        <v>4</v>
      </c>
      <c r="Q482" t="str">
        <f>IFERROR(VLOOKUP(E482,Lookups!$A$5:$B$24,2,FALSE),"Other")</f>
        <v>Webinar</v>
      </c>
      <c r="R482" t="str">
        <f>IFERROR(VLOOKUP(F482,Lookups!$D$5:$F$10,2,FALSE),"Unknown Product")</f>
        <v>Service Cloud</v>
      </c>
      <c r="S482" t="str">
        <f>IFERROR(VLOOKUP(F482,Lookups!$D$5:$F$10,3,FALSE),"Unknown")</f>
        <v>Customer Service</v>
      </c>
      <c r="T482" t="str">
        <f t="shared" si="77"/>
        <v>Mid-Market</v>
      </c>
      <c r="U482" t="str">
        <f t="shared" si="78"/>
        <v>Lost</v>
      </c>
      <c r="V482" s="3">
        <f t="shared" si="79"/>
        <v>0</v>
      </c>
      <c r="W482" s="3">
        <f t="shared" si="80"/>
        <v>0</v>
      </c>
      <c r="X482" s="5">
        <f t="shared" si="81"/>
        <v>55</v>
      </c>
      <c r="Y482" s="5">
        <f>IF(U482="Open",Lookups!$B$2-B482,X482)</f>
        <v>55</v>
      </c>
      <c r="Z482" t="str">
        <f t="shared" si="82"/>
        <v>OK</v>
      </c>
      <c r="AA482" t="str">
        <f t="shared" si="83"/>
        <v>2026-06</v>
      </c>
      <c r="AB482" t="str">
        <f t="shared" si="84"/>
        <v>2026-08</v>
      </c>
      <c r="AC482" t="str">
        <f t="shared" si="85"/>
        <v>Q2-2026</v>
      </c>
      <c r="AD482" s="5">
        <f t="shared" si="86"/>
        <v>51</v>
      </c>
      <c r="AE482" t="str">
        <f t="shared" si="87"/>
        <v>Lost</v>
      </c>
    </row>
    <row r="483" spans="1:31">
      <c r="A483" t="s">
        <v>585</v>
      </c>
      <c r="B483" s="1">
        <v>45929</v>
      </c>
      <c r="C483" t="s">
        <v>42</v>
      </c>
      <c r="D483" t="s">
        <v>43</v>
      </c>
      <c r="E483" t="s">
        <v>70</v>
      </c>
      <c r="F483" t="s">
        <v>133</v>
      </c>
      <c r="G483" t="s">
        <v>99</v>
      </c>
      <c r="H483" t="s">
        <v>47</v>
      </c>
      <c r="I483" t="s">
        <v>77</v>
      </c>
      <c r="J483" s="1">
        <v>45991</v>
      </c>
      <c r="K483" s="1">
        <v>45991</v>
      </c>
      <c r="L483" s="3">
        <v>19900</v>
      </c>
      <c r="M483" s="4">
        <v>0.1</v>
      </c>
      <c r="N483" s="4">
        <v>1</v>
      </c>
      <c r="P483">
        <v>6</v>
      </c>
      <c r="Q483" t="str">
        <f>IFERROR(VLOOKUP(E483,Lookups!$A$5:$B$24,2,FALSE),"Other")</f>
        <v>LinkedIn</v>
      </c>
      <c r="R483" t="str">
        <f>IFERROR(VLOOKUP(F483,Lookups!$D$5:$F$10,2,FALSE),"Unknown Product")</f>
        <v>Analytics Plus</v>
      </c>
      <c r="S483" t="str">
        <f>IFERROR(VLOOKUP(F483,Lookups!$D$5:$F$10,3,FALSE),"Unknown")</f>
        <v>Analytics</v>
      </c>
      <c r="T483" t="str">
        <f t="shared" si="77"/>
        <v>SMB</v>
      </c>
      <c r="U483" t="str">
        <f t="shared" si="78"/>
        <v>Won</v>
      </c>
      <c r="V483" s="3">
        <f t="shared" si="79"/>
        <v>17910</v>
      </c>
      <c r="W483" s="3">
        <f t="shared" si="80"/>
        <v>0</v>
      </c>
      <c r="X483" s="5">
        <f t="shared" si="81"/>
        <v>62</v>
      </c>
      <c r="Y483" s="5">
        <f>IF(U483="Open",Lookups!$B$2-B483,X483)</f>
        <v>62</v>
      </c>
      <c r="Z483" t="str">
        <f t="shared" si="82"/>
        <v>OK</v>
      </c>
      <c r="AA483" t="str">
        <f t="shared" si="83"/>
        <v>2025-09</v>
      </c>
      <c r="AB483" t="str">
        <f t="shared" si="84"/>
        <v>2025-11</v>
      </c>
      <c r="AC483" t="str">
        <f t="shared" si="85"/>
        <v>Q3-2025</v>
      </c>
      <c r="AD483" s="5">
        <f t="shared" si="86"/>
        <v>43</v>
      </c>
      <c r="AE483" t="str">
        <f t="shared" si="87"/>
        <v>Won</v>
      </c>
    </row>
    <row r="484" spans="1:31">
      <c r="A484" t="s">
        <v>586</v>
      </c>
      <c r="B484" s="1">
        <v>46265</v>
      </c>
      <c r="C484" t="s">
        <v>64</v>
      </c>
      <c r="D484" t="s">
        <v>57</v>
      </c>
      <c r="E484" t="s">
        <v>127</v>
      </c>
      <c r="F484" t="s">
        <v>59</v>
      </c>
      <c r="G484" t="s">
        <v>60</v>
      </c>
      <c r="H484" t="s">
        <v>84</v>
      </c>
      <c r="I484" t="s">
        <v>187</v>
      </c>
      <c r="J484" s="1">
        <v>46266</v>
      </c>
      <c r="K484" s="1"/>
      <c r="L484" s="3">
        <v>86000</v>
      </c>
      <c r="M484" s="4">
        <v>0.03</v>
      </c>
      <c r="N484" s="4">
        <v>0.05</v>
      </c>
      <c r="P484">
        <v>1</v>
      </c>
      <c r="Q484" t="str">
        <f>IFERROR(VLOOKUP(E484,Lookups!$A$5:$B$24,2,FALSE),"Other")</f>
        <v>Paid Search</v>
      </c>
      <c r="R484" t="str">
        <f>IFERROR(VLOOKUP(F484,Lookups!$D$5:$F$10,2,FALSE),"Unknown Product")</f>
        <v>NexaCRM Pro</v>
      </c>
      <c r="S484" t="str">
        <f>IFERROR(VLOOKUP(F484,Lookups!$D$5:$F$10,3,FALSE),"Unknown")</f>
        <v>CRM</v>
      </c>
      <c r="T484" t="str">
        <f t="shared" si="77"/>
        <v>Enterprise</v>
      </c>
      <c r="U484" t="str">
        <f t="shared" si="78"/>
        <v>Open</v>
      </c>
      <c r="V484" s="3">
        <f t="shared" si="79"/>
        <v>0</v>
      </c>
      <c r="W484" s="3">
        <f t="shared" si="80"/>
        <v>4300</v>
      </c>
      <c r="X484" s="5" t="str">
        <f t="shared" si="81"/>
        <v/>
      </c>
      <c r="Y484" s="5">
        <f>IF(U484="Open",Lookups!$B$2-B484,X484)</f>
        <v>1</v>
      </c>
      <c r="Z484" t="str">
        <f t="shared" si="82"/>
        <v>OK</v>
      </c>
      <c r="AA484" t="str">
        <f t="shared" si="83"/>
        <v>2026-08</v>
      </c>
      <c r="AB484" t="str">
        <f t="shared" si="84"/>
        <v/>
      </c>
      <c r="AC484" t="str">
        <f t="shared" si="85"/>
        <v>Q3-2026</v>
      </c>
      <c r="AD484" s="5">
        <f t="shared" si="86"/>
        <v>74</v>
      </c>
      <c r="AE484" t="str">
        <f t="shared" si="87"/>
        <v>Pipeline</v>
      </c>
    </row>
    <row r="485" spans="1:31">
      <c r="A485" t="s">
        <v>587</v>
      </c>
      <c r="B485" s="1">
        <v>45845</v>
      </c>
      <c r="C485" t="s">
        <v>69</v>
      </c>
      <c r="D485" t="s">
        <v>57</v>
      </c>
      <c r="E485" t="s">
        <v>127</v>
      </c>
      <c r="F485" t="s">
        <v>71</v>
      </c>
      <c r="G485" t="s">
        <v>72</v>
      </c>
      <c r="H485" t="s">
        <v>53</v>
      </c>
      <c r="I485" t="s">
        <v>61</v>
      </c>
      <c r="J485" s="1">
        <v>45892</v>
      </c>
      <c r="K485" s="1">
        <v>45892</v>
      </c>
      <c r="L485" s="3">
        <v>23300</v>
      </c>
      <c r="M485" s="4">
        <v>0</v>
      </c>
      <c r="N485" s="4">
        <v>0</v>
      </c>
      <c r="O485" t="s">
        <v>81</v>
      </c>
      <c r="P485">
        <v>4</v>
      </c>
      <c r="Q485" t="str">
        <f>IFERROR(VLOOKUP(E485,Lookups!$A$5:$B$24,2,FALSE),"Other")</f>
        <v>Paid Search</v>
      </c>
      <c r="R485" t="str">
        <f>IFERROR(VLOOKUP(F485,Lookups!$D$5:$F$10,2,FALSE),"Unknown Product")</f>
        <v>Marketing Automation</v>
      </c>
      <c r="S485" t="str">
        <f>IFERROR(VLOOKUP(F485,Lookups!$D$5:$F$10,3,FALSE),"Unknown")</f>
        <v>Marketing</v>
      </c>
      <c r="T485" t="str">
        <f t="shared" si="77"/>
        <v>Mid-Market</v>
      </c>
      <c r="U485" t="str">
        <f t="shared" si="78"/>
        <v>Lost</v>
      </c>
      <c r="V485" s="3">
        <f t="shared" si="79"/>
        <v>0</v>
      </c>
      <c r="W485" s="3">
        <f t="shared" si="80"/>
        <v>0</v>
      </c>
      <c r="X485" s="5">
        <f t="shared" si="81"/>
        <v>47</v>
      </c>
      <c r="Y485" s="5">
        <f>IF(U485="Open",Lookups!$B$2-B485,X485)</f>
        <v>47</v>
      </c>
      <c r="Z485" t="str">
        <f t="shared" si="82"/>
        <v>OK</v>
      </c>
      <c r="AA485" t="str">
        <f t="shared" si="83"/>
        <v>2025-07</v>
      </c>
      <c r="AB485" t="str">
        <f t="shared" si="84"/>
        <v>2025-08</v>
      </c>
      <c r="AC485" t="str">
        <f t="shared" si="85"/>
        <v>Q3-2025</v>
      </c>
      <c r="AD485" s="5">
        <f t="shared" si="86"/>
        <v>59</v>
      </c>
      <c r="AE485" t="str">
        <f t="shared" si="87"/>
        <v>Lost</v>
      </c>
    </row>
    <row r="486" spans="1:31">
      <c r="A486" t="s">
        <v>588</v>
      </c>
      <c r="B486" s="1">
        <v>46100</v>
      </c>
      <c r="C486" t="s">
        <v>42</v>
      </c>
      <c r="D486" t="s">
        <v>43</v>
      </c>
      <c r="E486" t="s">
        <v>127</v>
      </c>
      <c r="F486" t="s">
        <v>45</v>
      </c>
      <c r="G486" t="s">
        <v>60</v>
      </c>
      <c r="H486" t="s">
        <v>84</v>
      </c>
      <c r="I486" t="s">
        <v>61</v>
      </c>
      <c r="J486" s="1">
        <v>46134</v>
      </c>
      <c r="K486" s="1">
        <v>46134</v>
      </c>
      <c r="L486" s="3">
        <v>85200</v>
      </c>
      <c r="M486" s="4">
        <v>0</v>
      </c>
      <c r="N486" s="4">
        <v>0</v>
      </c>
      <c r="O486" t="s">
        <v>102</v>
      </c>
      <c r="P486">
        <v>4</v>
      </c>
      <c r="Q486" t="str">
        <f>IFERROR(VLOOKUP(E486,Lookups!$A$5:$B$24,2,FALSE),"Other")</f>
        <v>Paid Search</v>
      </c>
      <c r="R486" t="str">
        <f>IFERROR(VLOOKUP(F486,Lookups!$D$5:$F$10,2,FALSE),"Unknown Product")</f>
        <v>Service Cloud</v>
      </c>
      <c r="S486" t="str">
        <f>IFERROR(VLOOKUP(F486,Lookups!$D$5:$F$10,3,FALSE),"Unknown")</f>
        <v>Customer Service</v>
      </c>
      <c r="T486" t="str">
        <f t="shared" si="77"/>
        <v>Enterprise</v>
      </c>
      <c r="U486" t="str">
        <f t="shared" si="78"/>
        <v>Lost</v>
      </c>
      <c r="V486" s="3">
        <f t="shared" si="79"/>
        <v>0</v>
      </c>
      <c r="W486" s="3">
        <f t="shared" si="80"/>
        <v>0</v>
      </c>
      <c r="X486" s="5">
        <f t="shared" si="81"/>
        <v>34</v>
      </c>
      <c r="Y486" s="5">
        <f>IF(U486="Open",Lookups!$B$2-B486,X486)</f>
        <v>34</v>
      </c>
      <c r="Z486" t="str">
        <f t="shared" si="82"/>
        <v>OK</v>
      </c>
      <c r="AA486" t="str">
        <f t="shared" si="83"/>
        <v>2026-03</v>
      </c>
      <c r="AB486" t="str">
        <f t="shared" si="84"/>
        <v>2026-04</v>
      </c>
      <c r="AC486" t="str">
        <f t="shared" si="85"/>
        <v>Q1-2026</v>
      </c>
      <c r="AD486" s="5">
        <f t="shared" si="86"/>
        <v>74</v>
      </c>
      <c r="AE486" t="str">
        <f t="shared" si="87"/>
        <v>Lost</v>
      </c>
    </row>
    <row r="487" spans="1:31">
      <c r="A487" t="s">
        <v>589</v>
      </c>
      <c r="B487" s="1">
        <v>46107</v>
      </c>
      <c r="C487" t="s">
        <v>86</v>
      </c>
      <c r="D487" t="s">
        <v>87</v>
      </c>
      <c r="E487" t="s">
        <v>115</v>
      </c>
      <c r="F487" t="s">
        <v>59</v>
      </c>
      <c r="G487" t="s">
        <v>60</v>
      </c>
      <c r="H487" t="s">
        <v>47</v>
      </c>
      <c r="I487" t="s">
        <v>54</v>
      </c>
      <c r="J487" s="1">
        <v>46196</v>
      </c>
      <c r="K487" s="1"/>
      <c r="L487" s="3">
        <v>15600</v>
      </c>
      <c r="M487" s="4">
        <v>0.03</v>
      </c>
      <c r="N487" s="4">
        <v>0.65</v>
      </c>
      <c r="P487">
        <v>4</v>
      </c>
      <c r="Q487" t="str">
        <f>IFERROR(VLOOKUP(E487,Lookups!$A$5:$B$24,2,FALSE),"Other")</f>
        <v>Outbound</v>
      </c>
      <c r="R487" t="str">
        <f>IFERROR(VLOOKUP(F487,Lookups!$D$5:$F$10,2,FALSE),"Unknown Product")</f>
        <v>NexaCRM Pro</v>
      </c>
      <c r="S487" t="str">
        <f>IFERROR(VLOOKUP(F487,Lookups!$D$5:$F$10,3,FALSE),"Unknown")</f>
        <v>CRM</v>
      </c>
      <c r="T487" t="str">
        <f t="shared" si="77"/>
        <v>SMB</v>
      </c>
      <c r="U487" t="str">
        <f t="shared" si="78"/>
        <v>Open</v>
      </c>
      <c r="V487" s="3">
        <f t="shared" si="79"/>
        <v>0</v>
      </c>
      <c r="W487" s="3">
        <f t="shared" si="80"/>
        <v>10140</v>
      </c>
      <c r="X487" s="5" t="str">
        <f t="shared" si="81"/>
        <v/>
      </c>
      <c r="Y487" s="5">
        <f>IF(U487="Open",Lookups!$B$2-B487,X487)</f>
        <v>159</v>
      </c>
      <c r="Z487" t="str">
        <f t="shared" si="82"/>
        <v>STALE</v>
      </c>
      <c r="AA487" t="str">
        <f t="shared" si="83"/>
        <v>2026-03</v>
      </c>
      <c r="AB487" t="str">
        <f t="shared" si="84"/>
        <v/>
      </c>
      <c r="AC487" t="str">
        <f t="shared" si="85"/>
        <v>Q1-2026</v>
      </c>
      <c r="AD487" s="5">
        <f t="shared" si="86"/>
        <v>43</v>
      </c>
      <c r="AE487" t="str">
        <f t="shared" si="87"/>
        <v>Best Case</v>
      </c>
    </row>
    <row r="488" spans="1:31">
      <c r="A488" t="s">
        <v>590</v>
      </c>
      <c r="B488" s="1">
        <v>45794</v>
      </c>
      <c r="C488" t="s">
        <v>86</v>
      </c>
      <c r="D488" t="s">
        <v>87</v>
      </c>
      <c r="E488" t="s">
        <v>166</v>
      </c>
      <c r="F488" t="s">
        <v>133</v>
      </c>
      <c r="G488" t="s">
        <v>112</v>
      </c>
      <c r="H488" t="s">
        <v>47</v>
      </c>
      <c r="I488" t="s">
        <v>61</v>
      </c>
      <c r="J488" s="1">
        <v>45823</v>
      </c>
      <c r="K488" s="1">
        <v>45823</v>
      </c>
      <c r="L488" s="3">
        <v>16900</v>
      </c>
      <c r="M488" s="4">
        <v>0</v>
      </c>
      <c r="N488" s="4">
        <v>0</v>
      </c>
      <c r="O488" t="s">
        <v>62</v>
      </c>
      <c r="P488">
        <v>4</v>
      </c>
      <c r="Q488" t="str">
        <f>IFERROR(VLOOKUP(E488,Lookups!$A$5:$B$24,2,FALSE),"Other")</f>
        <v>Referral</v>
      </c>
      <c r="R488" t="str">
        <f>IFERROR(VLOOKUP(F488,Lookups!$D$5:$F$10,2,FALSE),"Unknown Product")</f>
        <v>Analytics Plus</v>
      </c>
      <c r="S488" t="str">
        <f>IFERROR(VLOOKUP(F488,Lookups!$D$5:$F$10,3,FALSE),"Unknown")</f>
        <v>Analytics</v>
      </c>
      <c r="T488" t="str">
        <f t="shared" si="77"/>
        <v>SMB</v>
      </c>
      <c r="U488" t="str">
        <f t="shared" si="78"/>
        <v>Lost</v>
      </c>
      <c r="V488" s="3">
        <f t="shared" si="79"/>
        <v>0</v>
      </c>
      <c r="W488" s="3">
        <f t="shared" si="80"/>
        <v>0</v>
      </c>
      <c r="X488" s="5">
        <f t="shared" si="81"/>
        <v>29</v>
      </c>
      <c r="Y488" s="5">
        <f>IF(U488="Open",Lookups!$B$2-B488,X488)</f>
        <v>29</v>
      </c>
      <c r="Z488" t="str">
        <f t="shared" si="82"/>
        <v>OK</v>
      </c>
      <c r="AA488" t="str">
        <f t="shared" si="83"/>
        <v>2025-05</v>
      </c>
      <c r="AB488" t="str">
        <f t="shared" si="84"/>
        <v>2025-06</v>
      </c>
      <c r="AC488" t="str">
        <f t="shared" si="85"/>
        <v>Q2-2025</v>
      </c>
      <c r="AD488" s="5">
        <f t="shared" si="86"/>
        <v>59</v>
      </c>
      <c r="AE488" t="str">
        <f t="shared" si="87"/>
        <v>Lost</v>
      </c>
    </row>
    <row r="489" spans="1:31">
      <c r="A489" t="s">
        <v>591</v>
      </c>
      <c r="B489" s="1">
        <v>46050</v>
      </c>
      <c r="C489" t="s">
        <v>64</v>
      </c>
      <c r="D489" t="s">
        <v>57</v>
      </c>
      <c r="E489" t="s">
        <v>127</v>
      </c>
      <c r="F489" t="s">
        <v>45</v>
      </c>
      <c r="G489" t="s">
        <v>99</v>
      </c>
      <c r="H489" t="s">
        <v>53</v>
      </c>
      <c r="I489" t="s">
        <v>77</v>
      </c>
      <c r="J489" s="1">
        <v>46108</v>
      </c>
      <c r="K489" s="1">
        <v>46108</v>
      </c>
      <c r="L489" s="3">
        <v>25200</v>
      </c>
      <c r="M489" s="4">
        <v>0.03</v>
      </c>
      <c r="N489" s="4">
        <v>1</v>
      </c>
      <c r="P489">
        <v>6</v>
      </c>
      <c r="Q489" t="str">
        <f>IFERROR(VLOOKUP(E489,Lookups!$A$5:$B$24,2,FALSE),"Other")</f>
        <v>Paid Search</v>
      </c>
      <c r="R489" t="str">
        <f>IFERROR(VLOOKUP(F489,Lookups!$D$5:$F$10,2,FALSE),"Unknown Product")</f>
        <v>Service Cloud</v>
      </c>
      <c r="S489" t="str">
        <f>IFERROR(VLOOKUP(F489,Lookups!$D$5:$F$10,3,FALSE),"Unknown")</f>
        <v>Customer Service</v>
      </c>
      <c r="T489" t="str">
        <f t="shared" si="77"/>
        <v>Mid-Market</v>
      </c>
      <c r="U489" t="str">
        <f t="shared" si="78"/>
        <v>Won</v>
      </c>
      <c r="V489" s="3">
        <f t="shared" si="79"/>
        <v>24444</v>
      </c>
      <c r="W489" s="3">
        <f t="shared" si="80"/>
        <v>0</v>
      </c>
      <c r="X489" s="5">
        <f t="shared" si="81"/>
        <v>58</v>
      </c>
      <c r="Y489" s="5">
        <f>IF(U489="Open",Lookups!$B$2-B489,X489)</f>
        <v>58</v>
      </c>
      <c r="Z489" t="str">
        <f t="shared" si="82"/>
        <v>OK</v>
      </c>
      <c r="AA489" t="str">
        <f t="shared" si="83"/>
        <v>2026-01</v>
      </c>
      <c r="AB489" t="str">
        <f t="shared" si="84"/>
        <v>2026-03</v>
      </c>
      <c r="AC489" t="str">
        <f t="shared" si="85"/>
        <v>Q1-2026</v>
      </c>
      <c r="AD489" s="5">
        <f t="shared" si="86"/>
        <v>59</v>
      </c>
      <c r="AE489" t="str">
        <f t="shared" si="87"/>
        <v>Won</v>
      </c>
    </row>
    <row r="490" spans="1:31">
      <c r="A490" t="s">
        <v>592</v>
      </c>
      <c r="B490" s="1">
        <v>45671</v>
      </c>
      <c r="C490" t="s">
        <v>90</v>
      </c>
      <c r="D490" t="s">
        <v>57</v>
      </c>
      <c r="E490" t="s">
        <v>119</v>
      </c>
      <c r="F490" t="s">
        <v>133</v>
      </c>
      <c r="G490" t="s">
        <v>46</v>
      </c>
      <c r="H490" t="s">
        <v>47</v>
      </c>
      <c r="I490" t="s">
        <v>61</v>
      </c>
      <c r="J490" s="1">
        <v>45714</v>
      </c>
      <c r="K490" s="1">
        <v>45714</v>
      </c>
      <c r="L490" s="3">
        <v>24600</v>
      </c>
      <c r="M490" s="4">
        <v>0</v>
      </c>
      <c r="N490" s="4">
        <v>0</v>
      </c>
      <c r="O490" t="s">
        <v>62</v>
      </c>
      <c r="P490">
        <v>5</v>
      </c>
      <c r="Q490" t="str">
        <f>IFERROR(VLOOKUP(E490,Lookups!$A$5:$B$24,2,FALSE),"Other")</f>
        <v>Referral</v>
      </c>
      <c r="R490" t="str">
        <f>IFERROR(VLOOKUP(F490,Lookups!$D$5:$F$10,2,FALSE),"Unknown Product")</f>
        <v>Analytics Plus</v>
      </c>
      <c r="S490" t="str">
        <f>IFERROR(VLOOKUP(F490,Lookups!$D$5:$F$10,3,FALSE),"Unknown")</f>
        <v>Analytics</v>
      </c>
      <c r="T490" t="str">
        <f t="shared" si="77"/>
        <v>Mid-Market</v>
      </c>
      <c r="U490" t="str">
        <f t="shared" si="78"/>
        <v>Lost</v>
      </c>
      <c r="V490" s="3">
        <f t="shared" si="79"/>
        <v>0</v>
      </c>
      <c r="W490" s="3">
        <f t="shared" si="80"/>
        <v>0</v>
      </c>
      <c r="X490" s="5">
        <f t="shared" si="81"/>
        <v>43</v>
      </c>
      <c r="Y490" s="5">
        <f>IF(U490="Open",Lookups!$B$2-B490,X490)</f>
        <v>43</v>
      </c>
      <c r="Z490" t="str">
        <f t="shared" si="82"/>
        <v>OK</v>
      </c>
      <c r="AA490" t="str">
        <f t="shared" si="83"/>
        <v>2025-01</v>
      </c>
      <c r="AB490" t="str">
        <f t="shared" si="84"/>
        <v>2025-02</v>
      </c>
      <c r="AC490" t="str">
        <f t="shared" si="85"/>
        <v>Q1-2025</v>
      </c>
      <c r="AD490" s="5">
        <f t="shared" si="86"/>
        <v>62</v>
      </c>
      <c r="AE490" t="str">
        <f t="shared" si="87"/>
        <v>Lost</v>
      </c>
    </row>
    <row r="491" spans="1:31">
      <c r="A491" t="s">
        <v>593</v>
      </c>
      <c r="B491" s="1">
        <v>46173</v>
      </c>
      <c r="C491" t="s">
        <v>90</v>
      </c>
      <c r="D491" t="s">
        <v>57</v>
      </c>
      <c r="E491" t="s">
        <v>127</v>
      </c>
      <c r="F491" t="s">
        <v>52</v>
      </c>
      <c r="G491" t="s">
        <v>46</v>
      </c>
      <c r="H491" t="s">
        <v>53</v>
      </c>
      <c r="I491" t="s">
        <v>105</v>
      </c>
      <c r="J491" s="1">
        <v>46230</v>
      </c>
      <c r="K491" s="1"/>
      <c r="L491" s="3">
        <v>14800</v>
      </c>
      <c r="M491" s="4">
        <v>0</v>
      </c>
      <c r="N491" s="4">
        <v>0.4</v>
      </c>
      <c r="P491">
        <v>3</v>
      </c>
      <c r="Q491" t="str">
        <f>IFERROR(VLOOKUP(E491,Lookups!$A$5:$B$24,2,FALSE),"Other")</f>
        <v>Paid Search</v>
      </c>
      <c r="R491" t="str">
        <f>IFERROR(VLOOKUP(F491,Lookups!$D$5:$F$10,2,FALSE),"Unknown Product")</f>
        <v>NexaCRM Core</v>
      </c>
      <c r="S491" t="str">
        <f>IFERROR(VLOOKUP(F491,Lookups!$D$5:$F$10,3,FALSE),"Unknown")</f>
        <v>CRM</v>
      </c>
      <c r="T491" t="str">
        <f t="shared" si="77"/>
        <v>SMB</v>
      </c>
      <c r="U491" t="str">
        <f t="shared" si="78"/>
        <v>Open</v>
      </c>
      <c r="V491" s="3">
        <f t="shared" si="79"/>
        <v>0</v>
      </c>
      <c r="W491" s="3">
        <f t="shared" si="80"/>
        <v>5920</v>
      </c>
      <c r="X491" s="5" t="str">
        <f t="shared" si="81"/>
        <v/>
      </c>
      <c r="Y491" s="5">
        <f>IF(U491="Open",Lookups!$B$2-B491,X491)</f>
        <v>93</v>
      </c>
      <c r="Z491" t="str">
        <f t="shared" si="82"/>
        <v>STALE</v>
      </c>
      <c r="AA491" t="str">
        <f t="shared" si="83"/>
        <v>2026-05</v>
      </c>
      <c r="AB491" t="str">
        <f t="shared" si="84"/>
        <v/>
      </c>
      <c r="AC491" t="str">
        <f t="shared" si="85"/>
        <v>Q2-2026</v>
      </c>
      <c r="AD491" s="5">
        <f t="shared" si="86"/>
        <v>51</v>
      </c>
      <c r="AE491" t="str">
        <f t="shared" si="87"/>
        <v>Pipeline</v>
      </c>
    </row>
    <row r="492" spans="1:31">
      <c r="A492" t="s">
        <v>594</v>
      </c>
      <c r="B492" s="1">
        <v>45845</v>
      </c>
      <c r="C492" t="s">
        <v>42</v>
      </c>
      <c r="D492" t="s">
        <v>43</v>
      </c>
      <c r="E492" t="s">
        <v>58</v>
      </c>
      <c r="F492" t="s">
        <v>59</v>
      </c>
      <c r="G492" t="s">
        <v>94</v>
      </c>
      <c r="H492" t="s">
        <v>47</v>
      </c>
      <c r="I492" t="s">
        <v>61</v>
      </c>
      <c r="J492" s="1">
        <v>45883</v>
      </c>
      <c r="K492" s="1">
        <v>45883</v>
      </c>
      <c r="L492" s="3">
        <v>13000</v>
      </c>
      <c r="M492" s="4">
        <v>0</v>
      </c>
      <c r="N492" s="4">
        <v>0</v>
      </c>
      <c r="O492" t="s">
        <v>81</v>
      </c>
      <c r="P492">
        <v>3</v>
      </c>
      <c r="Q492" t="str">
        <f>IFERROR(VLOOKUP(E492,Lookups!$A$5:$B$24,2,FALSE),"Other")</f>
        <v>Email</v>
      </c>
      <c r="R492" t="str">
        <f>IFERROR(VLOOKUP(F492,Lookups!$D$5:$F$10,2,FALSE),"Unknown Product")</f>
        <v>NexaCRM Pro</v>
      </c>
      <c r="S492" t="str">
        <f>IFERROR(VLOOKUP(F492,Lookups!$D$5:$F$10,3,FALSE),"Unknown")</f>
        <v>CRM</v>
      </c>
      <c r="T492" t="str">
        <f t="shared" si="77"/>
        <v>SMB</v>
      </c>
      <c r="U492" t="str">
        <f t="shared" si="78"/>
        <v>Lost</v>
      </c>
      <c r="V492" s="3">
        <f t="shared" si="79"/>
        <v>0</v>
      </c>
      <c r="W492" s="3">
        <f t="shared" si="80"/>
        <v>0</v>
      </c>
      <c r="X492" s="5">
        <f t="shared" si="81"/>
        <v>38</v>
      </c>
      <c r="Y492" s="5">
        <f>IF(U492="Open",Lookups!$B$2-B492,X492)</f>
        <v>38</v>
      </c>
      <c r="Z492" t="str">
        <f t="shared" si="82"/>
        <v>OK</v>
      </c>
      <c r="AA492" t="str">
        <f t="shared" si="83"/>
        <v>2025-07</v>
      </c>
      <c r="AB492" t="str">
        <f t="shared" si="84"/>
        <v>2025-08</v>
      </c>
      <c r="AC492" t="str">
        <f t="shared" si="85"/>
        <v>Q3-2025</v>
      </c>
      <c r="AD492" s="5">
        <f t="shared" si="86"/>
        <v>47</v>
      </c>
      <c r="AE492" t="str">
        <f t="shared" si="87"/>
        <v>Lost</v>
      </c>
    </row>
    <row r="493" spans="1:31">
      <c r="A493" t="s">
        <v>595</v>
      </c>
      <c r="B493" s="1">
        <v>46245</v>
      </c>
      <c r="C493" t="s">
        <v>56</v>
      </c>
      <c r="D493" t="s">
        <v>57</v>
      </c>
      <c r="E493" t="s">
        <v>160</v>
      </c>
      <c r="F493" t="s">
        <v>52</v>
      </c>
      <c r="G493" t="s">
        <v>60</v>
      </c>
      <c r="H493" t="s">
        <v>47</v>
      </c>
      <c r="I493" t="s">
        <v>61</v>
      </c>
      <c r="J493" s="1">
        <v>46266</v>
      </c>
      <c r="K493" s="1">
        <v>46266</v>
      </c>
      <c r="L493" s="3">
        <v>9400</v>
      </c>
      <c r="M493" s="4">
        <v>0</v>
      </c>
      <c r="N493" s="4">
        <v>0</v>
      </c>
      <c r="O493" t="s">
        <v>81</v>
      </c>
      <c r="P493">
        <v>3</v>
      </c>
      <c r="Q493" t="str">
        <f>IFERROR(VLOOKUP(E493,Lookups!$A$5:$B$24,2,FALSE),"Other")</f>
        <v>Email</v>
      </c>
      <c r="R493" t="str">
        <f>IFERROR(VLOOKUP(F493,Lookups!$D$5:$F$10,2,FALSE),"Unknown Product")</f>
        <v>NexaCRM Core</v>
      </c>
      <c r="S493" t="str">
        <f>IFERROR(VLOOKUP(F493,Lookups!$D$5:$F$10,3,FALSE),"Unknown")</f>
        <v>CRM</v>
      </c>
      <c r="T493" t="str">
        <f t="shared" si="77"/>
        <v>SMB</v>
      </c>
      <c r="U493" t="str">
        <f t="shared" si="78"/>
        <v>Lost</v>
      </c>
      <c r="V493" s="3">
        <f t="shared" si="79"/>
        <v>0</v>
      </c>
      <c r="W493" s="3">
        <f t="shared" si="80"/>
        <v>0</v>
      </c>
      <c r="X493" s="5">
        <f t="shared" si="81"/>
        <v>21</v>
      </c>
      <c r="Y493" s="5">
        <f>IF(U493="Open",Lookups!$B$2-B493,X493)</f>
        <v>21</v>
      </c>
      <c r="Z493" t="str">
        <f t="shared" si="82"/>
        <v>OK</v>
      </c>
      <c r="AA493" t="str">
        <f t="shared" si="83"/>
        <v>2026-08</v>
      </c>
      <c r="AB493" t="str">
        <f t="shared" si="84"/>
        <v>2026-09</v>
      </c>
      <c r="AC493" t="str">
        <f t="shared" si="85"/>
        <v>Q3-2026</v>
      </c>
      <c r="AD493" s="5">
        <f t="shared" si="86"/>
        <v>47</v>
      </c>
      <c r="AE493" t="str">
        <f t="shared" si="87"/>
        <v>Lost</v>
      </c>
    </row>
    <row r="494" spans="1:31">
      <c r="A494" t="s">
        <v>596</v>
      </c>
      <c r="B494" s="1">
        <v>46171</v>
      </c>
      <c r="C494" t="s">
        <v>90</v>
      </c>
      <c r="D494" t="s">
        <v>57</v>
      </c>
      <c r="E494" t="s">
        <v>109</v>
      </c>
      <c r="F494" t="s">
        <v>59</v>
      </c>
      <c r="G494" t="s">
        <v>60</v>
      </c>
      <c r="H494" t="s">
        <v>84</v>
      </c>
      <c r="I494" t="s">
        <v>105</v>
      </c>
      <c r="J494" s="1">
        <v>46228</v>
      </c>
      <c r="K494" s="1"/>
      <c r="L494" s="3">
        <v>39300</v>
      </c>
      <c r="M494" s="4">
        <v>0</v>
      </c>
      <c r="N494" s="4">
        <v>0.4</v>
      </c>
      <c r="P494">
        <v>3</v>
      </c>
      <c r="Q494" t="str">
        <f>IFERROR(VLOOKUP(E494,Lookups!$A$5:$B$24,2,FALSE),"Other")</f>
        <v>Outbound</v>
      </c>
      <c r="R494" t="str">
        <f>IFERROR(VLOOKUP(F494,Lookups!$D$5:$F$10,2,FALSE),"Unknown Product")</f>
        <v>NexaCRM Pro</v>
      </c>
      <c r="S494" t="str">
        <f>IFERROR(VLOOKUP(F494,Lookups!$D$5:$F$10,3,FALSE),"Unknown")</f>
        <v>CRM</v>
      </c>
      <c r="T494" t="str">
        <f t="shared" si="77"/>
        <v>Mid-Market</v>
      </c>
      <c r="U494" t="str">
        <f t="shared" si="78"/>
        <v>Open</v>
      </c>
      <c r="V494" s="3">
        <f t="shared" si="79"/>
        <v>0</v>
      </c>
      <c r="W494" s="3">
        <f t="shared" si="80"/>
        <v>15720</v>
      </c>
      <c r="X494" s="5" t="str">
        <f t="shared" si="81"/>
        <v/>
      </c>
      <c r="Y494" s="5">
        <f>IF(U494="Open",Lookups!$B$2-B494,X494)</f>
        <v>95</v>
      </c>
      <c r="Z494" t="str">
        <f t="shared" si="82"/>
        <v>STALE</v>
      </c>
      <c r="AA494" t="str">
        <f t="shared" si="83"/>
        <v>2026-05</v>
      </c>
      <c r="AB494" t="str">
        <f t="shared" si="84"/>
        <v/>
      </c>
      <c r="AC494" t="str">
        <f t="shared" si="85"/>
        <v>Q2-2026</v>
      </c>
      <c r="AD494" s="5">
        <f t="shared" si="86"/>
        <v>67</v>
      </c>
      <c r="AE494" t="str">
        <f t="shared" si="87"/>
        <v>Pipeline</v>
      </c>
    </row>
    <row r="495" spans="1:31">
      <c r="A495" t="s">
        <v>597</v>
      </c>
      <c r="B495" s="1">
        <v>46244</v>
      </c>
      <c r="C495" t="s">
        <v>148</v>
      </c>
      <c r="D495" t="s">
        <v>43</v>
      </c>
      <c r="E495" t="s">
        <v>138</v>
      </c>
      <c r="F495" t="s">
        <v>52</v>
      </c>
      <c r="G495" t="s">
        <v>112</v>
      </c>
      <c r="H495" t="s">
        <v>53</v>
      </c>
      <c r="I495" t="s">
        <v>187</v>
      </c>
      <c r="J495" s="1">
        <v>46259</v>
      </c>
      <c r="K495" s="1"/>
      <c r="L495" s="3">
        <v>15700</v>
      </c>
      <c r="M495" s="4">
        <v>0.05</v>
      </c>
      <c r="N495" s="4">
        <v>0.05</v>
      </c>
      <c r="P495">
        <v>1</v>
      </c>
      <c r="Q495" t="str">
        <f>IFERROR(VLOOKUP(E495,Lookups!$A$5:$B$24,2,FALSE),"Other")</f>
        <v>Organic Search</v>
      </c>
      <c r="R495" t="str">
        <f>IFERROR(VLOOKUP(F495,Lookups!$D$5:$F$10,2,FALSE),"Unknown Product")</f>
        <v>NexaCRM Core</v>
      </c>
      <c r="S495" t="str">
        <f>IFERROR(VLOOKUP(F495,Lookups!$D$5:$F$10,3,FALSE),"Unknown")</f>
        <v>CRM</v>
      </c>
      <c r="T495" t="str">
        <f t="shared" si="77"/>
        <v>SMB</v>
      </c>
      <c r="U495" t="str">
        <f t="shared" si="78"/>
        <v>Open</v>
      </c>
      <c r="V495" s="3">
        <f t="shared" si="79"/>
        <v>0</v>
      </c>
      <c r="W495" s="3">
        <f t="shared" si="80"/>
        <v>785</v>
      </c>
      <c r="X495" s="5" t="str">
        <f t="shared" si="81"/>
        <v/>
      </c>
      <c r="Y495" s="5">
        <f>IF(U495="Open",Lookups!$B$2-B495,X495)</f>
        <v>22</v>
      </c>
      <c r="Z495" t="str">
        <f t="shared" si="82"/>
        <v>OK</v>
      </c>
      <c r="AA495" t="str">
        <f t="shared" si="83"/>
        <v>2026-08</v>
      </c>
      <c r="AB495" t="str">
        <f t="shared" si="84"/>
        <v/>
      </c>
      <c r="AC495" t="str">
        <f t="shared" si="85"/>
        <v>Q3-2026</v>
      </c>
      <c r="AD495" s="5">
        <f t="shared" si="86"/>
        <v>62</v>
      </c>
      <c r="AE495" t="str">
        <f t="shared" si="87"/>
        <v>Pipeline</v>
      </c>
    </row>
    <row r="496" spans="1:31">
      <c r="A496" t="s">
        <v>598</v>
      </c>
      <c r="B496" s="1">
        <v>46063</v>
      </c>
      <c r="C496" t="s">
        <v>90</v>
      </c>
      <c r="D496" t="s">
        <v>57</v>
      </c>
      <c r="E496" t="s">
        <v>127</v>
      </c>
      <c r="F496" t="s">
        <v>71</v>
      </c>
      <c r="G496" t="s">
        <v>72</v>
      </c>
      <c r="H496" t="s">
        <v>84</v>
      </c>
      <c r="I496" t="s">
        <v>61</v>
      </c>
      <c r="J496" s="1">
        <v>46095</v>
      </c>
      <c r="K496" s="1">
        <v>46095</v>
      </c>
      <c r="L496" s="3">
        <v>33900</v>
      </c>
      <c r="M496" s="4">
        <v>0</v>
      </c>
      <c r="N496" s="4">
        <v>0</v>
      </c>
      <c r="O496" t="s">
        <v>62</v>
      </c>
      <c r="P496">
        <v>2</v>
      </c>
      <c r="Q496" t="str">
        <f>IFERROR(VLOOKUP(E496,Lookups!$A$5:$B$24,2,FALSE),"Other")</f>
        <v>Paid Search</v>
      </c>
      <c r="R496" t="str">
        <f>IFERROR(VLOOKUP(F496,Lookups!$D$5:$F$10,2,FALSE),"Unknown Product")</f>
        <v>Marketing Automation</v>
      </c>
      <c r="S496" t="str">
        <f>IFERROR(VLOOKUP(F496,Lookups!$D$5:$F$10,3,FALSE),"Unknown")</f>
        <v>Marketing</v>
      </c>
      <c r="T496" t="str">
        <f t="shared" si="77"/>
        <v>Mid-Market</v>
      </c>
      <c r="U496" t="str">
        <f t="shared" si="78"/>
        <v>Lost</v>
      </c>
      <c r="V496" s="3">
        <f t="shared" si="79"/>
        <v>0</v>
      </c>
      <c r="W496" s="3">
        <f t="shared" si="80"/>
        <v>0</v>
      </c>
      <c r="X496" s="5">
        <f t="shared" si="81"/>
        <v>32</v>
      </c>
      <c r="Y496" s="5">
        <f>IF(U496="Open",Lookups!$B$2-B496,X496)</f>
        <v>32</v>
      </c>
      <c r="Z496" t="str">
        <f t="shared" si="82"/>
        <v>OK</v>
      </c>
      <c r="AA496" t="str">
        <f t="shared" si="83"/>
        <v>2026-02</v>
      </c>
      <c r="AB496" t="str">
        <f t="shared" si="84"/>
        <v>2026-03</v>
      </c>
      <c r="AC496" t="str">
        <f t="shared" si="85"/>
        <v>Q1-2026</v>
      </c>
      <c r="AD496" s="5">
        <f t="shared" si="86"/>
        <v>67</v>
      </c>
      <c r="AE496" t="str">
        <f t="shared" si="87"/>
        <v>Lost</v>
      </c>
    </row>
    <row r="497" spans="1:31">
      <c r="A497" t="s">
        <v>599</v>
      </c>
      <c r="B497" s="1">
        <v>45789</v>
      </c>
      <c r="C497" t="s">
        <v>50</v>
      </c>
      <c r="D497" t="s">
        <v>43</v>
      </c>
      <c r="E497" t="s">
        <v>51</v>
      </c>
      <c r="F497" t="s">
        <v>67</v>
      </c>
      <c r="G497" t="s">
        <v>94</v>
      </c>
      <c r="H497" t="s">
        <v>47</v>
      </c>
      <c r="I497" t="s">
        <v>48</v>
      </c>
      <c r="J497" s="1">
        <v>46084</v>
      </c>
      <c r="K497" s="1"/>
      <c r="L497" s="3">
        <v>35900</v>
      </c>
      <c r="M497" s="4">
        <v>0.05</v>
      </c>
      <c r="N497" s="4">
        <v>0.85</v>
      </c>
      <c r="P497">
        <v>5</v>
      </c>
      <c r="Q497" t="str">
        <f>IFERROR(VLOOKUP(E497,Lookups!$A$5:$B$24,2,FALSE),"Other")</f>
        <v>Paid Search</v>
      </c>
      <c r="R497" t="str">
        <f>IFERROR(VLOOKUP(F497,Lookups!$D$5:$F$10,2,FALSE),"Unknown Product")</f>
        <v>Revenue Operations Suite</v>
      </c>
      <c r="S497" t="str">
        <f>IFERROR(VLOOKUP(F497,Lookups!$D$5:$F$10,3,FALSE),"Unknown")</f>
        <v>Revenue Ops</v>
      </c>
      <c r="T497" t="str">
        <f t="shared" si="77"/>
        <v>Mid-Market</v>
      </c>
      <c r="U497" t="str">
        <f t="shared" si="78"/>
        <v>Open</v>
      </c>
      <c r="V497" s="3">
        <f t="shared" si="79"/>
        <v>0</v>
      </c>
      <c r="W497" s="3">
        <f t="shared" si="80"/>
        <v>30515</v>
      </c>
      <c r="X497" s="5" t="str">
        <f t="shared" si="81"/>
        <v/>
      </c>
      <c r="Y497" s="5">
        <f>IF(U497="Open",Lookups!$B$2-B497,X497)</f>
        <v>477</v>
      </c>
      <c r="Z497" t="str">
        <f t="shared" si="82"/>
        <v>STALE</v>
      </c>
      <c r="AA497" t="str">
        <f t="shared" si="83"/>
        <v>2025-05</v>
      </c>
      <c r="AB497" t="str">
        <f t="shared" si="84"/>
        <v/>
      </c>
      <c r="AC497" t="str">
        <f t="shared" si="85"/>
        <v>Q2-2025</v>
      </c>
      <c r="AD497" s="5">
        <f t="shared" si="86"/>
        <v>51</v>
      </c>
      <c r="AE497" t="str">
        <f t="shared" si="87"/>
        <v>Commit</v>
      </c>
    </row>
    <row r="498" spans="1:31">
      <c r="A498" t="s">
        <v>600</v>
      </c>
      <c r="B498" s="1">
        <v>45989</v>
      </c>
      <c r="C498" t="s">
        <v>148</v>
      </c>
      <c r="D498" t="s">
        <v>43</v>
      </c>
      <c r="E498" t="s">
        <v>92</v>
      </c>
      <c r="F498" t="s">
        <v>133</v>
      </c>
      <c r="G498" t="s">
        <v>99</v>
      </c>
      <c r="H498" t="s">
        <v>53</v>
      </c>
      <c r="I498" t="s">
        <v>61</v>
      </c>
      <c r="J498" s="1">
        <v>46019</v>
      </c>
      <c r="K498" s="1">
        <v>46019</v>
      </c>
      <c r="L498" s="3">
        <v>45500</v>
      </c>
      <c r="M498" s="4">
        <v>0</v>
      </c>
      <c r="N498" s="4">
        <v>0</v>
      </c>
      <c r="O498" t="s">
        <v>116</v>
      </c>
      <c r="P498">
        <v>5</v>
      </c>
      <c r="Q498" t="str">
        <f>IFERROR(VLOOKUP(E498,Lookups!$A$5:$B$24,2,FALSE),"Other")</f>
        <v>Webinar</v>
      </c>
      <c r="R498" t="str">
        <f>IFERROR(VLOOKUP(F498,Lookups!$D$5:$F$10,2,FALSE),"Unknown Product")</f>
        <v>Analytics Plus</v>
      </c>
      <c r="S498" t="str">
        <f>IFERROR(VLOOKUP(F498,Lookups!$D$5:$F$10,3,FALSE),"Unknown")</f>
        <v>Analytics</v>
      </c>
      <c r="T498" t="str">
        <f t="shared" si="77"/>
        <v>Mid-Market</v>
      </c>
      <c r="U498" t="str">
        <f t="shared" si="78"/>
        <v>Lost</v>
      </c>
      <c r="V498" s="3">
        <f t="shared" si="79"/>
        <v>0</v>
      </c>
      <c r="W498" s="3">
        <f t="shared" si="80"/>
        <v>0</v>
      </c>
      <c r="X498" s="5">
        <f t="shared" si="81"/>
        <v>30</v>
      </c>
      <c r="Y498" s="5">
        <f>IF(U498="Open",Lookups!$B$2-B498,X498)</f>
        <v>30</v>
      </c>
      <c r="Z498" t="str">
        <f t="shared" si="82"/>
        <v>OK</v>
      </c>
      <c r="AA498" t="str">
        <f t="shared" si="83"/>
        <v>2025-11</v>
      </c>
      <c r="AB498" t="str">
        <f t="shared" si="84"/>
        <v>2025-12</v>
      </c>
      <c r="AC498" t="str">
        <f t="shared" si="85"/>
        <v>Q4-2025</v>
      </c>
      <c r="AD498" s="5">
        <f t="shared" si="86"/>
        <v>59</v>
      </c>
      <c r="AE498" t="str">
        <f t="shared" si="87"/>
        <v>Lost</v>
      </c>
    </row>
    <row r="499" spans="1:31">
      <c r="A499" t="s">
        <v>601</v>
      </c>
      <c r="B499" s="1">
        <v>45756</v>
      </c>
      <c r="C499" t="s">
        <v>64</v>
      </c>
      <c r="D499" t="s">
        <v>57</v>
      </c>
      <c r="E499" t="s">
        <v>98</v>
      </c>
      <c r="F499" t="s">
        <v>67</v>
      </c>
      <c r="G499" t="s">
        <v>46</v>
      </c>
      <c r="H499" t="s">
        <v>47</v>
      </c>
      <c r="I499" t="s">
        <v>61</v>
      </c>
      <c r="J499" s="1">
        <v>45773</v>
      </c>
      <c r="K499" s="1">
        <v>45773</v>
      </c>
      <c r="L499" s="3">
        <v>42700</v>
      </c>
      <c r="M499" s="4">
        <v>0</v>
      </c>
      <c r="N499" s="4">
        <v>0</v>
      </c>
      <c r="O499" t="s">
        <v>102</v>
      </c>
      <c r="P499">
        <v>4</v>
      </c>
      <c r="Q499" t="str">
        <f>IFERROR(VLOOKUP(E499,Lookups!$A$5:$B$24,2,FALSE),"Other")</f>
        <v>Outbound</v>
      </c>
      <c r="R499" t="str">
        <f>IFERROR(VLOOKUP(F499,Lookups!$D$5:$F$10,2,FALSE),"Unknown Product")</f>
        <v>Revenue Operations Suite</v>
      </c>
      <c r="S499" t="str">
        <f>IFERROR(VLOOKUP(F499,Lookups!$D$5:$F$10,3,FALSE),"Unknown")</f>
        <v>Revenue Ops</v>
      </c>
      <c r="T499" t="str">
        <f t="shared" si="77"/>
        <v>Mid-Market</v>
      </c>
      <c r="U499" t="str">
        <f t="shared" si="78"/>
        <v>Lost</v>
      </c>
      <c r="V499" s="3">
        <f t="shared" si="79"/>
        <v>0</v>
      </c>
      <c r="W499" s="3">
        <f t="shared" si="80"/>
        <v>0</v>
      </c>
      <c r="X499" s="5">
        <f t="shared" si="81"/>
        <v>17</v>
      </c>
      <c r="Y499" s="5">
        <f>IF(U499="Open",Lookups!$B$2-B499,X499)</f>
        <v>17</v>
      </c>
      <c r="Z499" t="str">
        <f t="shared" si="82"/>
        <v>OK</v>
      </c>
      <c r="AA499" t="str">
        <f t="shared" si="83"/>
        <v>2025-04</v>
      </c>
      <c r="AB499" t="str">
        <f t="shared" si="84"/>
        <v>2025-04</v>
      </c>
      <c r="AC499" t="str">
        <f t="shared" si="85"/>
        <v>Q2-2025</v>
      </c>
      <c r="AD499" s="5">
        <f t="shared" si="86"/>
        <v>51</v>
      </c>
      <c r="AE499" t="str">
        <f t="shared" si="87"/>
        <v>Lost</v>
      </c>
    </row>
    <row r="500" spans="1:31">
      <c r="A500" t="s">
        <v>602</v>
      </c>
      <c r="B500" s="1">
        <v>46133</v>
      </c>
      <c r="C500" t="s">
        <v>69</v>
      </c>
      <c r="D500" t="s">
        <v>57</v>
      </c>
      <c r="E500" t="s">
        <v>51</v>
      </c>
      <c r="F500" t="s">
        <v>59</v>
      </c>
      <c r="G500" t="s">
        <v>46</v>
      </c>
      <c r="H500" t="s">
        <v>84</v>
      </c>
      <c r="I500" t="s">
        <v>61</v>
      </c>
      <c r="J500" s="1">
        <v>46180</v>
      </c>
      <c r="K500" s="1">
        <v>46180</v>
      </c>
      <c r="L500" s="3">
        <v>74500</v>
      </c>
      <c r="M500" s="4">
        <v>0</v>
      </c>
      <c r="N500" s="4">
        <v>0</v>
      </c>
      <c r="O500" t="s">
        <v>81</v>
      </c>
      <c r="P500">
        <v>3</v>
      </c>
      <c r="Q500" t="str">
        <f>IFERROR(VLOOKUP(E500,Lookups!$A$5:$B$24,2,FALSE),"Other")</f>
        <v>Paid Search</v>
      </c>
      <c r="R500" t="str">
        <f>IFERROR(VLOOKUP(F500,Lookups!$D$5:$F$10,2,FALSE),"Unknown Product")</f>
        <v>NexaCRM Pro</v>
      </c>
      <c r="S500" t="str">
        <f>IFERROR(VLOOKUP(F500,Lookups!$D$5:$F$10,3,FALSE),"Unknown")</f>
        <v>CRM</v>
      </c>
      <c r="T500" t="str">
        <f t="shared" si="77"/>
        <v>Enterprise</v>
      </c>
      <c r="U500" t="str">
        <f t="shared" si="78"/>
        <v>Lost</v>
      </c>
      <c r="V500" s="3">
        <f t="shared" si="79"/>
        <v>0</v>
      </c>
      <c r="W500" s="3">
        <f t="shared" si="80"/>
        <v>0</v>
      </c>
      <c r="X500" s="5">
        <f t="shared" si="81"/>
        <v>47</v>
      </c>
      <c r="Y500" s="5">
        <f>IF(U500="Open",Lookups!$B$2-B500,X500)</f>
        <v>47</v>
      </c>
      <c r="Z500" t="str">
        <f t="shared" si="82"/>
        <v>OK</v>
      </c>
      <c r="AA500" t="str">
        <f t="shared" si="83"/>
        <v>2026-04</v>
      </c>
      <c r="AB500" t="str">
        <f t="shared" si="84"/>
        <v>2026-06</v>
      </c>
      <c r="AC500" t="str">
        <f t="shared" si="85"/>
        <v>Q2-2026</v>
      </c>
      <c r="AD500" s="5">
        <f t="shared" si="86"/>
        <v>74</v>
      </c>
      <c r="AE500" t="str">
        <f t="shared" si="87"/>
        <v>Lost</v>
      </c>
    </row>
    <row r="501" spans="1:31">
      <c r="A501" t="s">
        <v>603</v>
      </c>
      <c r="B501" s="1">
        <v>45990</v>
      </c>
      <c r="C501" t="s">
        <v>56</v>
      </c>
      <c r="D501" t="s">
        <v>57</v>
      </c>
      <c r="E501" t="s">
        <v>58</v>
      </c>
      <c r="F501" t="s">
        <v>52</v>
      </c>
      <c r="G501" t="s">
        <v>76</v>
      </c>
      <c r="H501" t="s">
        <v>47</v>
      </c>
      <c r="I501" t="s">
        <v>48</v>
      </c>
      <c r="J501" s="1">
        <v>46225</v>
      </c>
      <c r="K501" s="1"/>
      <c r="L501" s="3">
        <v>6400</v>
      </c>
      <c r="M501" s="4">
        <v>0.03</v>
      </c>
      <c r="N501" s="4">
        <v>0.85</v>
      </c>
      <c r="P501">
        <v>5</v>
      </c>
      <c r="Q501" t="str">
        <f>IFERROR(VLOOKUP(E501,Lookups!$A$5:$B$24,2,FALSE),"Other")</f>
        <v>Email</v>
      </c>
      <c r="R501" t="str">
        <f>IFERROR(VLOOKUP(F501,Lookups!$D$5:$F$10,2,FALSE),"Unknown Product")</f>
        <v>NexaCRM Core</v>
      </c>
      <c r="S501" t="str">
        <f>IFERROR(VLOOKUP(F501,Lookups!$D$5:$F$10,3,FALSE),"Unknown")</f>
        <v>CRM</v>
      </c>
      <c r="T501" t="str">
        <f t="shared" si="77"/>
        <v>SMB</v>
      </c>
      <c r="U501" t="str">
        <f t="shared" si="78"/>
        <v>Open</v>
      </c>
      <c r="V501" s="3">
        <f t="shared" si="79"/>
        <v>0</v>
      </c>
      <c r="W501" s="3">
        <f t="shared" si="80"/>
        <v>5440</v>
      </c>
      <c r="X501" s="5" t="str">
        <f t="shared" si="81"/>
        <v/>
      </c>
      <c r="Y501" s="5">
        <f>IF(U501="Open",Lookups!$B$2-B501,X501)</f>
        <v>276</v>
      </c>
      <c r="Z501" t="str">
        <f t="shared" si="82"/>
        <v>STALE</v>
      </c>
      <c r="AA501" t="str">
        <f t="shared" si="83"/>
        <v>2025-11</v>
      </c>
      <c r="AB501" t="str">
        <f t="shared" si="84"/>
        <v/>
      </c>
      <c r="AC501" t="str">
        <f t="shared" si="85"/>
        <v>Q4-2025</v>
      </c>
      <c r="AD501" s="5">
        <f t="shared" si="86"/>
        <v>47</v>
      </c>
      <c r="AE501" t="str">
        <f t="shared" si="87"/>
        <v>Commit</v>
      </c>
    </row>
    <row r="502" spans="1:31">
      <c r="A502" t="s">
        <v>604</v>
      </c>
      <c r="B502" s="1">
        <v>45764</v>
      </c>
      <c r="C502" t="s">
        <v>86</v>
      </c>
      <c r="D502" t="s">
        <v>87</v>
      </c>
      <c r="E502" t="s">
        <v>70</v>
      </c>
      <c r="F502" t="s">
        <v>71</v>
      </c>
      <c r="G502" t="s">
        <v>46</v>
      </c>
      <c r="H502" t="s">
        <v>53</v>
      </c>
      <c r="I502" t="s">
        <v>61</v>
      </c>
      <c r="J502" s="1">
        <v>45810</v>
      </c>
      <c r="K502" s="1">
        <v>45810</v>
      </c>
      <c r="L502" s="3">
        <v>25700</v>
      </c>
      <c r="M502" s="4">
        <v>0</v>
      </c>
      <c r="N502" s="4">
        <v>0</v>
      </c>
      <c r="O502" t="s">
        <v>79</v>
      </c>
      <c r="P502">
        <v>3</v>
      </c>
      <c r="Q502" t="str">
        <f>IFERROR(VLOOKUP(E502,Lookups!$A$5:$B$24,2,FALSE),"Other")</f>
        <v>LinkedIn</v>
      </c>
      <c r="R502" t="str">
        <f>IFERROR(VLOOKUP(F502,Lookups!$D$5:$F$10,2,FALSE),"Unknown Product")</f>
        <v>Marketing Automation</v>
      </c>
      <c r="S502" t="str">
        <f>IFERROR(VLOOKUP(F502,Lookups!$D$5:$F$10,3,FALSE),"Unknown")</f>
        <v>Marketing</v>
      </c>
      <c r="T502" t="str">
        <f t="shared" si="77"/>
        <v>Mid-Market</v>
      </c>
      <c r="U502" t="str">
        <f t="shared" si="78"/>
        <v>Lost</v>
      </c>
      <c r="V502" s="3">
        <f t="shared" si="79"/>
        <v>0</v>
      </c>
      <c r="W502" s="3">
        <f t="shared" si="80"/>
        <v>0</v>
      </c>
      <c r="X502" s="5">
        <f t="shared" si="81"/>
        <v>46</v>
      </c>
      <c r="Y502" s="5">
        <f>IF(U502="Open",Lookups!$B$2-B502,X502)</f>
        <v>46</v>
      </c>
      <c r="Z502" t="str">
        <f t="shared" si="82"/>
        <v>OK</v>
      </c>
      <c r="AA502" t="str">
        <f t="shared" si="83"/>
        <v>2025-04</v>
      </c>
      <c r="AB502" t="str">
        <f t="shared" si="84"/>
        <v>2025-06</v>
      </c>
      <c r="AC502" t="str">
        <f t="shared" si="85"/>
        <v>Q2-2025</v>
      </c>
      <c r="AD502" s="5">
        <f t="shared" si="86"/>
        <v>59</v>
      </c>
      <c r="AE502" t="str">
        <f t="shared" si="87"/>
        <v>Lost</v>
      </c>
    </row>
    <row r="503" spans="1:31">
      <c r="A503" t="s">
        <v>605</v>
      </c>
      <c r="B503" s="1">
        <v>46144</v>
      </c>
      <c r="C503" t="s">
        <v>86</v>
      </c>
      <c r="D503" t="s">
        <v>87</v>
      </c>
      <c r="E503" t="s">
        <v>127</v>
      </c>
      <c r="F503" t="s">
        <v>133</v>
      </c>
      <c r="G503" t="s">
        <v>112</v>
      </c>
      <c r="H503" t="s">
        <v>53</v>
      </c>
      <c r="I503" t="s">
        <v>61</v>
      </c>
      <c r="J503" s="1">
        <v>46163</v>
      </c>
      <c r="K503" s="1">
        <v>46163</v>
      </c>
      <c r="L503" s="3">
        <v>48500</v>
      </c>
      <c r="M503" s="4">
        <v>0</v>
      </c>
      <c r="N503" s="4">
        <v>0</v>
      </c>
      <c r="O503" t="s">
        <v>102</v>
      </c>
      <c r="P503">
        <v>3</v>
      </c>
      <c r="Q503" t="str">
        <f>IFERROR(VLOOKUP(E503,Lookups!$A$5:$B$24,2,FALSE),"Other")</f>
        <v>Paid Search</v>
      </c>
      <c r="R503" t="str">
        <f>IFERROR(VLOOKUP(F503,Lookups!$D$5:$F$10,2,FALSE),"Unknown Product")</f>
        <v>Analytics Plus</v>
      </c>
      <c r="S503" t="str">
        <f>IFERROR(VLOOKUP(F503,Lookups!$D$5:$F$10,3,FALSE),"Unknown")</f>
        <v>Analytics</v>
      </c>
      <c r="T503" t="str">
        <f t="shared" si="77"/>
        <v>Mid-Market</v>
      </c>
      <c r="U503" t="str">
        <f t="shared" si="78"/>
        <v>Lost</v>
      </c>
      <c r="V503" s="3">
        <f t="shared" si="79"/>
        <v>0</v>
      </c>
      <c r="W503" s="3">
        <f t="shared" si="80"/>
        <v>0</v>
      </c>
      <c r="X503" s="5">
        <f t="shared" si="81"/>
        <v>19</v>
      </c>
      <c r="Y503" s="5">
        <f>IF(U503="Open",Lookups!$B$2-B503,X503)</f>
        <v>19</v>
      </c>
      <c r="Z503" t="str">
        <f t="shared" si="82"/>
        <v>OK</v>
      </c>
      <c r="AA503" t="str">
        <f t="shared" si="83"/>
        <v>2026-05</v>
      </c>
      <c r="AB503" t="str">
        <f t="shared" si="84"/>
        <v>2026-05</v>
      </c>
      <c r="AC503" t="str">
        <f t="shared" si="85"/>
        <v>Q2-2026</v>
      </c>
      <c r="AD503" s="5">
        <f t="shared" si="86"/>
        <v>64</v>
      </c>
      <c r="AE503" t="str">
        <f t="shared" si="87"/>
        <v>Lost</v>
      </c>
    </row>
    <row r="504" spans="1:31">
      <c r="A504" t="s">
        <v>606</v>
      </c>
      <c r="B504" s="1">
        <v>45739</v>
      </c>
      <c r="C504" t="s">
        <v>69</v>
      </c>
      <c r="D504" t="s">
        <v>57</v>
      </c>
      <c r="E504" t="s">
        <v>65</v>
      </c>
      <c r="F504" t="s">
        <v>133</v>
      </c>
      <c r="G504" t="s">
        <v>112</v>
      </c>
      <c r="H504" t="s">
        <v>53</v>
      </c>
      <c r="I504" t="s">
        <v>77</v>
      </c>
      <c r="J504" s="1">
        <v>45782</v>
      </c>
      <c r="K504" s="1">
        <v>45782</v>
      </c>
      <c r="L504" s="3">
        <v>31800</v>
      </c>
      <c r="M504" s="4">
        <v>0.05</v>
      </c>
      <c r="N504" s="4">
        <v>1</v>
      </c>
      <c r="P504">
        <v>6</v>
      </c>
      <c r="Q504" t="str">
        <f>IFERROR(VLOOKUP(E504,Lookups!$A$5:$B$24,2,FALSE),"Other")</f>
        <v>Paid Search</v>
      </c>
      <c r="R504" t="str">
        <f>IFERROR(VLOOKUP(F504,Lookups!$D$5:$F$10,2,FALSE),"Unknown Product")</f>
        <v>Analytics Plus</v>
      </c>
      <c r="S504" t="str">
        <f>IFERROR(VLOOKUP(F504,Lookups!$D$5:$F$10,3,FALSE),"Unknown")</f>
        <v>Analytics</v>
      </c>
      <c r="T504" t="str">
        <f t="shared" si="77"/>
        <v>Mid-Market</v>
      </c>
      <c r="U504" t="str">
        <f t="shared" si="78"/>
        <v>Won</v>
      </c>
      <c r="V504" s="3">
        <f t="shared" si="79"/>
        <v>30210</v>
      </c>
      <c r="W504" s="3">
        <f t="shared" si="80"/>
        <v>0</v>
      </c>
      <c r="X504" s="5">
        <f t="shared" si="81"/>
        <v>43</v>
      </c>
      <c r="Y504" s="5">
        <f>IF(U504="Open",Lookups!$B$2-B504,X504)</f>
        <v>43</v>
      </c>
      <c r="Z504" t="str">
        <f t="shared" si="82"/>
        <v>OK</v>
      </c>
      <c r="AA504" t="str">
        <f t="shared" si="83"/>
        <v>2025-03</v>
      </c>
      <c r="AB504" t="str">
        <f t="shared" si="84"/>
        <v>2025-05</v>
      </c>
      <c r="AC504" t="str">
        <f t="shared" si="85"/>
        <v>Q1-2025</v>
      </c>
      <c r="AD504" s="5">
        <f t="shared" si="86"/>
        <v>64</v>
      </c>
      <c r="AE504" t="str">
        <f t="shared" si="87"/>
        <v>Won</v>
      </c>
    </row>
    <row r="505" spans="1:31">
      <c r="A505" t="s">
        <v>607</v>
      </c>
      <c r="B505" s="1">
        <v>45959</v>
      </c>
      <c r="C505" t="s">
        <v>86</v>
      </c>
      <c r="D505" t="s">
        <v>87</v>
      </c>
      <c r="E505" t="s">
        <v>127</v>
      </c>
      <c r="F505" t="s">
        <v>67</v>
      </c>
      <c r="G505" t="s">
        <v>76</v>
      </c>
      <c r="H505" t="s">
        <v>47</v>
      </c>
      <c r="I505" t="s">
        <v>61</v>
      </c>
      <c r="J505" s="1">
        <v>45996</v>
      </c>
      <c r="K505" s="1">
        <v>45996</v>
      </c>
      <c r="L505" s="3">
        <v>39700</v>
      </c>
      <c r="M505" s="4">
        <v>0</v>
      </c>
      <c r="N505" s="4">
        <v>0</v>
      </c>
      <c r="O505" t="s">
        <v>110</v>
      </c>
      <c r="P505">
        <v>5</v>
      </c>
      <c r="Q505" t="str">
        <f>IFERROR(VLOOKUP(E505,Lookups!$A$5:$B$24,2,FALSE),"Other")</f>
        <v>Paid Search</v>
      </c>
      <c r="R505" t="str">
        <f>IFERROR(VLOOKUP(F505,Lookups!$D$5:$F$10,2,FALSE),"Unknown Product")</f>
        <v>Revenue Operations Suite</v>
      </c>
      <c r="S505" t="str">
        <f>IFERROR(VLOOKUP(F505,Lookups!$D$5:$F$10,3,FALSE),"Unknown")</f>
        <v>Revenue Ops</v>
      </c>
      <c r="T505" t="str">
        <f t="shared" si="77"/>
        <v>Mid-Market</v>
      </c>
      <c r="U505" t="str">
        <f t="shared" si="78"/>
        <v>Lost</v>
      </c>
      <c r="V505" s="3">
        <f t="shared" si="79"/>
        <v>0</v>
      </c>
      <c r="W505" s="3">
        <f t="shared" si="80"/>
        <v>0</v>
      </c>
      <c r="X505" s="5">
        <f t="shared" si="81"/>
        <v>37</v>
      </c>
      <c r="Y505" s="5">
        <f>IF(U505="Open",Lookups!$B$2-B505,X505)</f>
        <v>37</v>
      </c>
      <c r="Z505" t="str">
        <f t="shared" si="82"/>
        <v>OK</v>
      </c>
      <c r="AA505" t="str">
        <f t="shared" si="83"/>
        <v>2025-10</v>
      </c>
      <c r="AB505" t="str">
        <f t="shared" si="84"/>
        <v>2025-12</v>
      </c>
      <c r="AC505" t="str">
        <f t="shared" si="85"/>
        <v>Q4-2025</v>
      </c>
      <c r="AD505" s="5">
        <f t="shared" si="86"/>
        <v>51</v>
      </c>
      <c r="AE505" t="str">
        <f t="shared" si="87"/>
        <v>Lost</v>
      </c>
    </row>
    <row r="506" spans="1:31">
      <c r="A506" t="s">
        <v>608</v>
      </c>
      <c r="B506" s="1">
        <v>45954</v>
      </c>
      <c r="C506" t="s">
        <v>90</v>
      </c>
      <c r="D506" t="s">
        <v>57</v>
      </c>
      <c r="E506" t="s">
        <v>51</v>
      </c>
      <c r="F506" t="s">
        <v>52</v>
      </c>
      <c r="G506" t="s">
        <v>94</v>
      </c>
      <c r="H506" t="s">
        <v>53</v>
      </c>
      <c r="I506" t="s">
        <v>61</v>
      </c>
      <c r="J506" s="1">
        <v>45986</v>
      </c>
      <c r="K506" s="1">
        <v>45986</v>
      </c>
      <c r="L506" s="3">
        <v>12700</v>
      </c>
      <c r="M506" s="4">
        <v>0</v>
      </c>
      <c r="N506" s="4">
        <v>0</v>
      </c>
      <c r="O506" t="s">
        <v>79</v>
      </c>
      <c r="P506">
        <v>5</v>
      </c>
      <c r="Q506" t="str">
        <f>IFERROR(VLOOKUP(E506,Lookups!$A$5:$B$24,2,FALSE),"Other")</f>
        <v>Paid Search</v>
      </c>
      <c r="R506" t="str">
        <f>IFERROR(VLOOKUP(F506,Lookups!$D$5:$F$10,2,FALSE),"Unknown Product")</f>
        <v>NexaCRM Core</v>
      </c>
      <c r="S506" t="str">
        <f>IFERROR(VLOOKUP(F506,Lookups!$D$5:$F$10,3,FALSE),"Unknown")</f>
        <v>CRM</v>
      </c>
      <c r="T506" t="str">
        <f t="shared" si="77"/>
        <v>SMB</v>
      </c>
      <c r="U506" t="str">
        <f t="shared" si="78"/>
        <v>Lost</v>
      </c>
      <c r="V506" s="3">
        <f t="shared" si="79"/>
        <v>0</v>
      </c>
      <c r="W506" s="3">
        <f t="shared" si="80"/>
        <v>0</v>
      </c>
      <c r="X506" s="5">
        <f t="shared" si="81"/>
        <v>32</v>
      </c>
      <c r="Y506" s="5">
        <f>IF(U506="Open",Lookups!$B$2-B506,X506)</f>
        <v>32</v>
      </c>
      <c r="Z506" t="str">
        <f t="shared" si="82"/>
        <v>OK</v>
      </c>
      <c r="AA506" t="str">
        <f t="shared" si="83"/>
        <v>2025-10</v>
      </c>
      <c r="AB506" t="str">
        <f t="shared" si="84"/>
        <v>2025-11</v>
      </c>
      <c r="AC506" t="str">
        <f t="shared" si="85"/>
        <v>Q4-2025</v>
      </c>
      <c r="AD506" s="5">
        <f t="shared" si="86"/>
        <v>51</v>
      </c>
      <c r="AE506" t="str">
        <f t="shared" si="87"/>
        <v>Lost</v>
      </c>
    </row>
    <row r="507" spans="1:31">
      <c r="A507" t="s">
        <v>609</v>
      </c>
      <c r="B507" s="1">
        <v>46225</v>
      </c>
      <c r="C507" t="s">
        <v>148</v>
      </c>
      <c r="D507" t="s">
        <v>43</v>
      </c>
      <c r="E507" t="s">
        <v>160</v>
      </c>
      <c r="F507" t="s">
        <v>71</v>
      </c>
      <c r="G507" t="s">
        <v>99</v>
      </c>
      <c r="H507" t="s">
        <v>84</v>
      </c>
      <c r="I507" t="s">
        <v>77</v>
      </c>
      <c r="J507" s="1">
        <v>46266</v>
      </c>
      <c r="K507" s="1">
        <v>46266</v>
      </c>
      <c r="L507" s="3">
        <v>45700</v>
      </c>
      <c r="M507" s="4">
        <v>0.12</v>
      </c>
      <c r="N507" s="4">
        <v>1</v>
      </c>
      <c r="P507">
        <v>6</v>
      </c>
      <c r="Q507" t="str">
        <f>IFERROR(VLOOKUP(E507,Lookups!$A$5:$B$24,2,FALSE),"Other")</f>
        <v>Email</v>
      </c>
      <c r="R507" t="str">
        <f>IFERROR(VLOOKUP(F507,Lookups!$D$5:$F$10,2,FALSE),"Unknown Product")</f>
        <v>Marketing Automation</v>
      </c>
      <c r="S507" t="str">
        <f>IFERROR(VLOOKUP(F507,Lookups!$D$5:$F$10,3,FALSE),"Unknown")</f>
        <v>Marketing</v>
      </c>
      <c r="T507" t="str">
        <f t="shared" si="77"/>
        <v>Mid-Market</v>
      </c>
      <c r="U507" t="str">
        <f t="shared" si="78"/>
        <v>Won</v>
      </c>
      <c r="V507" s="3">
        <f t="shared" si="79"/>
        <v>40216</v>
      </c>
      <c r="W507" s="3">
        <f t="shared" si="80"/>
        <v>0</v>
      </c>
      <c r="X507" s="5">
        <f t="shared" si="81"/>
        <v>41</v>
      </c>
      <c r="Y507" s="5">
        <f>IF(U507="Open",Lookups!$B$2-B507,X507)</f>
        <v>41</v>
      </c>
      <c r="Z507" t="str">
        <f t="shared" si="82"/>
        <v>OK</v>
      </c>
      <c r="AA507" t="str">
        <f t="shared" si="83"/>
        <v>2026-07</v>
      </c>
      <c r="AB507" t="str">
        <f t="shared" si="84"/>
        <v>2026-09</v>
      </c>
      <c r="AC507" t="str">
        <f t="shared" si="85"/>
        <v>Q3-2026</v>
      </c>
      <c r="AD507" s="5">
        <f t="shared" si="86"/>
        <v>71</v>
      </c>
      <c r="AE507" t="str">
        <f t="shared" si="87"/>
        <v>Won</v>
      </c>
    </row>
    <row r="508" spans="1:31">
      <c r="A508" t="s">
        <v>610</v>
      </c>
      <c r="B508" s="1">
        <v>45918</v>
      </c>
      <c r="C508" t="s">
        <v>90</v>
      </c>
      <c r="D508" t="s">
        <v>57</v>
      </c>
      <c r="E508" t="s">
        <v>44</v>
      </c>
      <c r="F508" t="s">
        <v>133</v>
      </c>
      <c r="G508" t="s">
        <v>76</v>
      </c>
      <c r="H508" t="s">
        <v>84</v>
      </c>
      <c r="I508" t="s">
        <v>61</v>
      </c>
      <c r="J508" s="1">
        <v>46017</v>
      </c>
      <c r="K508" s="1">
        <v>46017</v>
      </c>
      <c r="L508" s="3">
        <v>50300</v>
      </c>
      <c r="M508" s="4">
        <v>0</v>
      </c>
      <c r="N508" s="4">
        <v>0</v>
      </c>
      <c r="O508" t="s">
        <v>116</v>
      </c>
      <c r="P508">
        <v>3</v>
      </c>
      <c r="Q508" t="str">
        <f>IFERROR(VLOOKUP(E508,Lookups!$A$5:$B$24,2,FALSE),"Other")</f>
        <v>Organic Search</v>
      </c>
      <c r="R508" t="str">
        <f>IFERROR(VLOOKUP(F508,Lookups!$D$5:$F$10,2,FALSE),"Unknown Product")</f>
        <v>Analytics Plus</v>
      </c>
      <c r="S508" t="str">
        <f>IFERROR(VLOOKUP(F508,Lookups!$D$5:$F$10,3,FALSE),"Unknown")</f>
        <v>Analytics</v>
      </c>
      <c r="T508" t="str">
        <f t="shared" si="77"/>
        <v>Enterprise</v>
      </c>
      <c r="U508" t="str">
        <f t="shared" si="78"/>
        <v>Lost</v>
      </c>
      <c r="V508" s="3">
        <f t="shared" si="79"/>
        <v>0</v>
      </c>
      <c r="W508" s="3">
        <f t="shared" si="80"/>
        <v>0</v>
      </c>
      <c r="X508" s="5">
        <f t="shared" si="81"/>
        <v>99</v>
      </c>
      <c r="Y508" s="5">
        <f>IF(U508="Open",Lookups!$B$2-B508,X508)</f>
        <v>99</v>
      </c>
      <c r="Z508" t="str">
        <f t="shared" si="82"/>
        <v>OK</v>
      </c>
      <c r="AA508" t="str">
        <f t="shared" si="83"/>
        <v>2025-09</v>
      </c>
      <c r="AB508" t="str">
        <f t="shared" si="84"/>
        <v>2025-12</v>
      </c>
      <c r="AC508" t="str">
        <f t="shared" si="85"/>
        <v>Q3-2025</v>
      </c>
      <c r="AD508" s="5">
        <f t="shared" si="86"/>
        <v>80</v>
      </c>
      <c r="AE508" t="str">
        <f t="shared" si="87"/>
        <v>Lost</v>
      </c>
    </row>
    <row r="509" spans="1:31">
      <c r="A509" t="s">
        <v>611</v>
      </c>
      <c r="B509" s="1">
        <v>45830</v>
      </c>
      <c r="C509" t="s">
        <v>56</v>
      </c>
      <c r="D509" t="s">
        <v>57</v>
      </c>
      <c r="E509" t="s">
        <v>127</v>
      </c>
      <c r="F509" t="s">
        <v>59</v>
      </c>
      <c r="G509" t="s">
        <v>72</v>
      </c>
      <c r="H509" t="s">
        <v>53</v>
      </c>
      <c r="I509" t="s">
        <v>61</v>
      </c>
      <c r="J509" s="1">
        <v>45874</v>
      </c>
      <c r="K509" s="1">
        <v>45874</v>
      </c>
      <c r="L509" s="3">
        <v>42300</v>
      </c>
      <c r="M509" s="4">
        <v>0</v>
      </c>
      <c r="N509" s="4">
        <v>0</v>
      </c>
      <c r="O509" t="s">
        <v>81</v>
      </c>
      <c r="P509">
        <v>4</v>
      </c>
      <c r="Q509" t="str">
        <f>IFERROR(VLOOKUP(E509,Lookups!$A$5:$B$24,2,FALSE),"Other")</f>
        <v>Paid Search</v>
      </c>
      <c r="R509" t="str">
        <f>IFERROR(VLOOKUP(F509,Lookups!$D$5:$F$10,2,FALSE),"Unknown Product")</f>
        <v>NexaCRM Pro</v>
      </c>
      <c r="S509" t="str">
        <f>IFERROR(VLOOKUP(F509,Lookups!$D$5:$F$10,3,FALSE),"Unknown")</f>
        <v>CRM</v>
      </c>
      <c r="T509" t="str">
        <f t="shared" si="77"/>
        <v>Mid-Market</v>
      </c>
      <c r="U509" t="str">
        <f t="shared" si="78"/>
        <v>Lost</v>
      </c>
      <c r="V509" s="3">
        <f t="shared" si="79"/>
        <v>0</v>
      </c>
      <c r="W509" s="3">
        <f t="shared" si="80"/>
        <v>0</v>
      </c>
      <c r="X509" s="5">
        <f t="shared" si="81"/>
        <v>44</v>
      </c>
      <c r="Y509" s="5">
        <f>IF(U509="Open",Lookups!$B$2-B509,X509)</f>
        <v>44</v>
      </c>
      <c r="Z509" t="str">
        <f t="shared" si="82"/>
        <v>OK</v>
      </c>
      <c r="AA509" t="str">
        <f t="shared" si="83"/>
        <v>2025-06</v>
      </c>
      <c r="AB509" t="str">
        <f t="shared" si="84"/>
        <v>2025-08</v>
      </c>
      <c r="AC509" t="str">
        <f t="shared" si="85"/>
        <v>Q2-2025</v>
      </c>
      <c r="AD509" s="5">
        <f t="shared" si="86"/>
        <v>59</v>
      </c>
      <c r="AE509" t="str">
        <f t="shared" si="87"/>
        <v>Lost</v>
      </c>
    </row>
    <row r="510" spans="1:31">
      <c r="A510" t="s">
        <v>612</v>
      </c>
      <c r="B510" s="1">
        <v>45864</v>
      </c>
      <c r="C510" t="s">
        <v>148</v>
      </c>
      <c r="D510" t="s">
        <v>43</v>
      </c>
      <c r="E510" t="s">
        <v>58</v>
      </c>
      <c r="F510" t="s">
        <v>52</v>
      </c>
      <c r="G510" t="s">
        <v>94</v>
      </c>
      <c r="H510" t="s">
        <v>53</v>
      </c>
      <c r="I510" t="s">
        <v>61</v>
      </c>
      <c r="J510" s="1">
        <v>45905</v>
      </c>
      <c r="K510" s="1">
        <v>45905</v>
      </c>
      <c r="L510" s="3">
        <v>18600</v>
      </c>
      <c r="M510" s="4">
        <v>0</v>
      </c>
      <c r="N510" s="4">
        <v>0</v>
      </c>
      <c r="O510" t="s">
        <v>110</v>
      </c>
      <c r="P510">
        <v>4</v>
      </c>
      <c r="Q510" t="str">
        <f>IFERROR(VLOOKUP(E510,Lookups!$A$5:$B$24,2,FALSE),"Other")</f>
        <v>Email</v>
      </c>
      <c r="R510" t="str">
        <f>IFERROR(VLOOKUP(F510,Lookups!$D$5:$F$10,2,FALSE),"Unknown Product")</f>
        <v>NexaCRM Core</v>
      </c>
      <c r="S510" t="str">
        <f>IFERROR(VLOOKUP(F510,Lookups!$D$5:$F$10,3,FALSE),"Unknown")</f>
        <v>CRM</v>
      </c>
      <c r="T510" t="str">
        <f t="shared" si="77"/>
        <v>SMB</v>
      </c>
      <c r="U510" t="str">
        <f t="shared" si="78"/>
        <v>Lost</v>
      </c>
      <c r="V510" s="3">
        <f t="shared" si="79"/>
        <v>0</v>
      </c>
      <c r="W510" s="3">
        <f t="shared" si="80"/>
        <v>0</v>
      </c>
      <c r="X510" s="5">
        <f t="shared" si="81"/>
        <v>41</v>
      </c>
      <c r="Y510" s="5">
        <f>IF(U510="Open",Lookups!$B$2-B510,X510)</f>
        <v>41</v>
      </c>
      <c r="Z510" t="str">
        <f t="shared" si="82"/>
        <v>OK</v>
      </c>
      <c r="AA510" t="str">
        <f t="shared" si="83"/>
        <v>2025-07</v>
      </c>
      <c r="AB510" t="str">
        <f t="shared" si="84"/>
        <v>2025-09</v>
      </c>
      <c r="AC510" t="str">
        <f t="shared" si="85"/>
        <v>Q3-2025</v>
      </c>
      <c r="AD510" s="5">
        <f t="shared" si="86"/>
        <v>55</v>
      </c>
      <c r="AE510" t="str">
        <f t="shared" si="87"/>
        <v>Lost</v>
      </c>
    </row>
    <row r="511" spans="1:31">
      <c r="A511" t="s">
        <v>613</v>
      </c>
      <c r="B511" s="1">
        <v>46217</v>
      </c>
      <c r="C511" t="s">
        <v>64</v>
      </c>
      <c r="D511" t="s">
        <v>57</v>
      </c>
      <c r="E511" t="s">
        <v>58</v>
      </c>
      <c r="F511" t="s">
        <v>45</v>
      </c>
      <c r="G511" t="s">
        <v>99</v>
      </c>
      <c r="H511" t="s">
        <v>47</v>
      </c>
      <c r="I511" t="s">
        <v>61</v>
      </c>
      <c r="J511" s="1">
        <v>46266</v>
      </c>
      <c r="K511" s="1">
        <v>46266</v>
      </c>
      <c r="L511" s="3">
        <v>13000</v>
      </c>
      <c r="M511" s="4">
        <v>0</v>
      </c>
      <c r="N511" s="4">
        <v>0</v>
      </c>
      <c r="O511" t="s">
        <v>81</v>
      </c>
      <c r="P511">
        <v>4</v>
      </c>
      <c r="Q511" t="str">
        <f>IFERROR(VLOOKUP(E511,Lookups!$A$5:$B$24,2,FALSE),"Other")</f>
        <v>Email</v>
      </c>
      <c r="R511" t="str">
        <f>IFERROR(VLOOKUP(F511,Lookups!$D$5:$F$10,2,FALSE),"Unknown Product")</f>
        <v>Service Cloud</v>
      </c>
      <c r="S511" t="str">
        <f>IFERROR(VLOOKUP(F511,Lookups!$D$5:$F$10,3,FALSE),"Unknown")</f>
        <v>Customer Service</v>
      </c>
      <c r="T511" t="str">
        <f t="shared" si="77"/>
        <v>SMB</v>
      </c>
      <c r="U511" t="str">
        <f t="shared" si="78"/>
        <v>Lost</v>
      </c>
      <c r="V511" s="3">
        <f t="shared" si="79"/>
        <v>0</v>
      </c>
      <c r="W511" s="3">
        <f t="shared" si="80"/>
        <v>0</v>
      </c>
      <c r="X511" s="5">
        <f t="shared" si="81"/>
        <v>49</v>
      </c>
      <c r="Y511" s="5">
        <f>IF(U511="Open",Lookups!$B$2-B511,X511)</f>
        <v>49</v>
      </c>
      <c r="Z511" t="str">
        <f t="shared" si="82"/>
        <v>OK</v>
      </c>
      <c r="AA511" t="str">
        <f t="shared" si="83"/>
        <v>2026-07</v>
      </c>
      <c r="AB511" t="str">
        <f t="shared" si="84"/>
        <v>2026-09</v>
      </c>
      <c r="AC511" t="str">
        <f t="shared" si="85"/>
        <v>Q3-2026</v>
      </c>
      <c r="AD511" s="5">
        <f t="shared" si="86"/>
        <v>47</v>
      </c>
      <c r="AE511" t="str">
        <f t="shared" si="87"/>
        <v>Lost</v>
      </c>
    </row>
    <row r="512" spans="1:31">
      <c r="A512" t="s">
        <v>614</v>
      </c>
      <c r="B512" s="1">
        <v>46226</v>
      </c>
      <c r="C512" t="s">
        <v>148</v>
      </c>
      <c r="D512" t="s">
        <v>43</v>
      </c>
      <c r="E512" t="s">
        <v>138</v>
      </c>
      <c r="F512" t="s">
        <v>59</v>
      </c>
      <c r="G512" t="s">
        <v>94</v>
      </c>
      <c r="H512" t="s">
        <v>47</v>
      </c>
      <c r="I512" t="s">
        <v>61</v>
      </c>
      <c r="J512" s="1">
        <v>46266</v>
      </c>
      <c r="K512" s="1">
        <v>46266</v>
      </c>
      <c r="L512" s="3">
        <v>16600</v>
      </c>
      <c r="M512" s="4">
        <v>0</v>
      </c>
      <c r="N512" s="4">
        <v>0</v>
      </c>
      <c r="O512" t="s">
        <v>62</v>
      </c>
      <c r="P512">
        <v>4</v>
      </c>
      <c r="Q512" t="str">
        <f>IFERROR(VLOOKUP(E512,Lookups!$A$5:$B$24,2,FALSE),"Other")</f>
        <v>Organic Search</v>
      </c>
      <c r="R512" t="str">
        <f>IFERROR(VLOOKUP(F512,Lookups!$D$5:$F$10,2,FALSE),"Unknown Product")</f>
        <v>NexaCRM Pro</v>
      </c>
      <c r="S512" t="str">
        <f>IFERROR(VLOOKUP(F512,Lookups!$D$5:$F$10,3,FALSE),"Unknown")</f>
        <v>CRM</v>
      </c>
      <c r="T512" t="str">
        <f t="shared" si="77"/>
        <v>SMB</v>
      </c>
      <c r="U512" t="str">
        <f t="shared" si="78"/>
        <v>Lost</v>
      </c>
      <c r="V512" s="3">
        <f t="shared" si="79"/>
        <v>0</v>
      </c>
      <c r="W512" s="3">
        <f t="shared" si="80"/>
        <v>0</v>
      </c>
      <c r="X512" s="5">
        <f t="shared" si="81"/>
        <v>40</v>
      </c>
      <c r="Y512" s="5">
        <f>IF(U512="Open",Lookups!$B$2-B512,X512)</f>
        <v>40</v>
      </c>
      <c r="Z512" t="str">
        <f t="shared" si="82"/>
        <v>OK</v>
      </c>
      <c r="AA512" t="str">
        <f t="shared" si="83"/>
        <v>2026-07</v>
      </c>
      <c r="AB512" t="str">
        <f t="shared" si="84"/>
        <v>2026-09</v>
      </c>
      <c r="AC512" t="str">
        <f t="shared" si="85"/>
        <v>Q3-2026</v>
      </c>
      <c r="AD512" s="5">
        <f t="shared" si="86"/>
        <v>49</v>
      </c>
      <c r="AE512" t="str">
        <f t="shared" si="87"/>
        <v>Lost</v>
      </c>
    </row>
    <row r="513" spans="1:31">
      <c r="A513" t="s">
        <v>615</v>
      </c>
      <c r="B513" s="1">
        <v>45765</v>
      </c>
      <c r="C513" t="s">
        <v>148</v>
      </c>
      <c r="D513" t="s">
        <v>43</v>
      </c>
      <c r="E513" t="s">
        <v>146</v>
      </c>
      <c r="F513" t="s">
        <v>67</v>
      </c>
      <c r="G513" t="s">
        <v>76</v>
      </c>
      <c r="H513" t="s">
        <v>53</v>
      </c>
      <c r="I513" t="s">
        <v>77</v>
      </c>
      <c r="J513" s="1">
        <v>45783</v>
      </c>
      <c r="K513" s="1">
        <v>45783</v>
      </c>
      <c r="L513" s="3">
        <v>74500</v>
      </c>
      <c r="M513" s="4">
        <v>0.12</v>
      </c>
      <c r="N513" s="4">
        <v>1</v>
      </c>
      <c r="P513">
        <v>6</v>
      </c>
      <c r="Q513" t="str">
        <f>IFERROR(VLOOKUP(E513,Lookups!$A$5:$B$24,2,FALSE),"Other")</f>
        <v>LinkedIn</v>
      </c>
      <c r="R513" t="str">
        <f>IFERROR(VLOOKUP(F513,Lookups!$D$5:$F$10,2,FALSE),"Unknown Product")</f>
        <v>Revenue Operations Suite</v>
      </c>
      <c r="S513" t="str">
        <f>IFERROR(VLOOKUP(F513,Lookups!$D$5:$F$10,3,FALSE),"Unknown")</f>
        <v>Revenue Ops</v>
      </c>
      <c r="T513" t="str">
        <f t="shared" si="77"/>
        <v>Enterprise</v>
      </c>
      <c r="U513" t="str">
        <f t="shared" si="78"/>
        <v>Won</v>
      </c>
      <c r="V513" s="3">
        <f t="shared" si="79"/>
        <v>65560</v>
      </c>
      <c r="W513" s="3">
        <f t="shared" si="80"/>
        <v>0</v>
      </c>
      <c r="X513" s="5">
        <f t="shared" si="81"/>
        <v>18</v>
      </c>
      <c r="Y513" s="5">
        <f>IF(U513="Open",Lookups!$B$2-B513,X513)</f>
        <v>18</v>
      </c>
      <c r="Z513" t="str">
        <f t="shared" si="82"/>
        <v>OK</v>
      </c>
      <c r="AA513" t="str">
        <f t="shared" si="83"/>
        <v>2025-04</v>
      </c>
      <c r="AB513" t="str">
        <f t="shared" si="84"/>
        <v>2025-05</v>
      </c>
      <c r="AC513" t="str">
        <f t="shared" si="85"/>
        <v>Q2-2025</v>
      </c>
      <c r="AD513" s="5">
        <f t="shared" si="86"/>
        <v>66</v>
      </c>
      <c r="AE513" t="str">
        <f t="shared" si="87"/>
        <v>Won</v>
      </c>
    </row>
    <row r="514" spans="1:31">
      <c r="A514" t="s">
        <v>616</v>
      </c>
      <c r="B514" s="1">
        <v>46225</v>
      </c>
      <c r="C514" t="s">
        <v>69</v>
      </c>
      <c r="D514" t="s">
        <v>57</v>
      </c>
      <c r="E514" t="s">
        <v>107</v>
      </c>
      <c r="F514" t="s">
        <v>71</v>
      </c>
      <c r="G514" t="s">
        <v>46</v>
      </c>
      <c r="H514" t="s">
        <v>53</v>
      </c>
      <c r="I514" t="s">
        <v>73</v>
      </c>
      <c r="J514" s="1">
        <v>46260</v>
      </c>
      <c r="K514" s="1"/>
      <c r="L514" s="3">
        <v>17000</v>
      </c>
      <c r="M514" s="4">
        <v>0</v>
      </c>
      <c r="N514" s="4">
        <v>0.2</v>
      </c>
      <c r="P514">
        <v>2</v>
      </c>
      <c r="Q514" t="str">
        <f>IFERROR(VLOOKUP(E514,Lookups!$A$5:$B$24,2,FALSE),"Other")</f>
        <v>Referral</v>
      </c>
      <c r="R514" t="str">
        <f>IFERROR(VLOOKUP(F514,Lookups!$D$5:$F$10,2,FALSE),"Unknown Product")</f>
        <v>Marketing Automation</v>
      </c>
      <c r="S514" t="str">
        <f>IFERROR(VLOOKUP(F514,Lookups!$D$5:$F$10,3,FALSE),"Unknown")</f>
        <v>Marketing</v>
      </c>
      <c r="T514" t="str">
        <f t="shared" ref="T514:T577" si="88">IF(L514&gt;=50000,"Enterprise",IF(L514&gt;=20000,"Mid-Market","SMB"))</f>
        <v>SMB</v>
      </c>
      <c r="U514" t="str">
        <f t="shared" ref="U514:U577" si="89">IF(I514="Closed Won","Won",IF(I514="Closed Lost","Lost","Open"))</f>
        <v>Open</v>
      </c>
      <c r="V514" s="3">
        <f t="shared" ref="V514:V577" si="90">IF(U514="Won",L514*(1-M514),0)</f>
        <v>0</v>
      </c>
      <c r="W514" s="3">
        <f t="shared" ref="W514:W577" si="91">IF(U514="Open",L514*N514,0)</f>
        <v>3400</v>
      </c>
      <c r="X514" s="5" t="str">
        <f t="shared" ref="X514:X577" si="92">IF(U514="Open","",IFERROR(K514-B514,""))</f>
        <v/>
      </c>
      <c r="Y514" s="5">
        <f>IF(U514="Open",Lookups!$B$2-B514,X514)</f>
        <v>41</v>
      </c>
      <c r="Z514" t="str">
        <f t="shared" ref="Z514:Z577" si="93">IF(AND(U514="Open",Y514&gt;30),"STALE","OK")</f>
        <v>STALE</v>
      </c>
      <c r="AA514" t="str">
        <f t="shared" ref="AA514:AA577" si="94">TEXT(B514,"yyyy-mm")</f>
        <v>2026-07</v>
      </c>
      <c r="AB514" t="str">
        <f t="shared" ref="AB514:AB577" si="95">IF(K514="","",TEXT(K514,"yyyy-mm"))</f>
        <v/>
      </c>
      <c r="AC514" t="str">
        <f t="shared" ref="AC514:AC577" si="96">"Q"&amp;ROUNDUP(MONTH(B514)/3,0)&amp;"-"&amp;YEAR(B514)</f>
        <v>Q3-2026</v>
      </c>
      <c r="AD514" s="5">
        <f t="shared" ref="AD514:AD577" si="97">MIN(100,IF(H514="Enterprise",30,IF(H514="Mid-Market",22,14))+IF(T514="Enterprise",25,IF(T514="Mid-Market",18,10))+IF(Q514="Referral",25,IF(Q514="Organic Search",20,IF(Q514="Email",18,14)))+IF(G514="Technology",10,5))</f>
        <v>62</v>
      </c>
      <c r="AE514" t="str">
        <f t="shared" ref="AE514:AE577" si="98">IF(U514&lt;&gt;"Open",U514,IF(N514&gt;=0.8,"Commit",IF(N514&gt;=0.5,"Best Case","Pipeline")))</f>
        <v>Pipeline</v>
      </c>
    </row>
    <row r="515" spans="1:31">
      <c r="A515" t="s">
        <v>617</v>
      </c>
      <c r="B515" s="1">
        <v>45916</v>
      </c>
      <c r="C515" t="s">
        <v>90</v>
      </c>
      <c r="D515" t="s">
        <v>57</v>
      </c>
      <c r="E515" t="s">
        <v>51</v>
      </c>
      <c r="F515" t="s">
        <v>71</v>
      </c>
      <c r="G515" t="s">
        <v>76</v>
      </c>
      <c r="H515" t="s">
        <v>47</v>
      </c>
      <c r="I515" t="s">
        <v>61</v>
      </c>
      <c r="J515" s="1">
        <v>45996</v>
      </c>
      <c r="K515" s="1">
        <v>45996</v>
      </c>
      <c r="L515" s="3">
        <v>12600</v>
      </c>
      <c r="M515" s="4">
        <v>0</v>
      </c>
      <c r="N515" s="4">
        <v>0</v>
      </c>
      <c r="O515" t="s">
        <v>62</v>
      </c>
      <c r="P515">
        <v>3</v>
      </c>
      <c r="Q515" t="str">
        <f>IFERROR(VLOOKUP(E515,Lookups!$A$5:$B$24,2,FALSE),"Other")</f>
        <v>Paid Search</v>
      </c>
      <c r="R515" t="str">
        <f>IFERROR(VLOOKUP(F515,Lookups!$D$5:$F$10,2,FALSE),"Unknown Product")</f>
        <v>Marketing Automation</v>
      </c>
      <c r="S515" t="str">
        <f>IFERROR(VLOOKUP(F515,Lookups!$D$5:$F$10,3,FALSE),"Unknown")</f>
        <v>Marketing</v>
      </c>
      <c r="T515" t="str">
        <f t="shared" si="88"/>
        <v>SMB</v>
      </c>
      <c r="U515" t="str">
        <f t="shared" si="89"/>
        <v>Lost</v>
      </c>
      <c r="V515" s="3">
        <f t="shared" si="90"/>
        <v>0</v>
      </c>
      <c r="W515" s="3">
        <f t="shared" si="91"/>
        <v>0</v>
      </c>
      <c r="X515" s="5">
        <f t="shared" si="92"/>
        <v>80</v>
      </c>
      <c r="Y515" s="5">
        <f>IF(U515="Open",Lookups!$B$2-B515,X515)</f>
        <v>80</v>
      </c>
      <c r="Z515" t="str">
        <f t="shared" si="93"/>
        <v>OK</v>
      </c>
      <c r="AA515" t="str">
        <f t="shared" si="94"/>
        <v>2025-09</v>
      </c>
      <c r="AB515" t="str">
        <f t="shared" si="95"/>
        <v>2025-12</v>
      </c>
      <c r="AC515" t="str">
        <f t="shared" si="96"/>
        <v>Q3-2025</v>
      </c>
      <c r="AD515" s="5">
        <f t="shared" si="97"/>
        <v>43</v>
      </c>
      <c r="AE515" t="str">
        <f t="shared" si="98"/>
        <v>Lost</v>
      </c>
    </row>
    <row r="516" spans="1:31">
      <c r="A516" t="s">
        <v>618</v>
      </c>
      <c r="B516" s="1">
        <v>46106</v>
      </c>
      <c r="C516" t="s">
        <v>50</v>
      </c>
      <c r="D516" t="s">
        <v>43</v>
      </c>
      <c r="E516" t="s">
        <v>166</v>
      </c>
      <c r="F516" t="s">
        <v>52</v>
      </c>
      <c r="G516" t="s">
        <v>76</v>
      </c>
      <c r="H516" t="s">
        <v>47</v>
      </c>
      <c r="I516" t="s">
        <v>61</v>
      </c>
      <c r="J516" s="1">
        <v>46119</v>
      </c>
      <c r="K516" s="1">
        <v>46119</v>
      </c>
      <c r="L516" s="3">
        <v>5000</v>
      </c>
      <c r="M516" s="4">
        <v>0</v>
      </c>
      <c r="N516" s="4">
        <v>0</v>
      </c>
      <c r="O516" t="s">
        <v>79</v>
      </c>
      <c r="P516">
        <v>2</v>
      </c>
      <c r="Q516" t="str">
        <f>IFERROR(VLOOKUP(E516,Lookups!$A$5:$B$24,2,FALSE),"Other")</f>
        <v>Referral</v>
      </c>
      <c r="R516" t="str">
        <f>IFERROR(VLOOKUP(F516,Lookups!$D$5:$F$10,2,FALSE),"Unknown Product")</f>
        <v>NexaCRM Core</v>
      </c>
      <c r="S516" t="str">
        <f>IFERROR(VLOOKUP(F516,Lookups!$D$5:$F$10,3,FALSE),"Unknown")</f>
        <v>CRM</v>
      </c>
      <c r="T516" t="str">
        <f t="shared" si="88"/>
        <v>SMB</v>
      </c>
      <c r="U516" t="str">
        <f t="shared" si="89"/>
        <v>Lost</v>
      </c>
      <c r="V516" s="3">
        <f t="shared" si="90"/>
        <v>0</v>
      </c>
      <c r="W516" s="3">
        <f t="shared" si="91"/>
        <v>0</v>
      </c>
      <c r="X516" s="5">
        <f t="shared" si="92"/>
        <v>13</v>
      </c>
      <c r="Y516" s="5">
        <f>IF(U516="Open",Lookups!$B$2-B516,X516)</f>
        <v>13</v>
      </c>
      <c r="Z516" t="str">
        <f t="shared" si="93"/>
        <v>OK</v>
      </c>
      <c r="AA516" t="str">
        <f t="shared" si="94"/>
        <v>2026-03</v>
      </c>
      <c r="AB516" t="str">
        <f t="shared" si="95"/>
        <v>2026-04</v>
      </c>
      <c r="AC516" t="str">
        <f t="shared" si="96"/>
        <v>Q1-2026</v>
      </c>
      <c r="AD516" s="5">
        <f t="shared" si="97"/>
        <v>54</v>
      </c>
      <c r="AE516" t="str">
        <f t="shared" si="98"/>
        <v>Lost</v>
      </c>
    </row>
    <row r="517" spans="1:31">
      <c r="A517" t="s">
        <v>619</v>
      </c>
      <c r="B517" s="1">
        <v>46196</v>
      </c>
      <c r="C517" t="s">
        <v>64</v>
      </c>
      <c r="D517" t="s">
        <v>57</v>
      </c>
      <c r="E517" t="s">
        <v>119</v>
      </c>
      <c r="F517" t="s">
        <v>45</v>
      </c>
      <c r="G517" t="s">
        <v>94</v>
      </c>
      <c r="H517" t="s">
        <v>47</v>
      </c>
      <c r="I517" t="s">
        <v>105</v>
      </c>
      <c r="J517" s="1">
        <v>46253</v>
      </c>
      <c r="K517" s="1"/>
      <c r="L517" s="3">
        <v>13600</v>
      </c>
      <c r="M517" s="4">
        <v>0</v>
      </c>
      <c r="N517" s="4">
        <v>0.4</v>
      </c>
      <c r="P517">
        <v>3</v>
      </c>
      <c r="Q517" t="str">
        <f>IFERROR(VLOOKUP(E517,Lookups!$A$5:$B$24,2,FALSE),"Other")</f>
        <v>Referral</v>
      </c>
      <c r="R517" t="str">
        <f>IFERROR(VLOOKUP(F517,Lookups!$D$5:$F$10,2,FALSE),"Unknown Product")</f>
        <v>Service Cloud</v>
      </c>
      <c r="S517" t="str">
        <f>IFERROR(VLOOKUP(F517,Lookups!$D$5:$F$10,3,FALSE),"Unknown")</f>
        <v>Customer Service</v>
      </c>
      <c r="T517" t="str">
        <f t="shared" si="88"/>
        <v>SMB</v>
      </c>
      <c r="U517" t="str">
        <f t="shared" si="89"/>
        <v>Open</v>
      </c>
      <c r="V517" s="3">
        <f t="shared" si="90"/>
        <v>0</v>
      </c>
      <c r="W517" s="3">
        <f t="shared" si="91"/>
        <v>5440</v>
      </c>
      <c r="X517" s="5" t="str">
        <f t="shared" si="92"/>
        <v/>
      </c>
      <c r="Y517" s="5">
        <f>IF(U517="Open",Lookups!$B$2-B517,X517)</f>
        <v>70</v>
      </c>
      <c r="Z517" t="str">
        <f t="shared" si="93"/>
        <v>STALE</v>
      </c>
      <c r="AA517" t="str">
        <f t="shared" si="94"/>
        <v>2026-06</v>
      </c>
      <c r="AB517" t="str">
        <f t="shared" si="95"/>
        <v/>
      </c>
      <c r="AC517" t="str">
        <f t="shared" si="96"/>
        <v>Q2-2026</v>
      </c>
      <c r="AD517" s="5">
        <f t="shared" si="97"/>
        <v>54</v>
      </c>
      <c r="AE517" t="str">
        <f t="shared" si="98"/>
        <v>Pipeline</v>
      </c>
    </row>
    <row r="518" spans="1:31">
      <c r="A518" t="s">
        <v>620</v>
      </c>
      <c r="B518" s="1">
        <v>46068</v>
      </c>
      <c r="C518" t="s">
        <v>56</v>
      </c>
      <c r="D518" t="s">
        <v>57</v>
      </c>
      <c r="E518" t="s">
        <v>92</v>
      </c>
      <c r="F518" t="s">
        <v>67</v>
      </c>
      <c r="G518" t="s">
        <v>46</v>
      </c>
      <c r="H518" t="s">
        <v>47</v>
      </c>
      <c r="I518" t="s">
        <v>61</v>
      </c>
      <c r="J518" s="1">
        <v>46088</v>
      </c>
      <c r="K518" s="1">
        <v>46088</v>
      </c>
      <c r="L518" s="3">
        <v>42000</v>
      </c>
      <c r="M518" s="4">
        <v>0</v>
      </c>
      <c r="N518" s="4">
        <v>0</v>
      </c>
      <c r="O518" t="s">
        <v>62</v>
      </c>
      <c r="P518">
        <v>4</v>
      </c>
      <c r="Q518" t="str">
        <f>IFERROR(VLOOKUP(E518,Lookups!$A$5:$B$24,2,FALSE),"Other")</f>
        <v>Webinar</v>
      </c>
      <c r="R518" t="str">
        <f>IFERROR(VLOOKUP(F518,Lookups!$D$5:$F$10,2,FALSE),"Unknown Product")</f>
        <v>Revenue Operations Suite</v>
      </c>
      <c r="S518" t="str">
        <f>IFERROR(VLOOKUP(F518,Lookups!$D$5:$F$10,3,FALSE),"Unknown")</f>
        <v>Revenue Ops</v>
      </c>
      <c r="T518" t="str">
        <f t="shared" si="88"/>
        <v>Mid-Market</v>
      </c>
      <c r="U518" t="str">
        <f t="shared" si="89"/>
        <v>Lost</v>
      </c>
      <c r="V518" s="3">
        <f t="shared" si="90"/>
        <v>0</v>
      </c>
      <c r="W518" s="3">
        <f t="shared" si="91"/>
        <v>0</v>
      </c>
      <c r="X518" s="5">
        <f t="shared" si="92"/>
        <v>20</v>
      </c>
      <c r="Y518" s="5">
        <f>IF(U518="Open",Lookups!$B$2-B518,X518)</f>
        <v>20</v>
      </c>
      <c r="Z518" t="str">
        <f t="shared" si="93"/>
        <v>OK</v>
      </c>
      <c r="AA518" t="str">
        <f t="shared" si="94"/>
        <v>2026-02</v>
      </c>
      <c r="AB518" t="str">
        <f t="shared" si="95"/>
        <v>2026-03</v>
      </c>
      <c r="AC518" t="str">
        <f t="shared" si="96"/>
        <v>Q1-2026</v>
      </c>
      <c r="AD518" s="5">
        <f t="shared" si="97"/>
        <v>51</v>
      </c>
      <c r="AE518" t="str">
        <f t="shared" si="98"/>
        <v>Lost</v>
      </c>
    </row>
    <row r="519" spans="1:31">
      <c r="A519" t="s">
        <v>621</v>
      </c>
      <c r="B519" s="1">
        <v>45782</v>
      </c>
      <c r="C519" t="s">
        <v>64</v>
      </c>
      <c r="D519" t="s">
        <v>57</v>
      </c>
      <c r="E519" t="s">
        <v>96</v>
      </c>
      <c r="F519" t="s">
        <v>52</v>
      </c>
      <c r="G519" t="s">
        <v>46</v>
      </c>
      <c r="H519" t="s">
        <v>53</v>
      </c>
      <c r="I519" t="s">
        <v>61</v>
      </c>
      <c r="J519" s="1">
        <v>45807</v>
      </c>
      <c r="K519" s="1">
        <v>45807</v>
      </c>
      <c r="L519" s="3">
        <v>9800</v>
      </c>
      <c r="M519" s="4">
        <v>0</v>
      </c>
      <c r="N519" s="4">
        <v>0</v>
      </c>
      <c r="O519" t="s">
        <v>62</v>
      </c>
      <c r="P519">
        <v>4</v>
      </c>
      <c r="Q519" t="str">
        <f>IFERROR(VLOOKUP(E519,Lookups!$A$5:$B$24,2,FALSE),"Other")</f>
        <v>LinkedIn</v>
      </c>
      <c r="R519" t="str">
        <f>IFERROR(VLOOKUP(F519,Lookups!$D$5:$F$10,2,FALSE),"Unknown Product")</f>
        <v>NexaCRM Core</v>
      </c>
      <c r="S519" t="str">
        <f>IFERROR(VLOOKUP(F519,Lookups!$D$5:$F$10,3,FALSE),"Unknown")</f>
        <v>CRM</v>
      </c>
      <c r="T519" t="str">
        <f t="shared" si="88"/>
        <v>SMB</v>
      </c>
      <c r="U519" t="str">
        <f t="shared" si="89"/>
        <v>Lost</v>
      </c>
      <c r="V519" s="3">
        <f t="shared" si="90"/>
        <v>0</v>
      </c>
      <c r="W519" s="3">
        <f t="shared" si="91"/>
        <v>0</v>
      </c>
      <c r="X519" s="5">
        <f t="shared" si="92"/>
        <v>25</v>
      </c>
      <c r="Y519" s="5">
        <f>IF(U519="Open",Lookups!$B$2-B519,X519)</f>
        <v>25</v>
      </c>
      <c r="Z519" t="str">
        <f t="shared" si="93"/>
        <v>OK</v>
      </c>
      <c r="AA519" t="str">
        <f t="shared" si="94"/>
        <v>2025-05</v>
      </c>
      <c r="AB519" t="str">
        <f t="shared" si="95"/>
        <v>2025-05</v>
      </c>
      <c r="AC519" t="str">
        <f t="shared" si="96"/>
        <v>Q2-2025</v>
      </c>
      <c r="AD519" s="5">
        <f t="shared" si="97"/>
        <v>51</v>
      </c>
      <c r="AE519" t="str">
        <f t="shared" si="98"/>
        <v>Lost</v>
      </c>
    </row>
    <row r="520" spans="1:31">
      <c r="A520" t="s">
        <v>622</v>
      </c>
      <c r="B520" s="1">
        <v>46014</v>
      </c>
      <c r="C520" t="s">
        <v>69</v>
      </c>
      <c r="D520" t="s">
        <v>57</v>
      </c>
      <c r="E520" t="s">
        <v>138</v>
      </c>
      <c r="F520" t="s">
        <v>71</v>
      </c>
      <c r="G520" t="s">
        <v>94</v>
      </c>
      <c r="H520" t="s">
        <v>47</v>
      </c>
      <c r="I520" t="s">
        <v>48</v>
      </c>
      <c r="J520" s="1">
        <v>46120</v>
      </c>
      <c r="K520" s="1"/>
      <c r="L520" s="3">
        <v>13400</v>
      </c>
      <c r="M520" s="4">
        <v>0.05</v>
      </c>
      <c r="N520" s="4">
        <v>0.85</v>
      </c>
      <c r="P520">
        <v>5</v>
      </c>
      <c r="Q520" t="str">
        <f>IFERROR(VLOOKUP(E520,Lookups!$A$5:$B$24,2,FALSE),"Other")</f>
        <v>Organic Search</v>
      </c>
      <c r="R520" t="str">
        <f>IFERROR(VLOOKUP(F520,Lookups!$D$5:$F$10,2,FALSE),"Unknown Product")</f>
        <v>Marketing Automation</v>
      </c>
      <c r="S520" t="str">
        <f>IFERROR(VLOOKUP(F520,Lookups!$D$5:$F$10,3,FALSE),"Unknown")</f>
        <v>Marketing</v>
      </c>
      <c r="T520" t="str">
        <f t="shared" si="88"/>
        <v>SMB</v>
      </c>
      <c r="U520" t="str">
        <f t="shared" si="89"/>
        <v>Open</v>
      </c>
      <c r="V520" s="3">
        <f t="shared" si="90"/>
        <v>0</v>
      </c>
      <c r="W520" s="3">
        <f t="shared" si="91"/>
        <v>11390</v>
      </c>
      <c r="X520" s="5" t="str">
        <f t="shared" si="92"/>
        <v/>
      </c>
      <c r="Y520" s="5">
        <f>IF(U520="Open",Lookups!$B$2-B520,X520)</f>
        <v>252</v>
      </c>
      <c r="Z520" t="str">
        <f t="shared" si="93"/>
        <v>STALE</v>
      </c>
      <c r="AA520" t="str">
        <f t="shared" si="94"/>
        <v>2025-12</v>
      </c>
      <c r="AB520" t="str">
        <f t="shared" si="95"/>
        <v/>
      </c>
      <c r="AC520" t="str">
        <f t="shared" si="96"/>
        <v>Q4-2025</v>
      </c>
      <c r="AD520" s="5">
        <f t="shared" si="97"/>
        <v>49</v>
      </c>
      <c r="AE520" t="str">
        <f t="shared" si="98"/>
        <v>Commit</v>
      </c>
    </row>
    <row r="521" spans="1:31">
      <c r="A521" t="s">
        <v>623</v>
      </c>
      <c r="B521" s="1">
        <v>46071</v>
      </c>
      <c r="C521" t="s">
        <v>148</v>
      </c>
      <c r="D521" t="s">
        <v>43</v>
      </c>
      <c r="E521" t="s">
        <v>96</v>
      </c>
      <c r="F521" t="s">
        <v>59</v>
      </c>
      <c r="G521" t="s">
        <v>99</v>
      </c>
      <c r="H521" t="s">
        <v>47</v>
      </c>
      <c r="I521" t="s">
        <v>77</v>
      </c>
      <c r="J521" s="1">
        <v>46122</v>
      </c>
      <c r="K521" s="1">
        <v>46122</v>
      </c>
      <c r="L521" s="3">
        <v>14800</v>
      </c>
      <c r="M521" s="4">
        <v>0.05</v>
      </c>
      <c r="N521" s="4">
        <v>1</v>
      </c>
      <c r="P521">
        <v>6</v>
      </c>
      <c r="Q521" t="str">
        <f>IFERROR(VLOOKUP(E521,Lookups!$A$5:$B$24,2,FALSE),"Other")</f>
        <v>LinkedIn</v>
      </c>
      <c r="R521" t="str">
        <f>IFERROR(VLOOKUP(F521,Lookups!$D$5:$F$10,2,FALSE),"Unknown Product")</f>
        <v>NexaCRM Pro</v>
      </c>
      <c r="S521" t="str">
        <f>IFERROR(VLOOKUP(F521,Lookups!$D$5:$F$10,3,FALSE),"Unknown")</f>
        <v>CRM</v>
      </c>
      <c r="T521" t="str">
        <f t="shared" si="88"/>
        <v>SMB</v>
      </c>
      <c r="U521" t="str">
        <f t="shared" si="89"/>
        <v>Won</v>
      </c>
      <c r="V521" s="3">
        <f t="shared" si="90"/>
        <v>14060</v>
      </c>
      <c r="W521" s="3">
        <f t="shared" si="91"/>
        <v>0</v>
      </c>
      <c r="X521" s="5">
        <f t="shared" si="92"/>
        <v>51</v>
      </c>
      <c r="Y521" s="5">
        <f>IF(U521="Open",Lookups!$B$2-B521,X521)</f>
        <v>51</v>
      </c>
      <c r="Z521" t="str">
        <f t="shared" si="93"/>
        <v>OK</v>
      </c>
      <c r="AA521" t="str">
        <f t="shared" si="94"/>
        <v>2026-02</v>
      </c>
      <c r="AB521" t="str">
        <f t="shared" si="95"/>
        <v>2026-04</v>
      </c>
      <c r="AC521" t="str">
        <f t="shared" si="96"/>
        <v>Q1-2026</v>
      </c>
      <c r="AD521" s="5">
        <f t="shared" si="97"/>
        <v>43</v>
      </c>
      <c r="AE521" t="str">
        <f t="shared" si="98"/>
        <v>Won</v>
      </c>
    </row>
    <row r="522" spans="1:31">
      <c r="A522" t="s">
        <v>624</v>
      </c>
      <c r="B522" s="1">
        <v>45915</v>
      </c>
      <c r="C522" t="s">
        <v>64</v>
      </c>
      <c r="D522" t="s">
        <v>57</v>
      </c>
      <c r="E522" t="s">
        <v>166</v>
      </c>
      <c r="F522" t="s">
        <v>71</v>
      </c>
      <c r="G522" t="s">
        <v>60</v>
      </c>
      <c r="H522" t="s">
        <v>47</v>
      </c>
      <c r="I522" t="s">
        <v>77</v>
      </c>
      <c r="J522" s="1">
        <v>45954</v>
      </c>
      <c r="K522" s="1">
        <v>45954</v>
      </c>
      <c r="L522" s="3">
        <v>14800</v>
      </c>
      <c r="M522" s="4">
        <v>0</v>
      </c>
      <c r="N522" s="4">
        <v>1</v>
      </c>
      <c r="P522">
        <v>6</v>
      </c>
      <c r="Q522" t="str">
        <f>IFERROR(VLOOKUP(E522,Lookups!$A$5:$B$24,2,FALSE),"Other")</f>
        <v>Referral</v>
      </c>
      <c r="R522" t="str">
        <f>IFERROR(VLOOKUP(F522,Lookups!$D$5:$F$10,2,FALSE),"Unknown Product")</f>
        <v>Marketing Automation</v>
      </c>
      <c r="S522" t="str">
        <f>IFERROR(VLOOKUP(F522,Lookups!$D$5:$F$10,3,FALSE),"Unknown")</f>
        <v>Marketing</v>
      </c>
      <c r="T522" t="str">
        <f t="shared" si="88"/>
        <v>SMB</v>
      </c>
      <c r="U522" t="str">
        <f t="shared" si="89"/>
        <v>Won</v>
      </c>
      <c r="V522" s="3">
        <f t="shared" si="90"/>
        <v>14800</v>
      </c>
      <c r="W522" s="3">
        <f t="shared" si="91"/>
        <v>0</v>
      </c>
      <c r="X522" s="5">
        <f t="shared" si="92"/>
        <v>39</v>
      </c>
      <c r="Y522" s="5">
        <f>IF(U522="Open",Lookups!$B$2-B522,X522)</f>
        <v>39</v>
      </c>
      <c r="Z522" t="str">
        <f t="shared" si="93"/>
        <v>OK</v>
      </c>
      <c r="AA522" t="str">
        <f t="shared" si="94"/>
        <v>2025-09</v>
      </c>
      <c r="AB522" t="str">
        <f t="shared" si="95"/>
        <v>2025-10</v>
      </c>
      <c r="AC522" t="str">
        <f t="shared" si="96"/>
        <v>Q3-2025</v>
      </c>
      <c r="AD522" s="5">
        <f t="shared" si="97"/>
        <v>54</v>
      </c>
      <c r="AE522" t="str">
        <f t="shared" si="98"/>
        <v>Won</v>
      </c>
    </row>
    <row r="523" spans="1:31">
      <c r="A523" t="s">
        <v>625</v>
      </c>
      <c r="B523" s="1">
        <v>46233</v>
      </c>
      <c r="C523" t="s">
        <v>50</v>
      </c>
      <c r="D523" t="s">
        <v>43</v>
      </c>
      <c r="E523" t="s">
        <v>44</v>
      </c>
      <c r="F523" t="s">
        <v>45</v>
      </c>
      <c r="G523" t="s">
        <v>76</v>
      </c>
      <c r="H523" t="s">
        <v>53</v>
      </c>
      <c r="I523" t="s">
        <v>73</v>
      </c>
      <c r="J523" s="1">
        <v>46256</v>
      </c>
      <c r="K523" s="1"/>
      <c r="L523" s="3">
        <v>37900</v>
      </c>
      <c r="M523" s="4">
        <v>0.03</v>
      </c>
      <c r="N523" s="4">
        <v>0.2</v>
      </c>
      <c r="P523">
        <v>2</v>
      </c>
      <c r="Q523" t="str">
        <f>IFERROR(VLOOKUP(E523,Lookups!$A$5:$B$24,2,FALSE),"Other")</f>
        <v>Organic Search</v>
      </c>
      <c r="R523" t="str">
        <f>IFERROR(VLOOKUP(F523,Lookups!$D$5:$F$10,2,FALSE),"Unknown Product")</f>
        <v>Service Cloud</v>
      </c>
      <c r="S523" t="str">
        <f>IFERROR(VLOOKUP(F523,Lookups!$D$5:$F$10,3,FALSE),"Unknown")</f>
        <v>Customer Service</v>
      </c>
      <c r="T523" t="str">
        <f t="shared" si="88"/>
        <v>Mid-Market</v>
      </c>
      <c r="U523" t="str">
        <f t="shared" si="89"/>
        <v>Open</v>
      </c>
      <c r="V523" s="3">
        <f t="shared" si="90"/>
        <v>0</v>
      </c>
      <c r="W523" s="3">
        <f t="shared" si="91"/>
        <v>7580</v>
      </c>
      <c r="X523" s="5" t="str">
        <f t="shared" si="92"/>
        <v/>
      </c>
      <c r="Y523" s="5">
        <f>IF(U523="Open",Lookups!$B$2-B523,X523)</f>
        <v>33</v>
      </c>
      <c r="Z523" t="str">
        <f t="shared" si="93"/>
        <v>STALE</v>
      </c>
      <c r="AA523" t="str">
        <f t="shared" si="94"/>
        <v>2026-07</v>
      </c>
      <c r="AB523" t="str">
        <f t="shared" si="95"/>
        <v/>
      </c>
      <c r="AC523" t="str">
        <f t="shared" si="96"/>
        <v>Q3-2026</v>
      </c>
      <c r="AD523" s="5">
        <f t="shared" si="97"/>
        <v>65</v>
      </c>
      <c r="AE523" t="str">
        <f t="shared" si="98"/>
        <v>Pipeline</v>
      </c>
    </row>
    <row r="524" spans="1:31">
      <c r="A524" t="s">
        <v>626</v>
      </c>
      <c r="B524" s="1">
        <v>46108</v>
      </c>
      <c r="C524" t="s">
        <v>64</v>
      </c>
      <c r="D524" t="s">
        <v>57</v>
      </c>
      <c r="E524" t="s">
        <v>146</v>
      </c>
      <c r="F524" t="s">
        <v>67</v>
      </c>
      <c r="G524" t="s">
        <v>99</v>
      </c>
      <c r="H524" t="s">
        <v>53</v>
      </c>
      <c r="I524" t="s">
        <v>61</v>
      </c>
      <c r="J524" s="1">
        <v>46133</v>
      </c>
      <c r="K524" s="1">
        <v>46133</v>
      </c>
      <c r="L524" s="3">
        <v>82900</v>
      </c>
      <c r="M524" s="4">
        <v>0</v>
      </c>
      <c r="N524" s="4">
        <v>0</v>
      </c>
      <c r="O524" t="s">
        <v>102</v>
      </c>
      <c r="P524">
        <v>2</v>
      </c>
      <c r="Q524" t="str">
        <f>IFERROR(VLOOKUP(E524,Lookups!$A$5:$B$24,2,FALSE),"Other")</f>
        <v>LinkedIn</v>
      </c>
      <c r="R524" t="str">
        <f>IFERROR(VLOOKUP(F524,Lookups!$D$5:$F$10,2,FALSE),"Unknown Product")</f>
        <v>Revenue Operations Suite</v>
      </c>
      <c r="S524" t="str">
        <f>IFERROR(VLOOKUP(F524,Lookups!$D$5:$F$10,3,FALSE),"Unknown")</f>
        <v>Revenue Ops</v>
      </c>
      <c r="T524" t="str">
        <f t="shared" si="88"/>
        <v>Enterprise</v>
      </c>
      <c r="U524" t="str">
        <f t="shared" si="89"/>
        <v>Lost</v>
      </c>
      <c r="V524" s="3">
        <f t="shared" si="90"/>
        <v>0</v>
      </c>
      <c r="W524" s="3">
        <f t="shared" si="91"/>
        <v>0</v>
      </c>
      <c r="X524" s="5">
        <f t="shared" si="92"/>
        <v>25</v>
      </c>
      <c r="Y524" s="5">
        <f>IF(U524="Open",Lookups!$B$2-B524,X524)</f>
        <v>25</v>
      </c>
      <c r="Z524" t="str">
        <f t="shared" si="93"/>
        <v>OK</v>
      </c>
      <c r="AA524" t="str">
        <f t="shared" si="94"/>
        <v>2026-03</v>
      </c>
      <c r="AB524" t="str">
        <f t="shared" si="95"/>
        <v>2026-04</v>
      </c>
      <c r="AC524" t="str">
        <f t="shared" si="96"/>
        <v>Q1-2026</v>
      </c>
      <c r="AD524" s="5">
        <f t="shared" si="97"/>
        <v>66</v>
      </c>
      <c r="AE524" t="str">
        <f t="shared" si="98"/>
        <v>Lost</v>
      </c>
    </row>
    <row r="525" spans="1:31">
      <c r="A525" t="s">
        <v>627</v>
      </c>
      <c r="B525" s="1">
        <v>45802</v>
      </c>
      <c r="C525" t="s">
        <v>56</v>
      </c>
      <c r="D525" t="s">
        <v>57</v>
      </c>
      <c r="E525" t="s">
        <v>98</v>
      </c>
      <c r="F525" t="s">
        <v>67</v>
      </c>
      <c r="G525" t="s">
        <v>99</v>
      </c>
      <c r="H525" t="s">
        <v>47</v>
      </c>
      <c r="I525" t="s">
        <v>77</v>
      </c>
      <c r="J525" s="1">
        <v>45863</v>
      </c>
      <c r="K525" s="1">
        <v>45863</v>
      </c>
      <c r="L525" s="3">
        <v>20900</v>
      </c>
      <c r="M525" s="4">
        <v>0.03</v>
      </c>
      <c r="N525" s="4">
        <v>1</v>
      </c>
      <c r="P525">
        <v>6</v>
      </c>
      <c r="Q525" t="str">
        <f>IFERROR(VLOOKUP(E525,Lookups!$A$5:$B$24,2,FALSE),"Other")</f>
        <v>Outbound</v>
      </c>
      <c r="R525" t="str">
        <f>IFERROR(VLOOKUP(F525,Lookups!$D$5:$F$10,2,FALSE),"Unknown Product")</f>
        <v>Revenue Operations Suite</v>
      </c>
      <c r="S525" t="str">
        <f>IFERROR(VLOOKUP(F525,Lookups!$D$5:$F$10,3,FALSE),"Unknown")</f>
        <v>Revenue Ops</v>
      </c>
      <c r="T525" t="str">
        <f t="shared" si="88"/>
        <v>Mid-Market</v>
      </c>
      <c r="U525" t="str">
        <f t="shared" si="89"/>
        <v>Won</v>
      </c>
      <c r="V525" s="3">
        <f t="shared" si="90"/>
        <v>20273</v>
      </c>
      <c r="W525" s="3">
        <f t="shared" si="91"/>
        <v>0</v>
      </c>
      <c r="X525" s="5">
        <f t="shared" si="92"/>
        <v>61</v>
      </c>
      <c r="Y525" s="5">
        <f>IF(U525="Open",Lookups!$B$2-B525,X525)</f>
        <v>61</v>
      </c>
      <c r="Z525" t="str">
        <f t="shared" si="93"/>
        <v>OK</v>
      </c>
      <c r="AA525" t="str">
        <f t="shared" si="94"/>
        <v>2025-05</v>
      </c>
      <c r="AB525" t="str">
        <f t="shared" si="95"/>
        <v>2025-07</v>
      </c>
      <c r="AC525" t="str">
        <f t="shared" si="96"/>
        <v>Q2-2025</v>
      </c>
      <c r="AD525" s="5">
        <f t="shared" si="97"/>
        <v>51</v>
      </c>
      <c r="AE525" t="str">
        <f t="shared" si="98"/>
        <v>Won</v>
      </c>
    </row>
    <row r="526" spans="1:31">
      <c r="A526" t="s">
        <v>628</v>
      </c>
      <c r="B526" s="1">
        <v>45924</v>
      </c>
      <c r="C526" t="s">
        <v>56</v>
      </c>
      <c r="D526" t="s">
        <v>57</v>
      </c>
      <c r="E526" t="s">
        <v>119</v>
      </c>
      <c r="F526" t="s">
        <v>52</v>
      </c>
      <c r="G526" t="s">
        <v>99</v>
      </c>
      <c r="H526" t="s">
        <v>47</v>
      </c>
      <c r="I526" t="s">
        <v>61</v>
      </c>
      <c r="J526" s="1">
        <v>45965</v>
      </c>
      <c r="K526" s="1">
        <v>45965</v>
      </c>
      <c r="L526" s="3">
        <v>8600</v>
      </c>
      <c r="M526" s="4">
        <v>0</v>
      </c>
      <c r="N526" s="4">
        <v>0</v>
      </c>
      <c r="O526" t="s">
        <v>81</v>
      </c>
      <c r="P526">
        <v>3</v>
      </c>
      <c r="Q526" t="str">
        <f>IFERROR(VLOOKUP(E526,Lookups!$A$5:$B$24,2,FALSE),"Other")</f>
        <v>Referral</v>
      </c>
      <c r="R526" t="str">
        <f>IFERROR(VLOOKUP(F526,Lookups!$D$5:$F$10,2,FALSE),"Unknown Product")</f>
        <v>NexaCRM Core</v>
      </c>
      <c r="S526" t="str">
        <f>IFERROR(VLOOKUP(F526,Lookups!$D$5:$F$10,3,FALSE),"Unknown")</f>
        <v>CRM</v>
      </c>
      <c r="T526" t="str">
        <f t="shared" si="88"/>
        <v>SMB</v>
      </c>
      <c r="U526" t="str">
        <f t="shared" si="89"/>
        <v>Lost</v>
      </c>
      <c r="V526" s="3">
        <f t="shared" si="90"/>
        <v>0</v>
      </c>
      <c r="W526" s="3">
        <f t="shared" si="91"/>
        <v>0</v>
      </c>
      <c r="X526" s="5">
        <f t="shared" si="92"/>
        <v>41</v>
      </c>
      <c r="Y526" s="5">
        <f>IF(U526="Open",Lookups!$B$2-B526,X526)</f>
        <v>41</v>
      </c>
      <c r="Z526" t="str">
        <f t="shared" si="93"/>
        <v>OK</v>
      </c>
      <c r="AA526" t="str">
        <f t="shared" si="94"/>
        <v>2025-09</v>
      </c>
      <c r="AB526" t="str">
        <f t="shared" si="95"/>
        <v>2025-11</v>
      </c>
      <c r="AC526" t="str">
        <f t="shared" si="96"/>
        <v>Q3-2025</v>
      </c>
      <c r="AD526" s="5">
        <f t="shared" si="97"/>
        <v>54</v>
      </c>
      <c r="AE526" t="str">
        <f t="shared" si="98"/>
        <v>Lost</v>
      </c>
    </row>
    <row r="527" spans="1:31">
      <c r="A527" t="s">
        <v>629</v>
      </c>
      <c r="B527" s="1">
        <v>46206</v>
      </c>
      <c r="C527" t="s">
        <v>148</v>
      </c>
      <c r="D527" t="s">
        <v>43</v>
      </c>
      <c r="E527" t="s">
        <v>96</v>
      </c>
      <c r="F527" t="s">
        <v>59</v>
      </c>
      <c r="G527" t="s">
        <v>99</v>
      </c>
      <c r="H527" t="s">
        <v>47</v>
      </c>
      <c r="I527" t="s">
        <v>61</v>
      </c>
      <c r="J527" s="1">
        <v>46235</v>
      </c>
      <c r="K527" s="1">
        <v>46235</v>
      </c>
      <c r="L527" s="3">
        <v>11200</v>
      </c>
      <c r="M527" s="4">
        <v>0</v>
      </c>
      <c r="N527" s="4">
        <v>0</v>
      </c>
      <c r="O527" t="s">
        <v>102</v>
      </c>
      <c r="P527">
        <v>3</v>
      </c>
      <c r="Q527" t="str">
        <f>IFERROR(VLOOKUP(E527,Lookups!$A$5:$B$24,2,FALSE),"Other")</f>
        <v>LinkedIn</v>
      </c>
      <c r="R527" t="str">
        <f>IFERROR(VLOOKUP(F527,Lookups!$D$5:$F$10,2,FALSE),"Unknown Product")</f>
        <v>NexaCRM Pro</v>
      </c>
      <c r="S527" t="str">
        <f>IFERROR(VLOOKUP(F527,Lookups!$D$5:$F$10,3,FALSE),"Unknown")</f>
        <v>CRM</v>
      </c>
      <c r="T527" t="str">
        <f t="shared" si="88"/>
        <v>SMB</v>
      </c>
      <c r="U527" t="str">
        <f t="shared" si="89"/>
        <v>Lost</v>
      </c>
      <c r="V527" s="3">
        <f t="shared" si="90"/>
        <v>0</v>
      </c>
      <c r="W527" s="3">
        <f t="shared" si="91"/>
        <v>0</v>
      </c>
      <c r="X527" s="5">
        <f t="shared" si="92"/>
        <v>29</v>
      </c>
      <c r="Y527" s="5">
        <f>IF(U527="Open",Lookups!$B$2-B527,X527)</f>
        <v>29</v>
      </c>
      <c r="Z527" t="str">
        <f t="shared" si="93"/>
        <v>OK</v>
      </c>
      <c r="AA527" t="str">
        <f t="shared" si="94"/>
        <v>2026-07</v>
      </c>
      <c r="AB527" t="str">
        <f t="shared" si="95"/>
        <v>2026-08</v>
      </c>
      <c r="AC527" t="str">
        <f t="shared" si="96"/>
        <v>Q3-2026</v>
      </c>
      <c r="AD527" s="5">
        <f t="shared" si="97"/>
        <v>43</v>
      </c>
      <c r="AE527" t="str">
        <f t="shared" si="98"/>
        <v>Lost</v>
      </c>
    </row>
    <row r="528" spans="1:31">
      <c r="A528" t="s">
        <v>630</v>
      </c>
      <c r="B528" s="1">
        <v>45789</v>
      </c>
      <c r="C528" t="s">
        <v>90</v>
      </c>
      <c r="D528" t="s">
        <v>57</v>
      </c>
      <c r="E528" t="s">
        <v>132</v>
      </c>
      <c r="F528" t="s">
        <v>71</v>
      </c>
      <c r="G528" t="s">
        <v>72</v>
      </c>
      <c r="H528" t="s">
        <v>53</v>
      </c>
      <c r="I528" t="s">
        <v>61</v>
      </c>
      <c r="J528" s="1">
        <v>45841</v>
      </c>
      <c r="K528" s="1">
        <v>45841</v>
      </c>
      <c r="L528" s="3">
        <v>36100</v>
      </c>
      <c r="M528" s="4">
        <v>0</v>
      </c>
      <c r="N528" s="4">
        <v>0</v>
      </c>
      <c r="O528" t="s">
        <v>116</v>
      </c>
      <c r="P528">
        <v>4</v>
      </c>
      <c r="Q528" t="str">
        <f>IFERROR(VLOOKUP(E528,Lookups!$A$5:$B$24,2,FALSE),"Other")</f>
        <v>Other</v>
      </c>
      <c r="R528" t="str">
        <f>IFERROR(VLOOKUP(F528,Lookups!$D$5:$F$10,2,FALSE),"Unknown Product")</f>
        <v>Marketing Automation</v>
      </c>
      <c r="S528" t="str">
        <f>IFERROR(VLOOKUP(F528,Lookups!$D$5:$F$10,3,FALSE),"Unknown")</f>
        <v>Marketing</v>
      </c>
      <c r="T528" t="str">
        <f t="shared" si="88"/>
        <v>Mid-Market</v>
      </c>
      <c r="U528" t="str">
        <f t="shared" si="89"/>
        <v>Lost</v>
      </c>
      <c r="V528" s="3">
        <f t="shared" si="90"/>
        <v>0</v>
      </c>
      <c r="W528" s="3">
        <f t="shared" si="91"/>
        <v>0</v>
      </c>
      <c r="X528" s="5">
        <f t="shared" si="92"/>
        <v>52</v>
      </c>
      <c r="Y528" s="5">
        <f>IF(U528="Open",Lookups!$B$2-B528,X528)</f>
        <v>52</v>
      </c>
      <c r="Z528" t="str">
        <f t="shared" si="93"/>
        <v>OK</v>
      </c>
      <c r="AA528" t="str">
        <f t="shared" si="94"/>
        <v>2025-05</v>
      </c>
      <c r="AB528" t="str">
        <f t="shared" si="95"/>
        <v>2025-07</v>
      </c>
      <c r="AC528" t="str">
        <f t="shared" si="96"/>
        <v>Q2-2025</v>
      </c>
      <c r="AD528" s="5">
        <f t="shared" si="97"/>
        <v>59</v>
      </c>
      <c r="AE528" t="str">
        <f t="shared" si="98"/>
        <v>Lost</v>
      </c>
    </row>
    <row r="529" spans="1:31">
      <c r="A529" t="s">
        <v>631</v>
      </c>
      <c r="B529" s="1">
        <v>45773</v>
      </c>
      <c r="C529" t="s">
        <v>64</v>
      </c>
      <c r="D529" t="s">
        <v>57</v>
      </c>
      <c r="E529" t="s">
        <v>65</v>
      </c>
      <c r="F529" t="s">
        <v>133</v>
      </c>
      <c r="G529" t="s">
        <v>99</v>
      </c>
      <c r="H529" t="s">
        <v>84</v>
      </c>
      <c r="I529" t="s">
        <v>61</v>
      </c>
      <c r="J529" s="1">
        <v>45828</v>
      </c>
      <c r="K529" s="1">
        <v>45828</v>
      </c>
      <c r="L529" s="3">
        <v>82600</v>
      </c>
      <c r="M529" s="4">
        <v>0</v>
      </c>
      <c r="N529" s="4">
        <v>0</v>
      </c>
      <c r="O529" t="s">
        <v>81</v>
      </c>
      <c r="P529">
        <v>2</v>
      </c>
      <c r="Q529" t="str">
        <f>IFERROR(VLOOKUP(E529,Lookups!$A$5:$B$24,2,FALSE),"Other")</f>
        <v>Paid Search</v>
      </c>
      <c r="R529" t="str">
        <f>IFERROR(VLOOKUP(F529,Lookups!$D$5:$F$10,2,FALSE),"Unknown Product")</f>
        <v>Analytics Plus</v>
      </c>
      <c r="S529" t="str">
        <f>IFERROR(VLOOKUP(F529,Lookups!$D$5:$F$10,3,FALSE),"Unknown")</f>
        <v>Analytics</v>
      </c>
      <c r="T529" t="str">
        <f t="shared" si="88"/>
        <v>Enterprise</v>
      </c>
      <c r="U529" t="str">
        <f t="shared" si="89"/>
        <v>Lost</v>
      </c>
      <c r="V529" s="3">
        <f t="shared" si="90"/>
        <v>0</v>
      </c>
      <c r="W529" s="3">
        <f t="shared" si="91"/>
        <v>0</v>
      </c>
      <c r="X529" s="5">
        <f t="shared" si="92"/>
        <v>55</v>
      </c>
      <c r="Y529" s="5">
        <f>IF(U529="Open",Lookups!$B$2-B529,X529)</f>
        <v>55</v>
      </c>
      <c r="Z529" t="str">
        <f t="shared" si="93"/>
        <v>OK</v>
      </c>
      <c r="AA529" t="str">
        <f t="shared" si="94"/>
        <v>2025-04</v>
      </c>
      <c r="AB529" t="str">
        <f t="shared" si="95"/>
        <v>2025-06</v>
      </c>
      <c r="AC529" t="str">
        <f t="shared" si="96"/>
        <v>Q2-2025</v>
      </c>
      <c r="AD529" s="5">
        <f t="shared" si="97"/>
        <v>74</v>
      </c>
      <c r="AE529" t="str">
        <f t="shared" si="98"/>
        <v>Lost</v>
      </c>
    </row>
    <row r="530" spans="1:31">
      <c r="A530" t="s">
        <v>632</v>
      </c>
      <c r="B530" s="1">
        <v>45730</v>
      </c>
      <c r="C530" t="s">
        <v>90</v>
      </c>
      <c r="D530" t="s">
        <v>57</v>
      </c>
      <c r="E530" t="s">
        <v>160</v>
      </c>
      <c r="F530" t="s">
        <v>71</v>
      </c>
      <c r="G530" t="s">
        <v>72</v>
      </c>
      <c r="H530" t="s">
        <v>47</v>
      </c>
      <c r="I530" t="s">
        <v>77</v>
      </c>
      <c r="J530" s="1">
        <v>45742</v>
      </c>
      <c r="K530" s="1">
        <v>45742</v>
      </c>
      <c r="L530" s="3">
        <v>8800</v>
      </c>
      <c r="M530" s="4">
        <v>0.05</v>
      </c>
      <c r="N530" s="4">
        <v>1</v>
      </c>
      <c r="P530">
        <v>6</v>
      </c>
      <c r="Q530" t="str">
        <f>IFERROR(VLOOKUP(E530,Lookups!$A$5:$B$24,2,FALSE),"Other")</f>
        <v>Email</v>
      </c>
      <c r="R530" t="str">
        <f>IFERROR(VLOOKUP(F530,Lookups!$D$5:$F$10,2,FALSE),"Unknown Product")</f>
        <v>Marketing Automation</v>
      </c>
      <c r="S530" t="str">
        <f>IFERROR(VLOOKUP(F530,Lookups!$D$5:$F$10,3,FALSE),"Unknown")</f>
        <v>Marketing</v>
      </c>
      <c r="T530" t="str">
        <f t="shared" si="88"/>
        <v>SMB</v>
      </c>
      <c r="U530" t="str">
        <f t="shared" si="89"/>
        <v>Won</v>
      </c>
      <c r="V530" s="3">
        <f t="shared" si="90"/>
        <v>8360</v>
      </c>
      <c r="W530" s="3">
        <f t="shared" si="91"/>
        <v>0</v>
      </c>
      <c r="X530" s="5">
        <f t="shared" si="92"/>
        <v>12</v>
      </c>
      <c r="Y530" s="5">
        <f>IF(U530="Open",Lookups!$B$2-B530,X530)</f>
        <v>12</v>
      </c>
      <c r="Z530" t="str">
        <f t="shared" si="93"/>
        <v>OK</v>
      </c>
      <c r="AA530" t="str">
        <f t="shared" si="94"/>
        <v>2025-03</v>
      </c>
      <c r="AB530" t="str">
        <f t="shared" si="95"/>
        <v>2025-03</v>
      </c>
      <c r="AC530" t="str">
        <f t="shared" si="96"/>
        <v>Q1-2025</v>
      </c>
      <c r="AD530" s="5">
        <f t="shared" si="97"/>
        <v>47</v>
      </c>
      <c r="AE530" t="str">
        <f t="shared" si="98"/>
        <v>Won</v>
      </c>
    </row>
    <row r="531" spans="1:31">
      <c r="A531" t="s">
        <v>633</v>
      </c>
      <c r="B531" s="1">
        <v>45723</v>
      </c>
      <c r="C531" t="s">
        <v>86</v>
      </c>
      <c r="D531" t="s">
        <v>87</v>
      </c>
      <c r="E531" t="s">
        <v>123</v>
      </c>
      <c r="F531" t="s">
        <v>45</v>
      </c>
      <c r="G531" t="s">
        <v>76</v>
      </c>
      <c r="H531" t="s">
        <v>47</v>
      </c>
      <c r="I531" t="s">
        <v>48</v>
      </c>
      <c r="J531" s="1">
        <v>45966</v>
      </c>
      <c r="K531" s="1"/>
      <c r="L531" s="3">
        <v>11900</v>
      </c>
      <c r="M531" s="4">
        <v>0.05</v>
      </c>
      <c r="N531" s="4">
        <v>0.85</v>
      </c>
      <c r="P531">
        <v>5</v>
      </c>
      <c r="Q531" t="str">
        <f>IFERROR(VLOOKUP(E531,Lookups!$A$5:$B$24,2,FALSE),"Other")</f>
        <v>Email</v>
      </c>
      <c r="R531" t="str">
        <f>IFERROR(VLOOKUP(F531,Lookups!$D$5:$F$10,2,FALSE),"Unknown Product")</f>
        <v>Service Cloud</v>
      </c>
      <c r="S531" t="str">
        <f>IFERROR(VLOOKUP(F531,Lookups!$D$5:$F$10,3,FALSE),"Unknown")</f>
        <v>Customer Service</v>
      </c>
      <c r="T531" t="str">
        <f t="shared" si="88"/>
        <v>SMB</v>
      </c>
      <c r="U531" t="str">
        <f t="shared" si="89"/>
        <v>Open</v>
      </c>
      <c r="V531" s="3">
        <f t="shared" si="90"/>
        <v>0</v>
      </c>
      <c r="W531" s="3">
        <f t="shared" si="91"/>
        <v>10115</v>
      </c>
      <c r="X531" s="5" t="str">
        <f t="shared" si="92"/>
        <v/>
      </c>
      <c r="Y531" s="5">
        <f>IF(U531="Open",Lookups!$B$2-B531,X531)</f>
        <v>543</v>
      </c>
      <c r="Z531" t="str">
        <f t="shared" si="93"/>
        <v>STALE</v>
      </c>
      <c r="AA531" t="str">
        <f t="shared" si="94"/>
        <v>2025-03</v>
      </c>
      <c r="AB531" t="str">
        <f t="shared" si="95"/>
        <v/>
      </c>
      <c r="AC531" t="str">
        <f t="shared" si="96"/>
        <v>Q1-2025</v>
      </c>
      <c r="AD531" s="5">
        <f t="shared" si="97"/>
        <v>47</v>
      </c>
      <c r="AE531" t="str">
        <f t="shared" si="98"/>
        <v>Commit</v>
      </c>
    </row>
    <row r="532" spans="1:31">
      <c r="A532" t="s">
        <v>634</v>
      </c>
      <c r="B532" s="1">
        <v>45768</v>
      </c>
      <c r="C532" t="s">
        <v>56</v>
      </c>
      <c r="D532" t="s">
        <v>57</v>
      </c>
      <c r="E532" t="s">
        <v>75</v>
      </c>
      <c r="F532" t="s">
        <v>67</v>
      </c>
      <c r="G532" t="s">
        <v>46</v>
      </c>
      <c r="H532" t="s">
        <v>47</v>
      </c>
      <c r="I532" t="s">
        <v>61</v>
      </c>
      <c r="J532" s="1">
        <v>45800</v>
      </c>
      <c r="K532" s="1">
        <v>45800</v>
      </c>
      <c r="L532" s="3">
        <v>38400</v>
      </c>
      <c r="M532" s="4">
        <v>0</v>
      </c>
      <c r="N532" s="4">
        <v>0</v>
      </c>
      <c r="O532" t="s">
        <v>102</v>
      </c>
      <c r="P532">
        <v>4</v>
      </c>
      <c r="Q532" t="str">
        <f>IFERROR(VLOOKUP(E532,Lookups!$A$5:$B$24,2,FALSE),"Other")</f>
        <v>Webinar</v>
      </c>
      <c r="R532" t="str">
        <f>IFERROR(VLOOKUP(F532,Lookups!$D$5:$F$10,2,FALSE),"Unknown Product")</f>
        <v>Revenue Operations Suite</v>
      </c>
      <c r="S532" t="str">
        <f>IFERROR(VLOOKUP(F532,Lookups!$D$5:$F$10,3,FALSE),"Unknown")</f>
        <v>Revenue Ops</v>
      </c>
      <c r="T532" t="str">
        <f t="shared" si="88"/>
        <v>Mid-Market</v>
      </c>
      <c r="U532" t="str">
        <f t="shared" si="89"/>
        <v>Lost</v>
      </c>
      <c r="V532" s="3">
        <f t="shared" si="90"/>
        <v>0</v>
      </c>
      <c r="W532" s="3">
        <f t="shared" si="91"/>
        <v>0</v>
      </c>
      <c r="X532" s="5">
        <f t="shared" si="92"/>
        <v>32</v>
      </c>
      <c r="Y532" s="5">
        <f>IF(U532="Open",Lookups!$B$2-B532,X532)</f>
        <v>32</v>
      </c>
      <c r="Z532" t="str">
        <f t="shared" si="93"/>
        <v>OK</v>
      </c>
      <c r="AA532" t="str">
        <f t="shared" si="94"/>
        <v>2025-04</v>
      </c>
      <c r="AB532" t="str">
        <f t="shared" si="95"/>
        <v>2025-05</v>
      </c>
      <c r="AC532" t="str">
        <f t="shared" si="96"/>
        <v>Q2-2025</v>
      </c>
      <c r="AD532" s="5">
        <f t="shared" si="97"/>
        <v>51</v>
      </c>
      <c r="AE532" t="str">
        <f t="shared" si="98"/>
        <v>Lost</v>
      </c>
    </row>
    <row r="533" spans="1:31">
      <c r="A533" t="s">
        <v>635</v>
      </c>
      <c r="B533" s="1">
        <v>45748</v>
      </c>
      <c r="C533" t="s">
        <v>42</v>
      </c>
      <c r="D533" t="s">
        <v>43</v>
      </c>
      <c r="E533" t="s">
        <v>58</v>
      </c>
      <c r="F533" t="s">
        <v>71</v>
      </c>
      <c r="G533" t="s">
        <v>76</v>
      </c>
      <c r="H533" t="s">
        <v>84</v>
      </c>
      <c r="I533" t="s">
        <v>61</v>
      </c>
      <c r="J533" s="1">
        <v>45824</v>
      </c>
      <c r="K533" s="1">
        <v>45824</v>
      </c>
      <c r="L533" s="3">
        <v>61300</v>
      </c>
      <c r="M533" s="4">
        <v>0</v>
      </c>
      <c r="N533" s="4">
        <v>0</v>
      </c>
      <c r="O533" t="s">
        <v>79</v>
      </c>
      <c r="P533">
        <v>5</v>
      </c>
      <c r="Q533" t="str">
        <f>IFERROR(VLOOKUP(E533,Lookups!$A$5:$B$24,2,FALSE),"Other")</f>
        <v>Email</v>
      </c>
      <c r="R533" t="str">
        <f>IFERROR(VLOOKUP(F533,Lookups!$D$5:$F$10,2,FALSE),"Unknown Product")</f>
        <v>Marketing Automation</v>
      </c>
      <c r="S533" t="str">
        <f>IFERROR(VLOOKUP(F533,Lookups!$D$5:$F$10,3,FALSE),"Unknown")</f>
        <v>Marketing</v>
      </c>
      <c r="T533" t="str">
        <f t="shared" si="88"/>
        <v>Enterprise</v>
      </c>
      <c r="U533" t="str">
        <f t="shared" si="89"/>
        <v>Lost</v>
      </c>
      <c r="V533" s="3">
        <f t="shared" si="90"/>
        <v>0</v>
      </c>
      <c r="W533" s="3">
        <f t="shared" si="91"/>
        <v>0</v>
      </c>
      <c r="X533" s="5">
        <f t="shared" si="92"/>
        <v>76</v>
      </c>
      <c r="Y533" s="5">
        <f>IF(U533="Open",Lookups!$B$2-B533,X533)</f>
        <v>76</v>
      </c>
      <c r="Z533" t="str">
        <f t="shared" si="93"/>
        <v>OK</v>
      </c>
      <c r="AA533" t="str">
        <f t="shared" si="94"/>
        <v>2025-04</v>
      </c>
      <c r="AB533" t="str">
        <f t="shared" si="95"/>
        <v>2025-06</v>
      </c>
      <c r="AC533" t="str">
        <f t="shared" si="96"/>
        <v>Q2-2025</v>
      </c>
      <c r="AD533" s="5">
        <f t="shared" si="97"/>
        <v>78</v>
      </c>
      <c r="AE533" t="str">
        <f t="shared" si="98"/>
        <v>Lost</v>
      </c>
    </row>
    <row r="534" spans="1:31">
      <c r="A534" t="s">
        <v>636</v>
      </c>
      <c r="B534" s="1">
        <v>45814</v>
      </c>
      <c r="C534" t="s">
        <v>90</v>
      </c>
      <c r="D534" t="s">
        <v>57</v>
      </c>
      <c r="E534" t="s">
        <v>65</v>
      </c>
      <c r="F534" t="s">
        <v>133</v>
      </c>
      <c r="G534" t="s">
        <v>112</v>
      </c>
      <c r="H534" t="s">
        <v>47</v>
      </c>
      <c r="I534" t="s">
        <v>48</v>
      </c>
      <c r="J534" s="1">
        <v>46155</v>
      </c>
      <c r="K534" s="1"/>
      <c r="L534" s="3">
        <v>20100</v>
      </c>
      <c r="M534" s="4">
        <v>0.03</v>
      </c>
      <c r="N534" s="4">
        <v>0.85</v>
      </c>
      <c r="P534">
        <v>5</v>
      </c>
      <c r="Q534" t="str">
        <f>IFERROR(VLOOKUP(E534,Lookups!$A$5:$B$24,2,FALSE),"Other")</f>
        <v>Paid Search</v>
      </c>
      <c r="R534" t="str">
        <f>IFERROR(VLOOKUP(F534,Lookups!$D$5:$F$10,2,FALSE),"Unknown Product")</f>
        <v>Analytics Plus</v>
      </c>
      <c r="S534" t="str">
        <f>IFERROR(VLOOKUP(F534,Lookups!$D$5:$F$10,3,FALSE),"Unknown")</f>
        <v>Analytics</v>
      </c>
      <c r="T534" t="str">
        <f t="shared" si="88"/>
        <v>Mid-Market</v>
      </c>
      <c r="U534" t="str">
        <f t="shared" si="89"/>
        <v>Open</v>
      </c>
      <c r="V534" s="3">
        <f t="shared" si="90"/>
        <v>0</v>
      </c>
      <c r="W534" s="3">
        <f t="shared" si="91"/>
        <v>17085</v>
      </c>
      <c r="X534" s="5" t="str">
        <f t="shared" si="92"/>
        <v/>
      </c>
      <c r="Y534" s="5">
        <f>IF(U534="Open",Lookups!$B$2-B534,X534)</f>
        <v>452</v>
      </c>
      <c r="Z534" t="str">
        <f t="shared" si="93"/>
        <v>STALE</v>
      </c>
      <c r="AA534" t="str">
        <f t="shared" si="94"/>
        <v>2025-06</v>
      </c>
      <c r="AB534" t="str">
        <f t="shared" si="95"/>
        <v/>
      </c>
      <c r="AC534" t="str">
        <f t="shared" si="96"/>
        <v>Q2-2025</v>
      </c>
      <c r="AD534" s="5">
        <f t="shared" si="97"/>
        <v>56</v>
      </c>
      <c r="AE534" t="str">
        <f t="shared" si="98"/>
        <v>Commit</v>
      </c>
    </row>
    <row r="535" spans="1:31">
      <c r="A535" t="s">
        <v>637</v>
      </c>
      <c r="B535" s="1">
        <v>45757</v>
      </c>
      <c r="C535" t="s">
        <v>56</v>
      </c>
      <c r="D535" t="s">
        <v>57</v>
      </c>
      <c r="E535" t="s">
        <v>83</v>
      </c>
      <c r="F535" t="s">
        <v>71</v>
      </c>
      <c r="G535" t="s">
        <v>76</v>
      </c>
      <c r="H535" t="s">
        <v>53</v>
      </c>
      <c r="I535" t="s">
        <v>61</v>
      </c>
      <c r="J535" s="1">
        <v>45813</v>
      </c>
      <c r="K535" s="1">
        <v>45813</v>
      </c>
      <c r="L535" s="3">
        <v>37500</v>
      </c>
      <c r="M535" s="4">
        <v>0</v>
      </c>
      <c r="N535" s="4">
        <v>0</v>
      </c>
      <c r="O535" t="s">
        <v>116</v>
      </c>
      <c r="P535">
        <v>3</v>
      </c>
      <c r="Q535" t="str">
        <f>IFERROR(VLOOKUP(E535,Lookups!$A$5:$B$24,2,FALSE),"Other")</f>
        <v>Organic Search</v>
      </c>
      <c r="R535" t="str">
        <f>IFERROR(VLOOKUP(F535,Lookups!$D$5:$F$10,2,FALSE),"Unknown Product")</f>
        <v>Marketing Automation</v>
      </c>
      <c r="S535" t="str">
        <f>IFERROR(VLOOKUP(F535,Lookups!$D$5:$F$10,3,FALSE),"Unknown")</f>
        <v>Marketing</v>
      </c>
      <c r="T535" t="str">
        <f t="shared" si="88"/>
        <v>Mid-Market</v>
      </c>
      <c r="U535" t="str">
        <f t="shared" si="89"/>
        <v>Lost</v>
      </c>
      <c r="V535" s="3">
        <f t="shared" si="90"/>
        <v>0</v>
      </c>
      <c r="W535" s="3">
        <f t="shared" si="91"/>
        <v>0</v>
      </c>
      <c r="X535" s="5">
        <f t="shared" si="92"/>
        <v>56</v>
      </c>
      <c r="Y535" s="5">
        <f>IF(U535="Open",Lookups!$B$2-B535,X535)</f>
        <v>56</v>
      </c>
      <c r="Z535" t="str">
        <f t="shared" si="93"/>
        <v>OK</v>
      </c>
      <c r="AA535" t="str">
        <f t="shared" si="94"/>
        <v>2025-04</v>
      </c>
      <c r="AB535" t="str">
        <f t="shared" si="95"/>
        <v>2025-06</v>
      </c>
      <c r="AC535" t="str">
        <f t="shared" si="96"/>
        <v>Q2-2025</v>
      </c>
      <c r="AD535" s="5">
        <f t="shared" si="97"/>
        <v>65</v>
      </c>
      <c r="AE535" t="str">
        <f t="shared" si="98"/>
        <v>Lost</v>
      </c>
    </row>
    <row r="536" spans="1:31">
      <c r="A536" t="s">
        <v>638</v>
      </c>
      <c r="B536" s="1">
        <v>46158</v>
      </c>
      <c r="C536" t="s">
        <v>86</v>
      </c>
      <c r="D536" t="s">
        <v>87</v>
      </c>
      <c r="E536" t="s">
        <v>96</v>
      </c>
      <c r="F536" t="s">
        <v>67</v>
      </c>
      <c r="G536" t="s">
        <v>94</v>
      </c>
      <c r="H536" t="s">
        <v>47</v>
      </c>
      <c r="I536" t="s">
        <v>77</v>
      </c>
      <c r="J536" s="1">
        <v>46227</v>
      </c>
      <c r="K536" s="1">
        <v>46227</v>
      </c>
      <c r="L536" s="3">
        <v>29700</v>
      </c>
      <c r="M536" s="4">
        <v>0.05</v>
      </c>
      <c r="N536" s="4">
        <v>1</v>
      </c>
      <c r="P536">
        <v>6</v>
      </c>
      <c r="Q536" t="str">
        <f>IFERROR(VLOOKUP(E536,Lookups!$A$5:$B$24,2,FALSE),"Other")</f>
        <v>LinkedIn</v>
      </c>
      <c r="R536" t="str">
        <f>IFERROR(VLOOKUP(F536,Lookups!$D$5:$F$10,2,FALSE),"Unknown Product")</f>
        <v>Revenue Operations Suite</v>
      </c>
      <c r="S536" t="str">
        <f>IFERROR(VLOOKUP(F536,Lookups!$D$5:$F$10,3,FALSE),"Unknown")</f>
        <v>Revenue Ops</v>
      </c>
      <c r="T536" t="str">
        <f t="shared" si="88"/>
        <v>Mid-Market</v>
      </c>
      <c r="U536" t="str">
        <f t="shared" si="89"/>
        <v>Won</v>
      </c>
      <c r="V536" s="3">
        <f t="shared" si="90"/>
        <v>28215</v>
      </c>
      <c r="W536" s="3">
        <f t="shared" si="91"/>
        <v>0</v>
      </c>
      <c r="X536" s="5">
        <f t="shared" si="92"/>
        <v>69</v>
      </c>
      <c r="Y536" s="5">
        <f>IF(U536="Open",Lookups!$B$2-B536,X536)</f>
        <v>69</v>
      </c>
      <c r="Z536" t="str">
        <f t="shared" si="93"/>
        <v>OK</v>
      </c>
      <c r="AA536" t="str">
        <f t="shared" si="94"/>
        <v>2026-05</v>
      </c>
      <c r="AB536" t="str">
        <f t="shared" si="95"/>
        <v>2026-07</v>
      </c>
      <c r="AC536" t="str">
        <f t="shared" si="96"/>
        <v>Q2-2026</v>
      </c>
      <c r="AD536" s="5">
        <f t="shared" si="97"/>
        <v>51</v>
      </c>
      <c r="AE536" t="str">
        <f t="shared" si="98"/>
        <v>Won</v>
      </c>
    </row>
    <row r="537" spans="1:31">
      <c r="A537" t="s">
        <v>639</v>
      </c>
      <c r="B537" s="1">
        <v>45808</v>
      </c>
      <c r="C537" t="s">
        <v>56</v>
      </c>
      <c r="D537" t="s">
        <v>57</v>
      </c>
      <c r="E537" t="s">
        <v>70</v>
      </c>
      <c r="F537" t="s">
        <v>52</v>
      </c>
      <c r="G537" t="s">
        <v>46</v>
      </c>
      <c r="H537" t="s">
        <v>53</v>
      </c>
      <c r="I537" t="s">
        <v>61</v>
      </c>
      <c r="J537" s="1">
        <v>45864</v>
      </c>
      <c r="K537" s="1">
        <v>45864</v>
      </c>
      <c r="L537" s="3">
        <v>13800</v>
      </c>
      <c r="M537" s="4">
        <v>0</v>
      </c>
      <c r="N537" s="4">
        <v>0</v>
      </c>
      <c r="O537" t="s">
        <v>79</v>
      </c>
      <c r="P537">
        <v>2</v>
      </c>
      <c r="Q537" t="str">
        <f>IFERROR(VLOOKUP(E537,Lookups!$A$5:$B$24,2,FALSE),"Other")</f>
        <v>LinkedIn</v>
      </c>
      <c r="R537" t="str">
        <f>IFERROR(VLOOKUP(F537,Lookups!$D$5:$F$10,2,FALSE),"Unknown Product")</f>
        <v>NexaCRM Core</v>
      </c>
      <c r="S537" t="str">
        <f>IFERROR(VLOOKUP(F537,Lookups!$D$5:$F$10,3,FALSE),"Unknown")</f>
        <v>CRM</v>
      </c>
      <c r="T537" t="str">
        <f t="shared" si="88"/>
        <v>SMB</v>
      </c>
      <c r="U537" t="str">
        <f t="shared" si="89"/>
        <v>Lost</v>
      </c>
      <c r="V537" s="3">
        <f t="shared" si="90"/>
        <v>0</v>
      </c>
      <c r="W537" s="3">
        <f t="shared" si="91"/>
        <v>0</v>
      </c>
      <c r="X537" s="5">
        <f t="shared" si="92"/>
        <v>56</v>
      </c>
      <c r="Y537" s="5">
        <f>IF(U537="Open",Lookups!$B$2-B537,X537)</f>
        <v>56</v>
      </c>
      <c r="Z537" t="str">
        <f t="shared" si="93"/>
        <v>OK</v>
      </c>
      <c r="AA537" t="str">
        <f t="shared" si="94"/>
        <v>2025-05</v>
      </c>
      <c r="AB537" t="str">
        <f t="shared" si="95"/>
        <v>2025-07</v>
      </c>
      <c r="AC537" t="str">
        <f t="shared" si="96"/>
        <v>Q2-2025</v>
      </c>
      <c r="AD537" s="5">
        <f t="shared" si="97"/>
        <v>51</v>
      </c>
      <c r="AE537" t="str">
        <f t="shared" si="98"/>
        <v>Lost</v>
      </c>
    </row>
    <row r="538" spans="1:31">
      <c r="A538" t="s">
        <v>640</v>
      </c>
      <c r="B538" s="1">
        <v>46217</v>
      </c>
      <c r="C538" t="s">
        <v>148</v>
      </c>
      <c r="D538" t="s">
        <v>43</v>
      </c>
      <c r="E538" t="s">
        <v>166</v>
      </c>
      <c r="F538" t="s">
        <v>59</v>
      </c>
      <c r="G538" t="s">
        <v>72</v>
      </c>
      <c r="H538" t="s">
        <v>47</v>
      </c>
      <c r="I538" t="s">
        <v>77</v>
      </c>
      <c r="J538" s="1">
        <v>46241</v>
      </c>
      <c r="K538" s="1">
        <v>46241</v>
      </c>
      <c r="L538" s="3">
        <v>13400</v>
      </c>
      <c r="M538" s="4">
        <v>0.05</v>
      </c>
      <c r="N538" s="4">
        <v>1</v>
      </c>
      <c r="P538">
        <v>6</v>
      </c>
      <c r="Q538" t="str">
        <f>IFERROR(VLOOKUP(E538,Lookups!$A$5:$B$24,2,FALSE),"Other")</f>
        <v>Referral</v>
      </c>
      <c r="R538" t="str">
        <f>IFERROR(VLOOKUP(F538,Lookups!$D$5:$F$10,2,FALSE),"Unknown Product")</f>
        <v>NexaCRM Pro</v>
      </c>
      <c r="S538" t="str">
        <f>IFERROR(VLOOKUP(F538,Lookups!$D$5:$F$10,3,FALSE),"Unknown")</f>
        <v>CRM</v>
      </c>
      <c r="T538" t="str">
        <f t="shared" si="88"/>
        <v>SMB</v>
      </c>
      <c r="U538" t="str">
        <f t="shared" si="89"/>
        <v>Won</v>
      </c>
      <c r="V538" s="3">
        <f t="shared" si="90"/>
        <v>12730</v>
      </c>
      <c r="W538" s="3">
        <f t="shared" si="91"/>
        <v>0</v>
      </c>
      <c r="X538" s="5">
        <f t="shared" si="92"/>
        <v>24</v>
      </c>
      <c r="Y538" s="5">
        <f>IF(U538="Open",Lookups!$B$2-B538,X538)</f>
        <v>24</v>
      </c>
      <c r="Z538" t="str">
        <f t="shared" si="93"/>
        <v>OK</v>
      </c>
      <c r="AA538" t="str">
        <f t="shared" si="94"/>
        <v>2026-07</v>
      </c>
      <c r="AB538" t="str">
        <f t="shared" si="95"/>
        <v>2026-08</v>
      </c>
      <c r="AC538" t="str">
        <f t="shared" si="96"/>
        <v>Q3-2026</v>
      </c>
      <c r="AD538" s="5">
        <f t="shared" si="97"/>
        <v>54</v>
      </c>
      <c r="AE538" t="str">
        <f t="shared" si="98"/>
        <v>Won</v>
      </c>
    </row>
    <row r="539" spans="1:31">
      <c r="A539" t="s">
        <v>641</v>
      </c>
      <c r="B539" s="1">
        <v>45923</v>
      </c>
      <c r="C539" t="s">
        <v>86</v>
      </c>
      <c r="D539" t="s">
        <v>87</v>
      </c>
      <c r="E539" t="s">
        <v>160</v>
      </c>
      <c r="F539" t="s">
        <v>71</v>
      </c>
      <c r="G539" t="s">
        <v>72</v>
      </c>
      <c r="H539" t="s">
        <v>84</v>
      </c>
      <c r="I539" t="s">
        <v>61</v>
      </c>
      <c r="J539" s="1">
        <v>45987</v>
      </c>
      <c r="K539" s="1">
        <v>45987</v>
      </c>
      <c r="L539" s="3">
        <v>70300</v>
      </c>
      <c r="M539" s="4">
        <v>0</v>
      </c>
      <c r="N539" s="4">
        <v>0</v>
      </c>
      <c r="O539" t="s">
        <v>81</v>
      </c>
      <c r="P539">
        <v>2</v>
      </c>
      <c r="Q539" t="str">
        <f>IFERROR(VLOOKUP(E539,Lookups!$A$5:$B$24,2,FALSE),"Other")</f>
        <v>Email</v>
      </c>
      <c r="R539" t="str">
        <f>IFERROR(VLOOKUP(F539,Lookups!$D$5:$F$10,2,FALSE),"Unknown Product")</f>
        <v>Marketing Automation</v>
      </c>
      <c r="S539" t="str">
        <f>IFERROR(VLOOKUP(F539,Lookups!$D$5:$F$10,3,FALSE),"Unknown")</f>
        <v>Marketing</v>
      </c>
      <c r="T539" t="str">
        <f t="shared" si="88"/>
        <v>Enterprise</v>
      </c>
      <c r="U539" t="str">
        <f t="shared" si="89"/>
        <v>Lost</v>
      </c>
      <c r="V539" s="3">
        <f t="shared" si="90"/>
        <v>0</v>
      </c>
      <c r="W539" s="3">
        <f t="shared" si="91"/>
        <v>0</v>
      </c>
      <c r="X539" s="5">
        <f t="shared" si="92"/>
        <v>64</v>
      </c>
      <c r="Y539" s="5">
        <f>IF(U539="Open",Lookups!$B$2-B539,X539)</f>
        <v>64</v>
      </c>
      <c r="Z539" t="str">
        <f t="shared" si="93"/>
        <v>OK</v>
      </c>
      <c r="AA539" t="str">
        <f t="shared" si="94"/>
        <v>2025-09</v>
      </c>
      <c r="AB539" t="str">
        <f t="shared" si="95"/>
        <v>2025-11</v>
      </c>
      <c r="AC539" t="str">
        <f t="shared" si="96"/>
        <v>Q3-2025</v>
      </c>
      <c r="AD539" s="5">
        <f t="shared" si="97"/>
        <v>78</v>
      </c>
      <c r="AE539" t="str">
        <f t="shared" si="98"/>
        <v>Lost</v>
      </c>
    </row>
    <row r="540" spans="1:31">
      <c r="A540" t="s">
        <v>642</v>
      </c>
      <c r="B540" s="1">
        <v>46058</v>
      </c>
      <c r="C540" t="s">
        <v>56</v>
      </c>
      <c r="D540" t="s">
        <v>57</v>
      </c>
      <c r="E540" t="s">
        <v>146</v>
      </c>
      <c r="F540" t="s">
        <v>133</v>
      </c>
      <c r="G540" t="s">
        <v>60</v>
      </c>
      <c r="H540" t="s">
        <v>53</v>
      </c>
      <c r="I540" t="s">
        <v>61</v>
      </c>
      <c r="J540" s="1">
        <v>46093</v>
      </c>
      <c r="K540" s="1">
        <v>46093</v>
      </c>
      <c r="L540" s="3">
        <v>33200</v>
      </c>
      <c r="M540" s="4">
        <v>0</v>
      </c>
      <c r="N540" s="4">
        <v>0</v>
      </c>
      <c r="O540" t="s">
        <v>81</v>
      </c>
      <c r="P540">
        <v>3</v>
      </c>
      <c r="Q540" t="str">
        <f>IFERROR(VLOOKUP(E540,Lookups!$A$5:$B$24,2,FALSE),"Other")</f>
        <v>LinkedIn</v>
      </c>
      <c r="R540" t="str">
        <f>IFERROR(VLOOKUP(F540,Lookups!$D$5:$F$10,2,FALSE),"Unknown Product")</f>
        <v>Analytics Plus</v>
      </c>
      <c r="S540" t="str">
        <f>IFERROR(VLOOKUP(F540,Lookups!$D$5:$F$10,3,FALSE),"Unknown")</f>
        <v>Analytics</v>
      </c>
      <c r="T540" t="str">
        <f t="shared" si="88"/>
        <v>Mid-Market</v>
      </c>
      <c r="U540" t="str">
        <f t="shared" si="89"/>
        <v>Lost</v>
      </c>
      <c r="V540" s="3">
        <f t="shared" si="90"/>
        <v>0</v>
      </c>
      <c r="W540" s="3">
        <f t="shared" si="91"/>
        <v>0</v>
      </c>
      <c r="X540" s="5">
        <f t="shared" si="92"/>
        <v>35</v>
      </c>
      <c r="Y540" s="5">
        <f>IF(U540="Open",Lookups!$B$2-B540,X540)</f>
        <v>35</v>
      </c>
      <c r="Z540" t="str">
        <f t="shared" si="93"/>
        <v>OK</v>
      </c>
      <c r="AA540" t="str">
        <f t="shared" si="94"/>
        <v>2026-02</v>
      </c>
      <c r="AB540" t="str">
        <f t="shared" si="95"/>
        <v>2026-03</v>
      </c>
      <c r="AC540" t="str">
        <f t="shared" si="96"/>
        <v>Q1-2026</v>
      </c>
      <c r="AD540" s="5">
        <f t="shared" si="97"/>
        <v>59</v>
      </c>
      <c r="AE540" t="str">
        <f t="shared" si="98"/>
        <v>Lost</v>
      </c>
    </row>
    <row r="541" spans="1:31">
      <c r="A541" t="s">
        <v>643</v>
      </c>
      <c r="B541" s="1">
        <v>46081</v>
      </c>
      <c r="C541" t="s">
        <v>50</v>
      </c>
      <c r="D541" t="s">
        <v>43</v>
      </c>
      <c r="E541" t="s">
        <v>127</v>
      </c>
      <c r="F541" t="s">
        <v>67</v>
      </c>
      <c r="G541" t="s">
        <v>99</v>
      </c>
      <c r="H541" t="s">
        <v>47</v>
      </c>
      <c r="I541" t="s">
        <v>48</v>
      </c>
      <c r="J541" s="1">
        <v>46230</v>
      </c>
      <c r="K541" s="1"/>
      <c r="L541" s="3">
        <v>35500</v>
      </c>
      <c r="M541" s="4">
        <v>0.05</v>
      </c>
      <c r="N541" s="4">
        <v>0.85</v>
      </c>
      <c r="P541">
        <v>5</v>
      </c>
      <c r="Q541" t="str">
        <f>IFERROR(VLOOKUP(E541,Lookups!$A$5:$B$24,2,FALSE),"Other")</f>
        <v>Paid Search</v>
      </c>
      <c r="R541" t="str">
        <f>IFERROR(VLOOKUP(F541,Lookups!$D$5:$F$10,2,FALSE),"Unknown Product")</f>
        <v>Revenue Operations Suite</v>
      </c>
      <c r="S541" t="str">
        <f>IFERROR(VLOOKUP(F541,Lookups!$D$5:$F$10,3,FALSE),"Unknown")</f>
        <v>Revenue Ops</v>
      </c>
      <c r="T541" t="str">
        <f t="shared" si="88"/>
        <v>Mid-Market</v>
      </c>
      <c r="U541" t="str">
        <f t="shared" si="89"/>
        <v>Open</v>
      </c>
      <c r="V541" s="3">
        <f t="shared" si="90"/>
        <v>0</v>
      </c>
      <c r="W541" s="3">
        <f t="shared" si="91"/>
        <v>30175</v>
      </c>
      <c r="X541" s="5" t="str">
        <f t="shared" si="92"/>
        <v/>
      </c>
      <c r="Y541" s="5">
        <f>IF(U541="Open",Lookups!$B$2-B541,X541)</f>
        <v>185</v>
      </c>
      <c r="Z541" t="str">
        <f t="shared" si="93"/>
        <v>STALE</v>
      </c>
      <c r="AA541" t="str">
        <f t="shared" si="94"/>
        <v>2026-02</v>
      </c>
      <c r="AB541" t="str">
        <f t="shared" si="95"/>
        <v/>
      </c>
      <c r="AC541" t="str">
        <f t="shared" si="96"/>
        <v>Q1-2026</v>
      </c>
      <c r="AD541" s="5">
        <f t="shared" si="97"/>
        <v>51</v>
      </c>
      <c r="AE541" t="str">
        <f t="shared" si="98"/>
        <v>Commit</v>
      </c>
    </row>
    <row r="542" spans="1:31">
      <c r="A542" t="s">
        <v>644</v>
      </c>
      <c r="B542" s="1">
        <v>45937</v>
      </c>
      <c r="C542" t="s">
        <v>69</v>
      </c>
      <c r="D542" t="s">
        <v>57</v>
      </c>
      <c r="E542" t="s">
        <v>92</v>
      </c>
      <c r="F542" t="s">
        <v>59</v>
      </c>
      <c r="G542" t="s">
        <v>112</v>
      </c>
      <c r="H542" t="s">
        <v>47</v>
      </c>
      <c r="I542" t="s">
        <v>77</v>
      </c>
      <c r="J542" s="1">
        <v>45981</v>
      </c>
      <c r="K542" s="1">
        <v>45981</v>
      </c>
      <c r="L542" s="3">
        <v>17900</v>
      </c>
      <c r="M542" s="4">
        <v>0.05</v>
      </c>
      <c r="N542" s="4">
        <v>1</v>
      </c>
      <c r="P542">
        <v>6</v>
      </c>
      <c r="Q542" t="str">
        <f>IFERROR(VLOOKUP(E542,Lookups!$A$5:$B$24,2,FALSE),"Other")</f>
        <v>Webinar</v>
      </c>
      <c r="R542" t="str">
        <f>IFERROR(VLOOKUP(F542,Lookups!$D$5:$F$10,2,FALSE),"Unknown Product")</f>
        <v>NexaCRM Pro</v>
      </c>
      <c r="S542" t="str">
        <f>IFERROR(VLOOKUP(F542,Lookups!$D$5:$F$10,3,FALSE),"Unknown")</f>
        <v>CRM</v>
      </c>
      <c r="T542" t="str">
        <f t="shared" si="88"/>
        <v>SMB</v>
      </c>
      <c r="U542" t="str">
        <f t="shared" si="89"/>
        <v>Won</v>
      </c>
      <c r="V542" s="3">
        <f t="shared" si="90"/>
        <v>17005</v>
      </c>
      <c r="W542" s="3">
        <f t="shared" si="91"/>
        <v>0</v>
      </c>
      <c r="X542" s="5">
        <f t="shared" si="92"/>
        <v>44</v>
      </c>
      <c r="Y542" s="5">
        <f>IF(U542="Open",Lookups!$B$2-B542,X542)</f>
        <v>44</v>
      </c>
      <c r="Z542" t="str">
        <f t="shared" si="93"/>
        <v>OK</v>
      </c>
      <c r="AA542" t="str">
        <f t="shared" si="94"/>
        <v>2025-10</v>
      </c>
      <c r="AB542" t="str">
        <f t="shared" si="95"/>
        <v>2025-11</v>
      </c>
      <c r="AC542" t="str">
        <f t="shared" si="96"/>
        <v>Q4-2025</v>
      </c>
      <c r="AD542" s="5">
        <f t="shared" si="97"/>
        <v>48</v>
      </c>
      <c r="AE542" t="str">
        <f t="shared" si="98"/>
        <v>Won</v>
      </c>
    </row>
    <row r="543" spans="1:31">
      <c r="A543" t="s">
        <v>645</v>
      </c>
      <c r="B543" s="1">
        <v>46114</v>
      </c>
      <c r="C543" t="s">
        <v>64</v>
      </c>
      <c r="D543" t="s">
        <v>57</v>
      </c>
      <c r="E543" t="s">
        <v>132</v>
      </c>
      <c r="F543" t="s">
        <v>59</v>
      </c>
      <c r="G543" t="s">
        <v>94</v>
      </c>
      <c r="H543" t="s">
        <v>47</v>
      </c>
      <c r="I543" t="s">
        <v>77</v>
      </c>
      <c r="J543" s="1">
        <v>46145</v>
      </c>
      <c r="K543" s="1">
        <v>46145</v>
      </c>
      <c r="L543" s="3">
        <v>17200</v>
      </c>
      <c r="M543" s="4">
        <v>0.1</v>
      </c>
      <c r="N543" s="4">
        <v>1</v>
      </c>
      <c r="P543">
        <v>6</v>
      </c>
      <c r="Q543" t="str">
        <f>IFERROR(VLOOKUP(E543,Lookups!$A$5:$B$24,2,FALSE),"Other")</f>
        <v>Other</v>
      </c>
      <c r="R543" t="str">
        <f>IFERROR(VLOOKUP(F543,Lookups!$D$5:$F$10,2,FALSE),"Unknown Product")</f>
        <v>NexaCRM Pro</v>
      </c>
      <c r="S543" t="str">
        <f>IFERROR(VLOOKUP(F543,Lookups!$D$5:$F$10,3,FALSE),"Unknown")</f>
        <v>CRM</v>
      </c>
      <c r="T543" t="str">
        <f t="shared" si="88"/>
        <v>SMB</v>
      </c>
      <c r="U543" t="str">
        <f t="shared" si="89"/>
        <v>Won</v>
      </c>
      <c r="V543" s="3">
        <f t="shared" si="90"/>
        <v>15480</v>
      </c>
      <c r="W543" s="3">
        <f t="shared" si="91"/>
        <v>0</v>
      </c>
      <c r="X543" s="5">
        <f t="shared" si="92"/>
        <v>31</v>
      </c>
      <c r="Y543" s="5">
        <f>IF(U543="Open",Lookups!$B$2-B543,X543)</f>
        <v>31</v>
      </c>
      <c r="Z543" t="str">
        <f t="shared" si="93"/>
        <v>OK</v>
      </c>
      <c r="AA543" t="str">
        <f t="shared" si="94"/>
        <v>2026-04</v>
      </c>
      <c r="AB543" t="str">
        <f t="shared" si="95"/>
        <v>2026-05</v>
      </c>
      <c r="AC543" t="str">
        <f t="shared" si="96"/>
        <v>Q2-2026</v>
      </c>
      <c r="AD543" s="5">
        <f t="shared" si="97"/>
        <v>43</v>
      </c>
      <c r="AE543" t="str">
        <f t="shared" si="98"/>
        <v>Won</v>
      </c>
    </row>
    <row r="544" spans="1:31">
      <c r="A544" t="s">
        <v>646</v>
      </c>
      <c r="B544" s="1">
        <v>46093</v>
      </c>
      <c r="C544" t="s">
        <v>148</v>
      </c>
      <c r="D544" t="s">
        <v>43</v>
      </c>
      <c r="E544" t="s">
        <v>98</v>
      </c>
      <c r="F544" t="s">
        <v>59</v>
      </c>
      <c r="G544" t="s">
        <v>99</v>
      </c>
      <c r="H544" t="s">
        <v>47</v>
      </c>
      <c r="I544" t="s">
        <v>61</v>
      </c>
      <c r="J544" s="1">
        <v>46139</v>
      </c>
      <c r="K544" s="1">
        <v>46139</v>
      </c>
      <c r="L544" s="3">
        <v>15500</v>
      </c>
      <c r="M544" s="4">
        <v>0</v>
      </c>
      <c r="N544" s="4">
        <v>0</v>
      </c>
      <c r="O544" t="s">
        <v>116</v>
      </c>
      <c r="P544">
        <v>4</v>
      </c>
      <c r="Q544" t="str">
        <f>IFERROR(VLOOKUP(E544,Lookups!$A$5:$B$24,2,FALSE),"Other")</f>
        <v>Outbound</v>
      </c>
      <c r="R544" t="str">
        <f>IFERROR(VLOOKUP(F544,Lookups!$D$5:$F$10,2,FALSE),"Unknown Product")</f>
        <v>NexaCRM Pro</v>
      </c>
      <c r="S544" t="str">
        <f>IFERROR(VLOOKUP(F544,Lookups!$D$5:$F$10,3,FALSE),"Unknown")</f>
        <v>CRM</v>
      </c>
      <c r="T544" t="str">
        <f t="shared" si="88"/>
        <v>SMB</v>
      </c>
      <c r="U544" t="str">
        <f t="shared" si="89"/>
        <v>Lost</v>
      </c>
      <c r="V544" s="3">
        <f t="shared" si="90"/>
        <v>0</v>
      </c>
      <c r="W544" s="3">
        <f t="shared" si="91"/>
        <v>0</v>
      </c>
      <c r="X544" s="5">
        <f t="shared" si="92"/>
        <v>46</v>
      </c>
      <c r="Y544" s="5">
        <f>IF(U544="Open",Lookups!$B$2-B544,X544)</f>
        <v>46</v>
      </c>
      <c r="Z544" t="str">
        <f t="shared" si="93"/>
        <v>OK</v>
      </c>
      <c r="AA544" t="str">
        <f t="shared" si="94"/>
        <v>2026-03</v>
      </c>
      <c r="AB544" t="str">
        <f t="shared" si="95"/>
        <v>2026-04</v>
      </c>
      <c r="AC544" t="str">
        <f t="shared" si="96"/>
        <v>Q1-2026</v>
      </c>
      <c r="AD544" s="5">
        <f t="shared" si="97"/>
        <v>43</v>
      </c>
      <c r="AE544" t="str">
        <f t="shared" si="98"/>
        <v>Lost</v>
      </c>
    </row>
    <row r="545" spans="1:31">
      <c r="A545" t="s">
        <v>647</v>
      </c>
      <c r="B545" s="1">
        <v>45683</v>
      </c>
      <c r="C545" t="s">
        <v>86</v>
      </c>
      <c r="D545" t="s">
        <v>87</v>
      </c>
      <c r="E545" t="s">
        <v>132</v>
      </c>
      <c r="F545" t="s">
        <v>67</v>
      </c>
      <c r="G545" t="s">
        <v>46</v>
      </c>
      <c r="H545" t="s">
        <v>84</v>
      </c>
      <c r="I545" t="s">
        <v>61</v>
      </c>
      <c r="J545" s="1">
        <v>45704</v>
      </c>
      <c r="K545" s="1">
        <v>45704</v>
      </c>
      <c r="L545" s="3">
        <v>77800</v>
      </c>
      <c r="M545" s="4">
        <v>0</v>
      </c>
      <c r="N545" s="4">
        <v>0</v>
      </c>
      <c r="O545" t="s">
        <v>62</v>
      </c>
      <c r="P545">
        <v>5</v>
      </c>
      <c r="Q545" t="str">
        <f>IFERROR(VLOOKUP(E545,Lookups!$A$5:$B$24,2,FALSE),"Other")</f>
        <v>Other</v>
      </c>
      <c r="R545" t="str">
        <f>IFERROR(VLOOKUP(F545,Lookups!$D$5:$F$10,2,FALSE),"Unknown Product")</f>
        <v>Revenue Operations Suite</v>
      </c>
      <c r="S545" t="str">
        <f>IFERROR(VLOOKUP(F545,Lookups!$D$5:$F$10,3,FALSE),"Unknown")</f>
        <v>Revenue Ops</v>
      </c>
      <c r="T545" t="str">
        <f t="shared" si="88"/>
        <v>Enterprise</v>
      </c>
      <c r="U545" t="str">
        <f t="shared" si="89"/>
        <v>Lost</v>
      </c>
      <c r="V545" s="3">
        <f t="shared" si="90"/>
        <v>0</v>
      </c>
      <c r="W545" s="3">
        <f t="shared" si="91"/>
        <v>0</v>
      </c>
      <c r="X545" s="5">
        <f t="shared" si="92"/>
        <v>21</v>
      </c>
      <c r="Y545" s="5">
        <f>IF(U545="Open",Lookups!$B$2-B545,X545)</f>
        <v>21</v>
      </c>
      <c r="Z545" t="str">
        <f t="shared" si="93"/>
        <v>OK</v>
      </c>
      <c r="AA545" t="str">
        <f t="shared" si="94"/>
        <v>2025-01</v>
      </c>
      <c r="AB545" t="str">
        <f t="shared" si="95"/>
        <v>2025-02</v>
      </c>
      <c r="AC545" t="str">
        <f t="shared" si="96"/>
        <v>Q1-2025</v>
      </c>
      <c r="AD545" s="5">
        <f t="shared" si="97"/>
        <v>74</v>
      </c>
      <c r="AE545" t="str">
        <f t="shared" si="98"/>
        <v>Lost</v>
      </c>
    </row>
    <row r="546" spans="1:31">
      <c r="A546" t="s">
        <v>648</v>
      </c>
      <c r="B546" s="1">
        <v>45889</v>
      </c>
      <c r="C546" t="s">
        <v>148</v>
      </c>
      <c r="D546" t="s">
        <v>43</v>
      </c>
      <c r="E546" t="s">
        <v>51</v>
      </c>
      <c r="F546" t="s">
        <v>52</v>
      </c>
      <c r="G546" t="s">
        <v>72</v>
      </c>
      <c r="H546" t="s">
        <v>84</v>
      </c>
      <c r="I546" t="s">
        <v>61</v>
      </c>
      <c r="J546" s="1">
        <v>45915</v>
      </c>
      <c r="K546" s="1">
        <v>45915</v>
      </c>
      <c r="L546" s="3">
        <v>34400</v>
      </c>
      <c r="M546" s="4">
        <v>0</v>
      </c>
      <c r="N546" s="4">
        <v>0</v>
      </c>
      <c r="O546" t="s">
        <v>110</v>
      </c>
      <c r="P546">
        <v>4</v>
      </c>
      <c r="Q546" t="str">
        <f>IFERROR(VLOOKUP(E546,Lookups!$A$5:$B$24,2,FALSE),"Other")</f>
        <v>Paid Search</v>
      </c>
      <c r="R546" t="str">
        <f>IFERROR(VLOOKUP(F546,Lookups!$D$5:$F$10,2,FALSE),"Unknown Product")</f>
        <v>NexaCRM Core</v>
      </c>
      <c r="S546" t="str">
        <f>IFERROR(VLOOKUP(F546,Lookups!$D$5:$F$10,3,FALSE),"Unknown")</f>
        <v>CRM</v>
      </c>
      <c r="T546" t="str">
        <f t="shared" si="88"/>
        <v>Mid-Market</v>
      </c>
      <c r="U546" t="str">
        <f t="shared" si="89"/>
        <v>Lost</v>
      </c>
      <c r="V546" s="3">
        <f t="shared" si="90"/>
        <v>0</v>
      </c>
      <c r="W546" s="3">
        <f t="shared" si="91"/>
        <v>0</v>
      </c>
      <c r="X546" s="5">
        <f t="shared" si="92"/>
        <v>26</v>
      </c>
      <c r="Y546" s="5">
        <f>IF(U546="Open",Lookups!$B$2-B546,X546)</f>
        <v>26</v>
      </c>
      <c r="Z546" t="str">
        <f t="shared" si="93"/>
        <v>OK</v>
      </c>
      <c r="AA546" t="str">
        <f t="shared" si="94"/>
        <v>2025-08</v>
      </c>
      <c r="AB546" t="str">
        <f t="shared" si="95"/>
        <v>2025-09</v>
      </c>
      <c r="AC546" t="str">
        <f t="shared" si="96"/>
        <v>Q3-2025</v>
      </c>
      <c r="AD546" s="5">
        <f t="shared" si="97"/>
        <v>67</v>
      </c>
      <c r="AE546" t="str">
        <f t="shared" si="98"/>
        <v>Lost</v>
      </c>
    </row>
    <row r="547" spans="1:31">
      <c r="A547" t="s">
        <v>649</v>
      </c>
      <c r="B547" s="1">
        <v>46166</v>
      </c>
      <c r="C547" t="s">
        <v>64</v>
      </c>
      <c r="D547" t="s">
        <v>57</v>
      </c>
      <c r="E547" t="s">
        <v>51</v>
      </c>
      <c r="F547" t="s">
        <v>45</v>
      </c>
      <c r="G547" t="s">
        <v>46</v>
      </c>
      <c r="H547" t="s">
        <v>47</v>
      </c>
      <c r="I547" t="s">
        <v>61</v>
      </c>
      <c r="J547" s="1">
        <v>46189</v>
      </c>
      <c r="K547" s="1">
        <v>46189</v>
      </c>
      <c r="L547" s="3">
        <v>22600</v>
      </c>
      <c r="M547" s="4">
        <v>0</v>
      </c>
      <c r="N547" s="4">
        <v>0</v>
      </c>
      <c r="O547" t="s">
        <v>62</v>
      </c>
      <c r="P547">
        <v>3</v>
      </c>
      <c r="Q547" t="str">
        <f>IFERROR(VLOOKUP(E547,Lookups!$A$5:$B$24,2,FALSE),"Other")</f>
        <v>Paid Search</v>
      </c>
      <c r="R547" t="str">
        <f>IFERROR(VLOOKUP(F547,Lookups!$D$5:$F$10,2,FALSE),"Unknown Product")</f>
        <v>Service Cloud</v>
      </c>
      <c r="S547" t="str">
        <f>IFERROR(VLOOKUP(F547,Lookups!$D$5:$F$10,3,FALSE),"Unknown")</f>
        <v>Customer Service</v>
      </c>
      <c r="T547" t="str">
        <f t="shared" si="88"/>
        <v>Mid-Market</v>
      </c>
      <c r="U547" t="str">
        <f t="shared" si="89"/>
        <v>Lost</v>
      </c>
      <c r="V547" s="3">
        <f t="shared" si="90"/>
        <v>0</v>
      </c>
      <c r="W547" s="3">
        <f t="shared" si="91"/>
        <v>0</v>
      </c>
      <c r="X547" s="5">
        <f t="shared" si="92"/>
        <v>23</v>
      </c>
      <c r="Y547" s="5">
        <f>IF(U547="Open",Lookups!$B$2-B547,X547)</f>
        <v>23</v>
      </c>
      <c r="Z547" t="str">
        <f t="shared" si="93"/>
        <v>OK</v>
      </c>
      <c r="AA547" t="str">
        <f t="shared" si="94"/>
        <v>2026-05</v>
      </c>
      <c r="AB547" t="str">
        <f t="shared" si="95"/>
        <v>2026-06</v>
      </c>
      <c r="AC547" t="str">
        <f t="shared" si="96"/>
        <v>Q2-2026</v>
      </c>
      <c r="AD547" s="5">
        <f t="shared" si="97"/>
        <v>51</v>
      </c>
      <c r="AE547" t="str">
        <f t="shared" si="98"/>
        <v>Lost</v>
      </c>
    </row>
    <row r="548" spans="1:31">
      <c r="A548" t="s">
        <v>650</v>
      </c>
      <c r="B548" s="1">
        <v>46171</v>
      </c>
      <c r="C548" t="s">
        <v>42</v>
      </c>
      <c r="D548" t="s">
        <v>43</v>
      </c>
      <c r="E548" t="s">
        <v>107</v>
      </c>
      <c r="F548" t="s">
        <v>59</v>
      </c>
      <c r="G548" t="s">
        <v>99</v>
      </c>
      <c r="H548" t="s">
        <v>47</v>
      </c>
      <c r="I548" t="s">
        <v>105</v>
      </c>
      <c r="J548" s="1">
        <v>46238</v>
      </c>
      <c r="K548" s="1"/>
      <c r="L548" s="3">
        <v>19800</v>
      </c>
      <c r="M548" s="4">
        <v>0</v>
      </c>
      <c r="N548" s="4">
        <v>0.4</v>
      </c>
      <c r="P548">
        <v>3</v>
      </c>
      <c r="Q548" t="str">
        <f>IFERROR(VLOOKUP(E548,Lookups!$A$5:$B$24,2,FALSE),"Other")</f>
        <v>Referral</v>
      </c>
      <c r="R548" t="str">
        <f>IFERROR(VLOOKUP(F548,Lookups!$D$5:$F$10,2,FALSE),"Unknown Product")</f>
        <v>NexaCRM Pro</v>
      </c>
      <c r="S548" t="str">
        <f>IFERROR(VLOOKUP(F548,Lookups!$D$5:$F$10,3,FALSE),"Unknown")</f>
        <v>CRM</v>
      </c>
      <c r="T548" t="str">
        <f t="shared" si="88"/>
        <v>SMB</v>
      </c>
      <c r="U548" t="str">
        <f t="shared" si="89"/>
        <v>Open</v>
      </c>
      <c r="V548" s="3">
        <f t="shared" si="90"/>
        <v>0</v>
      </c>
      <c r="W548" s="3">
        <f t="shared" si="91"/>
        <v>7920</v>
      </c>
      <c r="X548" s="5" t="str">
        <f t="shared" si="92"/>
        <v/>
      </c>
      <c r="Y548" s="5">
        <f>IF(U548="Open",Lookups!$B$2-B548,X548)</f>
        <v>95</v>
      </c>
      <c r="Z548" t="str">
        <f t="shared" si="93"/>
        <v>STALE</v>
      </c>
      <c r="AA548" t="str">
        <f t="shared" si="94"/>
        <v>2026-05</v>
      </c>
      <c r="AB548" t="str">
        <f t="shared" si="95"/>
        <v/>
      </c>
      <c r="AC548" t="str">
        <f t="shared" si="96"/>
        <v>Q2-2026</v>
      </c>
      <c r="AD548" s="5">
        <f t="shared" si="97"/>
        <v>54</v>
      </c>
      <c r="AE548" t="str">
        <f t="shared" si="98"/>
        <v>Pipeline</v>
      </c>
    </row>
    <row r="549" spans="1:31">
      <c r="A549" t="s">
        <v>651</v>
      </c>
      <c r="B549" s="1">
        <v>45841</v>
      </c>
      <c r="C549" t="s">
        <v>56</v>
      </c>
      <c r="D549" t="s">
        <v>57</v>
      </c>
      <c r="E549" t="s">
        <v>166</v>
      </c>
      <c r="F549" t="s">
        <v>59</v>
      </c>
      <c r="G549" t="s">
        <v>94</v>
      </c>
      <c r="H549" t="s">
        <v>84</v>
      </c>
      <c r="I549" t="s">
        <v>77</v>
      </c>
      <c r="J549" s="1">
        <v>45903</v>
      </c>
      <c r="K549" s="1">
        <v>45903</v>
      </c>
      <c r="L549" s="3">
        <v>80800</v>
      </c>
      <c r="M549" s="4">
        <v>0.08</v>
      </c>
      <c r="N549" s="4">
        <v>1</v>
      </c>
      <c r="P549">
        <v>6</v>
      </c>
      <c r="Q549" t="str">
        <f>IFERROR(VLOOKUP(E549,Lookups!$A$5:$B$24,2,FALSE),"Other")</f>
        <v>Referral</v>
      </c>
      <c r="R549" t="str">
        <f>IFERROR(VLOOKUP(F549,Lookups!$D$5:$F$10,2,FALSE),"Unknown Product")</f>
        <v>NexaCRM Pro</v>
      </c>
      <c r="S549" t="str">
        <f>IFERROR(VLOOKUP(F549,Lookups!$D$5:$F$10,3,FALSE),"Unknown")</f>
        <v>CRM</v>
      </c>
      <c r="T549" t="str">
        <f t="shared" si="88"/>
        <v>Enterprise</v>
      </c>
      <c r="U549" t="str">
        <f t="shared" si="89"/>
        <v>Won</v>
      </c>
      <c r="V549" s="3">
        <f t="shared" si="90"/>
        <v>74336</v>
      </c>
      <c r="W549" s="3">
        <f t="shared" si="91"/>
        <v>0</v>
      </c>
      <c r="X549" s="5">
        <f t="shared" si="92"/>
        <v>62</v>
      </c>
      <c r="Y549" s="5">
        <f>IF(U549="Open",Lookups!$B$2-B549,X549)</f>
        <v>62</v>
      </c>
      <c r="Z549" t="str">
        <f t="shared" si="93"/>
        <v>OK</v>
      </c>
      <c r="AA549" t="str">
        <f t="shared" si="94"/>
        <v>2025-07</v>
      </c>
      <c r="AB549" t="str">
        <f t="shared" si="95"/>
        <v>2025-09</v>
      </c>
      <c r="AC549" t="str">
        <f t="shared" si="96"/>
        <v>Q3-2025</v>
      </c>
      <c r="AD549" s="5">
        <f t="shared" si="97"/>
        <v>85</v>
      </c>
      <c r="AE549" t="str">
        <f t="shared" si="98"/>
        <v>Won</v>
      </c>
    </row>
    <row r="550" spans="1:31">
      <c r="A550" t="s">
        <v>652</v>
      </c>
      <c r="B550" s="1">
        <v>45706</v>
      </c>
      <c r="C550" t="s">
        <v>90</v>
      </c>
      <c r="D550" t="s">
        <v>57</v>
      </c>
      <c r="E550" t="s">
        <v>58</v>
      </c>
      <c r="F550" t="s">
        <v>67</v>
      </c>
      <c r="G550" t="s">
        <v>72</v>
      </c>
      <c r="H550" t="s">
        <v>47</v>
      </c>
      <c r="I550" t="s">
        <v>61</v>
      </c>
      <c r="J550" s="1">
        <v>45714</v>
      </c>
      <c r="K550" s="1">
        <v>45714</v>
      </c>
      <c r="L550" s="3">
        <v>20900</v>
      </c>
      <c r="M550" s="4">
        <v>0</v>
      </c>
      <c r="N550" s="4">
        <v>0</v>
      </c>
      <c r="O550" t="s">
        <v>81</v>
      </c>
      <c r="P550">
        <v>3</v>
      </c>
      <c r="Q550" t="str">
        <f>IFERROR(VLOOKUP(E550,Lookups!$A$5:$B$24,2,FALSE),"Other")</f>
        <v>Email</v>
      </c>
      <c r="R550" t="str">
        <f>IFERROR(VLOOKUP(F550,Lookups!$D$5:$F$10,2,FALSE),"Unknown Product")</f>
        <v>Revenue Operations Suite</v>
      </c>
      <c r="S550" t="str">
        <f>IFERROR(VLOOKUP(F550,Lookups!$D$5:$F$10,3,FALSE),"Unknown")</f>
        <v>Revenue Ops</v>
      </c>
      <c r="T550" t="str">
        <f t="shared" si="88"/>
        <v>Mid-Market</v>
      </c>
      <c r="U550" t="str">
        <f t="shared" si="89"/>
        <v>Lost</v>
      </c>
      <c r="V550" s="3">
        <f t="shared" si="90"/>
        <v>0</v>
      </c>
      <c r="W550" s="3">
        <f t="shared" si="91"/>
        <v>0</v>
      </c>
      <c r="X550" s="5">
        <f t="shared" si="92"/>
        <v>8</v>
      </c>
      <c r="Y550" s="5">
        <f>IF(U550="Open",Lookups!$B$2-B550,X550)</f>
        <v>8</v>
      </c>
      <c r="Z550" t="str">
        <f t="shared" si="93"/>
        <v>OK</v>
      </c>
      <c r="AA550" t="str">
        <f t="shared" si="94"/>
        <v>2025-02</v>
      </c>
      <c r="AB550" t="str">
        <f t="shared" si="95"/>
        <v>2025-02</v>
      </c>
      <c r="AC550" t="str">
        <f t="shared" si="96"/>
        <v>Q1-2025</v>
      </c>
      <c r="AD550" s="5">
        <f t="shared" si="97"/>
        <v>55</v>
      </c>
      <c r="AE550" t="str">
        <f t="shared" si="98"/>
        <v>Lost</v>
      </c>
    </row>
    <row r="551" spans="1:31">
      <c r="A551" t="s">
        <v>653</v>
      </c>
      <c r="B551" s="1">
        <v>46144</v>
      </c>
      <c r="C551" t="s">
        <v>148</v>
      </c>
      <c r="D551" t="s">
        <v>43</v>
      </c>
      <c r="E551" t="s">
        <v>70</v>
      </c>
      <c r="F551" t="s">
        <v>59</v>
      </c>
      <c r="G551" t="s">
        <v>72</v>
      </c>
      <c r="H551" t="s">
        <v>53</v>
      </c>
      <c r="I551" t="s">
        <v>61</v>
      </c>
      <c r="J551" s="1">
        <v>46227</v>
      </c>
      <c r="K551" s="1">
        <v>46227</v>
      </c>
      <c r="L551" s="3">
        <v>43200</v>
      </c>
      <c r="M551" s="4">
        <v>0</v>
      </c>
      <c r="N551" s="4">
        <v>0</v>
      </c>
      <c r="O551" t="s">
        <v>81</v>
      </c>
      <c r="P551">
        <v>4</v>
      </c>
      <c r="Q551" t="str">
        <f>IFERROR(VLOOKUP(E551,Lookups!$A$5:$B$24,2,FALSE),"Other")</f>
        <v>LinkedIn</v>
      </c>
      <c r="R551" t="str">
        <f>IFERROR(VLOOKUP(F551,Lookups!$D$5:$F$10,2,FALSE),"Unknown Product")</f>
        <v>NexaCRM Pro</v>
      </c>
      <c r="S551" t="str">
        <f>IFERROR(VLOOKUP(F551,Lookups!$D$5:$F$10,3,FALSE),"Unknown")</f>
        <v>CRM</v>
      </c>
      <c r="T551" t="str">
        <f t="shared" si="88"/>
        <v>Mid-Market</v>
      </c>
      <c r="U551" t="str">
        <f t="shared" si="89"/>
        <v>Lost</v>
      </c>
      <c r="V551" s="3">
        <f t="shared" si="90"/>
        <v>0</v>
      </c>
      <c r="W551" s="3">
        <f t="shared" si="91"/>
        <v>0</v>
      </c>
      <c r="X551" s="5">
        <f t="shared" si="92"/>
        <v>83</v>
      </c>
      <c r="Y551" s="5">
        <f>IF(U551="Open",Lookups!$B$2-B551,X551)</f>
        <v>83</v>
      </c>
      <c r="Z551" t="str">
        <f t="shared" si="93"/>
        <v>OK</v>
      </c>
      <c r="AA551" t="str">
        <f t="shared" si="94"/>
        <v>2026-05</v>
      </c>
      <c r="AB551" t="str">
        <f t="shared" si="95"/>
        <v>2026-07</v>
      </c>
      <c r="AC551" t="str">
        <f t="shared" si="96"/>
        <v>Q2-2026</v>
      </c>
      <c r="AD551" s="5">
        <f t="shared" si="97"/>
        <v>59</v>
      </c>
      <c r="AE551" t="str">
        <f t="shared" si="98"/>
        <v>Lost</v>
      </c>
    </row>
    <row r="552" spans="1:31">
      <c r="A552" t="s">
        <v>654</v>
      </c>
      <c r="B552" s="1">
        <v>46183</v>
      </c>
      <c r="C552" t="s">
        <v>86</v>
      </c>
      <c r="D552" t="s">
        <v>87</v>
      </c>
      <c r="E552" t="s">
        <v>51</v>
      </c>
      <c r="F552" t="s">
        <v>52</v>
      </c>
      <c r="G552" t="s">
        <v>99</v>
      </c>
      <c r="H552" t="s">
        <v>47</v>
      </c>
      <c r="I552" t="s">
        <v>73</v>
      </c>
      <c r="J552" s="1">
        <v>46237</v>
      </c>
      <c r="K552" s="1"/>
      <c r="L552" s="3">
        <v>7100</v>
      </c>
      <c r="M552" s="4">
        <v>0.03</v>
      </c>
      <c r="N552" s="4">
        <v>0.2</v>
      </c>
      <c r="P552">
        <v>2</v>
      </c>
      <c r="Q552" t="str">
        <f>IFERROR(VLOOKUP(E552,Lookups!$A$5:$B$24,2,FALSE),"Other")</f>
        <v>Paid Search</v>
      </c>
      <c r="R552" t="str">
        <f>IFERROR(VLOOKUP(F552,Lookups!$D$5:$F$10,2,FALSE),"Unknown Product")</f>
        <v>NexaCRM Core</v>
      </c>
      <c r="S552" t="str">
        <f>IFERROR(VLOOKUP(F552,Lookups!$D$5:$F$10,3,FALSE),"Unknown")</f>
        <v>CRM</v>
      </c>
      <c r="T552" t="str">
        <f t="shared" si="88"/>
        <v>SMB</v>
      </c>
      <c r="U552" t="str">
        <f t="shared" si="89"/>
        <v>Open</v>
      </c>
      <c r="V552" s="3">
        <f t="shared" si="90"/>
        <v>0</v>
      </c>
      <c r="W552" s="3">
        <f t="shared" si="91"/>
        <v>1420</v>
      </c>
      <c r="X552" s="5" t="str">
        <f t="shared" si="92"/>
        <v/>
      </c>
      <c r="Y552" s="5">
        <f>IF(U552="Open",Lookups!$B$2-B552,X552)</f>
        <v>83</v>
      </c>
      <c r="Z552" t="str">
        <f t="shared" si="93"/>
        <v>STALE</v>
      </c>
      <c r="AA552" t="str">
        <f t="shared" si="94"/>
        <v>2026-06</v>
      </c>
      <c r="AB552" t="str">
        <f t="shared" si="95"/>
        <v/>
      </c>
      <c r="AC552" t="str">
        <f t="shared" si="96"/>
        <v>Q2-2026</v>
      </c>
      <c r="AD552" s="5">
        <f t="shared" si="97"/>
        <v>43</v>
      </c>
      <c r="AE552" t="str">
        <f t="shared" si="98"/>
        <v>Pipeline</v>
      </c>
    </row>
    <row r="553" spans="1:31">
      <c r="A553" t="s">
        <v>655</v>
      </c>
      <c r="B553" s="1">
        <v>46180</v>
      </c>
      <c r="C553" t="s">
        <v>148</v>
      </c>
      <c r="D553" t="s">
        <v>43</v>
      </c>
      <c r="E553" t="s">
        <v>138</v>
      </c>
      <c r="F553" t="s">
        <v>52</v>
      </c>
      <c r="G553" t="s">
        <v>112</v>
      </c>
      <c r="H553" t="s">
        <v>53</v>
      </c>
      <c r="I553" t="s">
        <v>61</v>
      </c>
      <c r="J553" s="1">
        <v>46226</v>
      </c>
      <c r="K553" s="1">
        <v>46226</v>
      </c>
      <c r="L553" s="3">
        <v>16000</v>
      </c>
      <c r="M553" s="4">
        <v>0</v>
      </c>
      <c r="N553" s="4">
        <v>0</v>
      </c>
      <c r="O553" t="s">
        <v>62</v>
      </c>
      <c r="P553">
        <v>3</v>
      </c>
      <c r="Q553" t="str">
        <f>IFERROR(VLOOKUP(E553,Lookups!$A$5:$B$24,2,FALSE),"Other")</f>
        <v>Organic Search</v>
      </c>
      <c r="R553" t="str">
        <f>IFERROR(VLOOKUP(F553,Lookups!$D$5:$F$10,2,FALSE),"Unknown Product")</f>
        <v>NexaCRM Core</v>
      </c>
      <c r="S553" t="str">
        <f>IFERROR(VLOOKUP(F553,Lookups!$D$5:$F$10,3,FALSE),"Unknown")</f>
        <v>CRM</v>
      </c>
      <c r="T553" t="str">
        <f t="shared" si="88"/>
        <v>SMB</v>
      </c>
      <c r="U553" t="str">
        <f t="shared" si="89"/>
        <v>Lost</v>
      </c>
      <c r="V553" s="3">
        <f t="shared" si="90"/>
        <v>0</v>
      </c>
      <c r="W553" s="3">
        <f t="shared" si="91"/>
        <v>0</v>
      </c>
      <c r="X553" s="5">
        <f t="shared" si="92"/>
        <v>46</v>
      </c>
      <c r="Y553" s="5">
        <f>IF(U553="Open",Lookups!$B$2-B553,X553)</f>
        <v>46</v>
      </c>
      <c r="Z553" t="str">
        <f t="shared" si="93"/>
        <v>OK</v>
      </c>
      <c r="AA553" t="str">
        <f t="shared" si="94"/>
        <v>2026-06</v>
      </c>
      <c r="AB553" t="str">
        <f t="shared" si="95"/>
        <v>2026-07</v>
      </c>
      <c r="AC553" t="str">
        <f t="shared" si="96"/>
        <v>Q2-2026</v>
      </c>
      <c r="AD553" s="5">
        <f t="shared" si="97"/>
        <v>62</v>
      </c>
      <c r="AE553" t="str">
        <f t="shared" si="98"/>
        <v>Lost</v>
      </c>
    </row>
    <row r="554" spans="1:31">
      <c r="A554" t="s">
        <v>656</v>
      </c>
      <c r="B554" s="1">
        <v>46163</v>
      </c>
      <c r="C554" t="s">
        <v>148</v>
      </c>
      <c r="D554" t="s">
        <v>43</v>
      </c>
      <c r="E554" t="s">
        <v>166</v>
      </c>
      <c r="F554" t="s">
        <v>52</v>
      </c>
      <c r="G554" t="s">
        <v>112</v>
      </c>
      <c r="H554" t="s">
        <v>84</v>
      </c>
      <c r="I554" t="s">
        <v>77</v>
      </c>
      <c r="J554" s="1">
        <v>46209</v>
      </c>
      <c r="K554" s="1">
        <v>46209</v>
      </c>
      <c r="L554" s="3">
        <v>31000</v>
      </c>
      <c r="M554" s="4">
        <v>0.12</v>
      </c>
      <c r="N554" s="4">
        <v>1</v>
      </c>
      <c r="P554">
        <v>6</v>
      </c>
      <c r="Q554" t="str">
        <f>IFERROR(VLOOKUP(E554,Lookups!$A$5:$B$24,2,FALSE),"Other")</f>
        <v>Referral</v>
      </c>
      <c r="R554" t="str">
        <f>IFERROR(VLOOKUP(F554,Lookups!$D$5:$F$10,2,FALSE),"Unknown Product")</f>
        <v>NexaCRM Core</v>
      </c>
      <c r="S554" t="str">
        <f>IFERROR(VLOOKUP(F554,Lookups!$D$5:$F$10,3,FALSE),"Unknown")</f>
        <v>CRM</v>
      </c>
      <c r="T554" t="str">
        <f t="shared" si="88"/>
        <v>Mid-Market</v>
      </c>
      <c r="U554" t="str">
        <f t="shared" si="89"/>
        <v>Won</v>
      </c>
      <c r="V554" s="3">
        <f t="shared" si="90"/>
        <v>27280</v>
      </c>
      <c r="W554" s="3">
        <f t="shared" si="91"/>
        <v>0</v>
      </c>
      <c r="X554" s="5">
        <f t="shared" si="92"/>
        <v>46</v>
      </c>
      <c r="Y554" s="5">
        <f>IF(U554="Open",Lookups!$B$2-B554,X554)</f>
        <v>46</v>
      </c>
      <c r="Z554" t="str">
        <f t="shared" si="93"/>
        <v>OK</v>
      </c>
      <c r="AA554" t="str">
        <f t="shared" si="94"/>
        <v>2026-05</v>
      </c>
      <c r="AB554" t="str">
        <f t="shared" si="95"/>
        <v>2026-07</v>
      </c>
      <c r="AC554" t="str">
        <f t="shared" si="96"/>
        <v>Q2-2026</v>
      </c>
      <c r="AD554" s="5">
        <f t="shared" si="97"/>
        <v>83</v>
      </c>
      <c r="AE554" t="str">
        <f t="shared" si="98"/>
        <v>Won</v>
      </c>
    </row>
    <row r="555" spans="1:31">
      <c r="A555" t="s">
        <v>657</v>
      </c>
      <c r="B555" s="1">
        <v>46124</v>
      </c>
      <c r="C555" t="s">
        <v>148</v>
      </c>
      <c r="D555" t="s">
        <v>43</v>
      </c>
      <c r="E555" t="s">
        <v>51</v>
      </c>
      <c r="F555" t="s">
        <v>52</v>
      </c>
      <c r="G555" t="s">
        <v>76</v>
      </c>
      <c r="H555" t="s">
        <v>47</v>
      </c>
      <c r="I555" t="s">
        <v>61</v>
      </c>
      <c r="J555" s="1">
        <v>46185</v>
      </c>
      <c r="K555" s="1">
        <v>46185</v>
      </c>
      <c r="L555" s="3">
        <v>9800</v>
      </c>
      <c r="M555" s="4">
        <v>0</v>
      </c>
      <c r="N555" s="4">
        <v>0</v>
      </c>
      <c r="O555" t="s">
        <v>102</v>
      </c>
      <c r="P555">
        <v>5</v>
      </c>
      <c r="Q555" t="str">
        <f>IFERROR(VLOOKUP(E555,Lookups!$A$5:$B$24,2,FALSE),"Other")</f>
        <v>Paid Search</v>
      </c>
      <c r="R555" t="str">
        <f>IFERROR(VLOOKUP(F555,Lookups!$D$5:$F$10,2,FALSE),"Unknown Product")</f>
        <v>NexaCRM Core</v>
      </c>
      <c r="S555" t="str">
        <f>IFERROR(VLOOKUP(F555,Lookups!$D$5:$F$10,3,FALSE),"Unknown")</f>
        <v>CRM</v>
      </c>
      <c r="T555" t="str">
        <f t="shared" si="88"/>
        <v>SMB</v>
      </c>
      <c r="U555" t="str">
        <f t="shared" si="89"/>
        <v>Lost</v>
      </c>
      <c r="V555" s="3">
        <f t="shared" si="90"/>
        <v>0</v>
      </c>
      <c r="W555" s="3">
        <f t="shared" si="91"/>
        <v>0</v>
      </c>
      <c r="X555" s="5">
        <f t="shared" si="92"/>
        <v>61</v>
      </c>
      <c r="Y555" s="5">
        <f>IF(U555="Open",Lookups!$B$2-B555,X555)</f>
        <v>61</v>
      </c>
      <c r="Z555" t="str">
        <f t="shared" si="93"/>
        <v>OK</v>
      </c>
      <c r="AA555" t="str">
        <f t="shared" si="94"/>
        <v>2026-04</v>
      </c>
      <c r="AB555" t="str">
        <f t="shared" si="95"/>
        <v>2026-06</v>
      </c>
      <c r="AC555" t="str">
        <f t="shared" si="96"/>
        <v>Q2-2026</v>
      </c>
      <c r="AD555" s="5">
        <f t="shared" si="97"/>
        <v>43</v>
      </c>
      <c r="AE555" t="str">
        <f t="shared" si="98"/>
        <v>Lost</v>
      </c>
    </row>
    <row r="556" spans="1:31">
      <c r="A556" t="s">
        <v>658</v>
      </c>
      <c r="B556" s="1">
        <v>46120</v>
      </c>
      <c r="C556" t="s">
        <v>86</v>
      </c>
      <c r="D556" t="s">
        <v>87</v>
      </c>
      <c r="E556" t="s">
        <v>70</v>
      </c>
      <c r="F556" t="s">
        <v>59</v>
      </c>
      <c r="G556" t="s">
        <v>72</v>
      </c>
      <c r="H556" t="s">
        <v>47</v>
      </c>
      <c r="I556" t="s">
        <v>77</v>
      </c>
      <c r="J556" s="1">
        <v>46183</v>
      </c>
      <c r="K556" s="1">
        <v>46183</v>
      </c>
      <c r="L556" s="3">
        <v>24600</v>
      </c>
      <c r="M556" s="4">
        <v>0.08</v>
      </c>
      <c r="N556" s="4">
        <v>1</v>
      </c>
      <c r="P556">
        <v>6</v>
      </c>
      <c r="Q556" t="str">
        <f>IFERROR(VLOOKUP(E556,Lookups!$A$5:$B$24,2,FALSE),"Other")</f>
        <v>LinkedIn</v>
      </c>
      <c r="R556" t="str">
        <f>IFERROR(VLOOKUP(F556,Lookups!$D$5:$F$10,2,FALSE),"Unknown Product")</f>
        <v>NexaCRM Pro</v>
      </c>
      <c r="S556" t="str">
        <f>IFERROR(VLOOKUP(F556,Lookups!$D$5:$F$10,3,FALSE),"Unknown")</f>
        <v>CRM</v>
      </c>
      <c r="T556" t="str">
        <f t="shared" si="88"/>
        <v>Mid-Market</v>
      </c>
      <c r="U556" t="str">
        <f t="shared" si="89"/>
        <v>Won</v>
      </c>
      <c r="V556" s="3">
        <f t="shared" si="90"/>
        <v>22632</v>
      </c>
      <c r="W556" s="3">
        <f t="shared" si="91"/>
        <v>0</v>
      </c>
      <c r="X556" s="5">
        <f t="shared" si="92"/>
        <v>63</v>
      </c>
      <c r="Y556" s="5">
        <f>IF(U556="Open",Lookups!$B$2-B556,X556)</f>
        <v>63</v>
      </c>
      <c r="Z556" t="str">
        <f t="shared" si="93"/>
        <v>OK</v>
      </c>
      <c r="AA556" t="str">
        <f t="shared" si="94"/>
        <v>2026-04</v>
      </c>
      <c r="AB556" t="str">
        <f t="shared" si="95"/>
        <v>2026-06</v>
      </c>
      <c r="AC556" t="str">
        <f t="shared" si="96"/>
        <v>Q2-2026</v>
      </c>
      <c r="AD556" s="5">
        <f t="shared" si="97"/>
        <v>51</v>
      </c>
      <c r="AE556" t="str">
        <f t="shared" si="98"/>
        <v>Won</v>
      </c>
    </row>
    <row r="557" spans="1:31">
      <c r="A557" t="s">
        <v>659</v>
      </c>
      <c r="B557" s="1">
        <v>46101</v>
      </c>
      <c r="C557" t="s">
        <v>42</v>
      </c>
      <c r="D557" t="s">
        <v>43</v>
      </c>
      <c r="E557" t="s">
        <v>127</v>
      </c>
      <c r="F557" t="s">
        <v>71</v>
      </c>
      <c r="G557" t="s">
        <v>99</v>
      </c>
      <c r="H557" t="s">
        <v>53</v>
      </c>
      <c r="I557" t="s">
        <v>61</v>
      </c>
      <c r="J557" s="1">
        <v>46155</v>
      </c>
      <c r="K557" s="1">
        <v>46155</v>
      </c>
      <c r="L557" s="3">
        <v>31000</v>
      </c>
      <c r="M557" s="4">
        <v>0</v>
      </c>
      <c r="N557" s="4">
        <v>0</v>
      </c>
      <c r="O557" t="s">
        <v>81</v>
      </c>
      <c r="P557">
        <v>3</v>
      </c>
      <c r="Q557" t="str">
        <f>IFERROR(VLOOKUP(E557,Lookups!$A$5:$B$24,2,FALSE),"Other")</f>
        <v>Paid Search</v>
      </c>
      <c r="R557" t="str">
        <f>IFERROR(VLOOKUP(F557,Lookups!$D$5:$F$10,2,FALSE),"Unknown Product")</f>
        <v>Marketing Automation</v>
      </c>
      <c r="S557" t="str">
        <f>IFERROR(VLOOKUP(F557,Lookups!$D$5:$F$10,3,FALSE),"Unknown")</f>
        <v>Marketing</v>
      </c>
      <c r="T557" t="str">
        <f t="shared" si="88"/>
        <v>Mid-Market</v>
      </c>
      <c r="U557" t="str">
        <f t="shared" si="89"/>
        <v>Lost</v>
      </c>
      <c r="V557" s="3">
        <f t="shared" si="90"/>
        <v>0</v>
      </c>
      <c r="W557" s="3">
        <f t="shared" si="91"/>
        <v>0</v>
      </c>
      <c r="X557" s="5">
        <f t="shared" si="92"/>
        <v>54</v>
      </c>
      <c r="Y557" s="5">
        <f>IF(U557="Open",Lookups!$B$2-B557,X557)</f>
        <v>54</v>
      </c>
      <c r="Z557" t="str">
        <f t="shared" si="93"/>
        <v>OK</v>
      </c>
      <c r="AA557" t="str">
        <f t="shared" si="94"/>
        <v>2026-03</v>
      </c>
      <c r="AB557" t="str">
        <f t="shared" si="95"/>
        <v>2026-05</v>
      </c>
      <c r="AC557" t="str">
        <f t="shared" si="96"/>
        <v>Q1-2026</v>
      </c>
      <c r="AD557" s="5">
        <f t="shared" si="97"/>
        <v>59</v>
      </c>
      <c r="AE557" t="str">
        <f t="shared" si="98"/>
        <v>Lost</v>
      </c>
    </row>
    <row r="558" spans="1:31">
      <c r="A558" t="s">
        <v>660</v>
      </c>
      <c r="B558" s="1">
        <v>46138</v>
      </c>
      <c r="C558" t="s">
        <v>56</v>
      </c>
      <c r="D558" t="s">
        <v>57</v>
      </c>
      <c r="E558" t="s">
        <v>70</v>
      </c>
      <c r="F558" t="s">
        <v>59</v>
      </c>
      <c r="G558" t="s">
        <v>76</v>
      </c>
      <c r="H558" t="s">
        <v>53</v>
      </c>
      <c r="I558" t="s">
        <v>61</v>
      </c>
      <c r="J558" s="1">
        <v>46175</v>
      </c>
      <c r="K558" s="1">
        <v>46175</v>
      </c>
      <c r="L558" s="3">
        <v>22700</v>
      </c>
      <c r="M558" s="4">
        <v>0</v>
      </c>
      <c r="N558" s="4">
        <v>0</v>
      </c>
      <c r="O558" t="s">
        <v>102</v>
      </c>
      <c r="P558">
        <v>4</v>
      </c>
      <c r="Q558" t="str">
        <f>IFERROR(VLOOKUP(E558,Lookups!$A$5:$B$24,2,FALSE),"Other")</f>
        <v>LinkedIn</v>
      </c>
      <c r="R558" t="str">
        <f>IFERROR(VLOOKUP(F558,Lookups!$D$5:$F$10,2,FALSE),"Unknown Product")</f>
        <v>NexaCRM Pro</v>
      </c>
      <c r="S558" t="str">
        <f>IFERROR(VLOOKUP(F558,Lookups!$D$5:$F$10,3,FALSE),"Unknown")</f>
        <v>CRM</v>
      </c>
      <c r="T558" t="str">
        <f t="shared" si="88"/>
        <v>Mid-Market</v>
      </c>
      <c r="U558" t="str">
        <f t="shared" si="89"/>
        <v>Lost</v>
      </c>
      <c r="V558" s="3">
        <f t="shared" si="90"/>
        <v>0</v>
      </c>
      <c r="W558" s="3">
        <f t="shared" si="91"/>
        <v>0</v>
      </c>
      <c r="X558" s="5">
        <f t="shared" si="92"/>
        <v>37</v>
      </c>
      <c r="Y558" s="5">
        <f>IF(U558="Open",Lookups!$B$2-B558,X558)</f>
        <v>37</v>
      </c>
      <c r="Z558" t="str">
        <f t="shared" si="93"/>
        <v>OK</v>
      </c>
      <c r="AA558" t="str">
        <f t="shared" si="94"/>
        <v>2026-04</v>
      </c>
      <c r="AB558" t="str">
        <f t="shared" si="95"/>
        <v>2026-06</v>
      </c>
      <c r="AC558" t="str">
        <f t="shared" si="96"/>
        <v>Q2-2026</v>
      </c>
      <c r="AD558" s="5">
        <f t="shared" si="97"/>
        <v>59</v>
      </c>
      <c r="AE558" t="str">
        <f t="shared" si="98"/>
        <v>Lost</v>
      </c>
    </row>
    <row r="559" spans="1:31">
      <c r="A559" t="s">
        <v>661</v>
      </c>
      <c r="B559" s="1">
        <v>45874</v>
      </c>
      <c r="C559" t="s">
        <v>90</v>
      </c>
      <c r="D559" t="s">
        <v>57</v>
      </c>
      <c r="E559" t="s">
        <v>123</v>
      </c>
      <c r="F559" t="s">
        <v>52</v>
      </c>
      <c r="G559" t="s">
        <v>72</v>
      </c>
      <c r="H559" t="s">
        <v>47</v>
      </c>
      <c r="I559" t="s">
        <v>61</v>
      </c>
      <c r="J559" s="1">
        <v>45883</v>
      </c>
      <c r="K559" s="1">
        <v>45883</v>
      </c>
      <c r="L559" s="3">
        <v>5800</v>
      </c>
      <c r="M559" s="4">
        <v>0</v>
      </c>
      <c r="N559" s="4">
        <v>0</v>
      </c>
      <c r="O559" t="s">
        <v>81</v>
      </c>
      <c r="P559">
        <v>5</v>
      </c>
      <c r="Q559" t="str">
        <f>IFERROR(VLOOKUP(E559,Lookups!$A$5:$B$24,2,FALSE),"Other")</f>
        <v>Email</v>
      </c>
      <c r="R559" t="str">
        <f>IFERROR(VLOOKUP(F559,Lookups!$D$5:$F$10,2,FALSE),"Unknown Product")</f>
        <v>NexaCRM Core</v>
      </c>
      <c r="S559" t="str">
        <f>IFERROR(VLOOKUP(F559,Lookups!$D$5:$F$10,3,FALSE),"Unknown")</f>
        <v>CRM</v>
      </c>
      <c r="T559" t="str">
        <f t="shared" si="88"/>
        <v>SMB</v>
      </c>
      <c r="U559" t="str">
        <f t="shared" si="89"/>
        <v>Lost</v>
      </c>
      <c r="V559" s="3">
        <f t="shared" si="90"/>
        <v>0</v>
      </c>
      <c r="W559" s="3">
        <f t="shared" si="91"/>
        <v>0</v>
      </c>
      <c r="X559" s="5">
        <f t="shared" si="92"/>
        <v>9</v>
      </c>
      <c r="Y559" s="5">
        <f>IF(U559="Open",Lookups!$B$2-B559,X559)</f>
        <v>9</v>
      </c>
      <c r="Z559" t="str">
        <f t="shared" si="93"/>
        <v>OK</v>
      </c>
      <c r="AA559" t="str">
        <f t="shared" si="94"/>
        <v>2025-08</v>
      </c>
      <c r="AB559" t="str">
        <f t="shared" si="95"/>
        <v>2025-08</v>
      </c>
      <c r="AC559" t="str">
        <f t="shared" si="96"/>
        <v>Q3-2025</v>
      </c>
      <c r="AD559" s="5">
        <f t="shared" si="97"/>
        <v>47</v>
      </c>
      <c r="AE559" t="str">
        <f t="shared" si="98"/>
        <v>Lost</v>
      </c>
    </row>
    <row r="560" spans="1:31">
      <c r="A560" t="s">
        <v>662</v>
      </c>
      <c r="B560" s="1">
        <v>46083</v>
      </c>
      <c r="C560" t="s">
        <v>148</v>
      </c>
      <c r="D560" t="s">
        <v>43</v>
      </c>
      <c r="E560" t="s">
        <v>83</v>
      </c>
      <c r="F560" t="s">
        <v>133</v>
      </c>
      <c r="G560" t="s">
        <v>99</v>
      </c>
      <c r="H560" t="s">
        <v>47</v>
      </c>
      <c r="I560" t="s">
        <v>61</v>
      </c>
      <c r="J560" s="1">
        <v>46128</v>
      </c>
      <c r="K560" s="1">
        <v>46128</v>
      </c>
      <c r="L560" s="3">
        <v>18400</v>
      </c>
      <c r="M560" s="4">
        <v>0</v>
      </c>
      <c r="N560" s="4">
        <v>0</v>
      </c>
      <c r="O560" t="s">
        <v>62</v>
      </c>
      <c r="P560">
        <v>2</v>
      </c>
      <c r="Q560" t="str">
        <f>IFERROR(VLOOKUP(E560,Lookups!$A$5:$B$24,2,FALSE),"Other")</f>
        <v>Organic Search</v>
      </c>
      <c r="R560" t="str">
        <f>IFERROR(VLOOKUP(F560,Lookups!$D$5:$F$10,2,FALSE),"Unknown Product")</f>
        <v>Analytics Plus</v>
      </c>
      <c r="S560" t="str">
        <f>IFERROR(VLOOKUP(F560,Lookups!$D$5:$F$10,3,FALSE),"Unknown")</f>
        <v>Analytics</v>
      </c>
      <c r="T560" t="str">
        <f t="shared" si="88"/>
        <v>SMB</v>
      </c>
      <c r="U560" t="str">
        <f t="shared" si="89"/>
        <v>Lost</v>
      </c>
      <c r="V560" s="3">
        <f t="shared" si="90"/>
        <v>0</v>
      </c>
      <c r="W560" s="3">
        <f t="shared" si="91"/>
        <v>0</v>
      </c>
      <c r="X560" s="5">
        <f t="shared" si="92"/>
        <v>45</v>
      </c>
      <c r="Y560" s="5">
        <f>IF(U560="Open",Lookups!$B$2-B560,X560)</f>
        <v>45</v>
      </c>
      <c r="Z560" t="str">
        <f t="shared" si="93"/>
        <v>OK</v>
      </c>
      <c r="AA560" t="str">
        <f t="shared" si="94"/>
        <v>2026-03</v>
      </c>
      <c r="AB560" t="str">
        <f t="shared" si="95"/>
        <v>2026-04</v>
      </c>
      <c r="AC560" t="str">
        <f t="shared" si="96"/>
        <v>Q1-2026</v>
      </c>
      <c r="AD560" s="5">
        <f t="shared" si="97"/>
        <v>49</v>
      </c>
      <c r="AE560" t="str">
        <f t="shared" si="98"/>
        <v>Lost</v>
      </c>
    </row>
    <row r="561" spans="1:31">
      <c r="A561" t="s">
        <v>663</v>
      </c>
      <c r="B561" s="1">
        <v>46172</v>
      </c>
      <c r="C561" t="s">
        <v>56</v>
      </c>
      <c r="D561" t="s">
        <v>57</v>
      </c>
      <c r="E561" t="s">
        <v>138</v>
      </c>
      <c r="F561" t="s">
        <v>59</v>
      </c>
      <c r="G561" t="s">
        <v>112</v>
      </c>
      <c r="H561" t="s">
        <v>53</v>
      </c>
      <c r="I561" t="s">
        <v>61</v>
      </c>
      <c r="J561" s="1">
        <v>46197</v>
      </c>
      <c r="K561" s="1">
        <v>46197</v>
      </c>
      <c r="L561" s="3">
        <v>19300</v>
      </c>
      <c r="M561" s="4">
        <v>0</v>
      </c>
      <c r="N561" s="4">
        <v>0</v>
      </c>
      <c r="O561" t="s">
        <v>81</v>
      </c>
      <c r="P561">
        <v>3</v>
      </c>
      <c r="Q561" t="str">
        <f>IFERROR(VLOOKUP(E561,Lookups!$A$5:$B$24,2,FALSE),"Other")</f>
        <v>Organic Search</v>
      </c>
      <c r="R561" t="str">
        <f>IFERROR(VLOOKUP(F561,Lookups!$D$5:$F$10,2,FALSE),"Unknown Product")</f>
        <v>NexaCRM Pro</v>
      </c>
      <c r="S561" t="str">
        <f>IFERROR(VLOOKUP(F561,Lookups!$D$5:$F$10,3,FALSE),"Unknown")</f>
        <v>CRM</v>
      </c>
      <c r="T561" t="str">
        <f t="shared" si="88"/>
        <v>SMB</v>
      </c>
      <c r="U561" t="str">
        <f t="shared" si="89"/>
        <v>Lost</v>
      </c>
      <c r="V561" s="3">
        <f t="shared" si="90"/>
        <v>0</v>
      </c>
      <c r="W561" s="3">
        <f t="shared" si="91"/>
        <v>0</v>
      </c>
      <c r="X561" s="5">
        <f t="shared" si="92"/>
        <v>25</v>
      </c>
      <c r="Y561" s="5">
        <f>IF(U561="Open",Lookups!$B$2-B561,X561)</f>
        <v>25</v>
      </c>
      <c r="Z561" t="str">
        <f t="shared" si="93"/>
        <v>OK</v>
      </c>
      <c r="AA561" t="str">
        <f t="shared" si="94"/>
        <v>2026-05</v>
      </c>
      <c r="AB561" t="str">
        <f t="shared" si="95"/>
        <v>2026-06</v>
      </c>
      <c r="AC561" t="str">
        <f t="shared" si="96"/>
        <v>Q2-2026</v>
      </c>
      <c r="AD561" s="5">
        <f t="shared" si="97"/>
        <v>62</v>
      </c>
      <c r="AE561" t="str">
        <f t="shared" si="98"/>
        <v>Lost</v>
      </c>
    </row>
    <row r="562" spans="1:31">
      <c r="A562" t="s">
        <v>664</v>
      </c>
      <c r="B562" s="1">
        <v>45680</v>
      </c>
      <c r="C562" t="s">
        <v>42</v>
      </c>
      <c r="D562" t="s">
        <v>43</v>
      </c>
      <c r="E562" t="s">
        <v>107</v>
      </c>
      <c r="F562" t="s">
        <v>67</v>
      </c>
      <c r="G562" t="s">
        <v>112</v>
      </c>
      <c r="H562" t="s">
        <v>53</v>
      </c>
      <c r="I562" t="s">
        <v>61</v>
      </c>
      <c r="J562" s="1">
        <v>45723</v>
      </c>
      <c r="K562" s="1">
        <v>45723</v>
      </c>
      <c r="L562" s="3">
        <v>57100</v>
      </c>
      <c r="M562" s="4">
        <v>0</v>
      </c>
      <c r="N562" s="4">
        <v>0</v>
      </c>
      <c r="O562" t="s">
        <v>81</v>
      </c>
      <c r="P562">
        <v>3</v>
      </c>
      <c r="Q562" t="str">
        <f>IFERROR(VLOOKUP(E562,Lookups!$A$5:$B$24,2,FALSE),"Other")</f>
        <v>Referral</v>
      </c>
      <c r="R562" t="str">
        <f>IFERROR(VLOOKUP(F562,Lookups!$D$5:$F$10,2,FALSE),"Unknown Product")</f>
        <v>Revenue Operations Suite</v>
      </c>
      <c r="S562" t="str">
        <f>IFERROR(VLOOKUP(F562,Lookups!$D$5:$F$10,3,FALSE),"Unknown")</f>
        <v>Revenue Ops</v>
      </c>
      <c r="T562" t="str">
        <f t="shared" si="88"/>
        <v>Enterprise</v>
      </c>
      <c r="U562" t="str">
        <f t="shared" si="89"/>
        <v>Lost</v>
      </c>
      <c r="V562" s="3">
        <f t="shared" si="90"/>
        <v>0</v>
      </c>
      <c r="W562" s="3">
        <f t="shared" si="91"/>
        <v>0</v>
      </c>
      <c r="X562" s="5">
        <f t="shared" si="92"/>
        <v>43</v>
      </c>
      <c r="Y562" s="5">
        <f>IF(U562="Open",Lookups!$B$2-B562,X562)</f>
        <v>43</v>
      </c>
      <c r="Z562" t="str">
        <f t="shared" si="93"/>
        <v>OK</v>
      </c>
      <c r="AA562" t="str">
        <f t="shared" si="94"/>
        <v>2025-01</v>
      </c>
      <c r="AB562" t="str">
        <f t="shared" si="95"/>
        <v>2025-03</v>
      </c>
      <c r="AC562" t="str">
        <f t="shared" si="96"/>
        <v>Q1-2025</v>
      </c>
      <c r="AD562" s="5">
        <f t="shared" si="97"/>
        <v>82</v>
      </c>
      <c r="AE562" t="str">
        <f t="shared" si="98"/>
        <v>Lost</v>
      </c>
    </row>
    <row r="563" spans="1:31">
      <c r="A563" t="s">
        <v>665</v>
      </c>
      <c r="B563" s="1">
        <v>46038</v>
      </c>
      <c r="C563" t="s">
        <v>56</v>
      </c>
      <c r="D563" t="s">
        <v>57</v>
      </c>
      <c r="E563" t="s">
        <v>51</v>
      </c>
      <c r="F563" t="s">
        <v>59</v>
      </c>
      <c r="G563" t="s">
        <v>72</v>
      </c>
      <c r="H563" t="s">
        <v>47</v>
      </c>
      <c r="I563" t="s">
        <v>61</v>
      </c>
      <c r="J563" s="1">
        <v>46070</v>
      </c>
      <c r="K563" s="1">
        <v>46070</v>
      </c>
      <c r="L563" s="3">
        <v>22000</v>
      </c>
      <c r="M563" s="4">
        <v>0</v>
      </c>
      <c r="N563" s="4">
        <v>0</v>
      </c>
      <c r="O563" t="s">
        <v>79</v>
      </c>
      <c r="P563">
        <v>4</v>
      </c>
      <c r="Q563" t="str">
        <f>IFERROR(VLOOKUP(E563,Lookups!$A$5:$B$24,2,FALSE),"Other")</f>
        <v>Paid Search</v>
      </c>
      <c r="R563" t="str">
        <f>IFERROR(VLOOKUP(F563,Lookups!$D$5:$F$10,2,FALSE),"Unknown Product")</f>
        <v>NexaCRM Pro</v>
      </c>
      <c r="S563" t="str">
        <f>IFERROR(VLOOKUP(F563,Lookups!$D$5:$F$10,3,FALSE),"Unknown")</f>
        <v>CRM</v>
      </c>
      <c r="T563" t="str">
        <f t="shared" si="88"/>
        <v>Mid-Market</v>
      </c>
      <c r="U563" t="str">
        <f t="shared" si="89"/>
        <v>Lost</v>
      </c>
      <c r="V563" s="3">
        <f t="shared" si="90"/>
        <v>0</v>
      </c>
      <c r="W563" s="3">
        <f t="shared" si="91"/>
        <v>0</v>
      </c>
      <c r="X563" s="5">
        <f t="shared" si="92"/>
        <v>32</v>
      </c>
      <c r="Y563" s="5">
        <f>IF(U563="Open",Lookups!$B$2-B563,X563)</f>
        <v>32</v>
      </c>
      <c r="Z563" t="str">
        <f t="shared" si="93"/>
        <v>OK</v>
      </c>
      <c r="AA563" t="str">
        <f t="shared" si="94"/>
        <v>2026-01</v>
      </c>
      <c r="AB563" t="str">
        <f t="shared" si="95"/>
        <v>2026-02</v>
      </c>
      <c r="AC563" t="str">
        <f t="shared" si="96"/>
        <v>Q1-2026</v>
      </c>
      <c r="AD563" s="5">
        <f t="shared" si="97"/>
        <v>51</v>
      </c>
      <c r="AE563" t="str">
        <f t="shared" si="98"/>
        <v>Lost</v>
      </c>
    </row>
    <row r="564" spans="1:31">
      <c r="A564" t="s">
        <v>666</v>
      </c>
      <c r="B564" s="1">
        <v>45890</v>
      </c>
      <c r="C564" t="s">
        <v>90</v>
      </c>
      <c r="D564" t="s">
        <v>57</v>
      </c>
      <c r="E564" t="s">
        <v>138</v>
      </c>
      <c r="F564" t="s">
        <v>45</v>
      </c>
      <c r="G564" t="s">
        <v>112</v>
      </c>
      <c r="H564" t="s">
        <v>84</v>
      </c>
      <c r="I564" t="s">
        <v>61</v>
      </c>
      <c r="J564" s="1">
        <v>45932</v>
      </c>
      <c r="K564" s="1">
        <v>45932</v>
      </c>
      <c r="L564" s="3">
        <v>81600</v>
      </c>
      <c r="M564" s="4">
        <v>0</v>
      </c>
      <c r="N564" s="4">
        <v>0</v>
      </c>
      <c r="O564" t="s">
        <v>79</v>
      </c>
      <c r="P564">
        <v>4</v>
      </c>
      <c r="Q564" t="str">
        <f>IFERROR(VLOOKUP(E564,Lookups!$A$5:$B$24,2,FALSE),"Other")</f>
        <v>Organic Search</v>
      </c>
      <c r="R564" t="str">
        <f>IFERROR(VLOOKUP(F564,Lookups!$D$5:$F$10,2,FALSE),"Unknown Product")</f>
        <v>Service Cloud</v>
      </c>
      <c r="S564" t="str">
        <f>IFERROR(VLOOKUP(F564,Lookups!$D$5:$F$10,3,FALSE),"Unknown")</f>
        <v>Customer Service</v>
      </c>
      <c r="T564" t="str">
        <f t="shared" si="88"/>
        <v>Enterprise</v>
      </c>
      <c r="U564" t="str">
        <f t="shared" si="89"/>
        <v>Lost</v>
      </c>
      <c r="V564" s="3">
        <f t="shared" si="90"/>
        <v>0</v>
      </c>
      <c r="W564" s="3">
        <f t="shared" si="91"/>
        <v>0</v>
      </c>
      <c r="X564" s="5">
        <f t="shared" si="92"/>
        <v>42</v>
      </c>
      <c r="Y564" s="5">
        <f>IF(U564="Open",Lookups!$B$2-B564,X564)</f>
        <v>42</v>
      </c>
      <c r="Z564" t="str">
        <f t="shared" si="93"/>
        <v>OK</v>
      </c>
      <c r="AA564" t="str">
        <f t="shared" si="94"/>
        <v>2025-08</v>
      </c>
      <c r="AB564" t="str">
        <f t="shared" si="95"/>
        <v>2025-10</v>
      </c>
      <c r="AC564" t="str">
        <f t="shared" si="96"/>
        <v>Q3-2025</v>
      </c>
      <c r="AD564" s="5">
        <f t="shared" si="97"/>
        <v>85</v>
      </c>
      <c r="AE564" t="str">
        <f t="shared" si="98"/>
        <v>Lost</v>
      </c>
    </row>
    <row r="565" spans="1:31">
      <c r="A565" t="s">
        <v>667</v>
      </c>
      <c r="B565" s="1">
        <v>45710</v>
      </c>
      <c r="C565" t="s">
        <v>64</v>
      </c>
      <c r="D565" t="s">
        <v>57</v>
      </c>
      <c r="E565" t="s">
        <v>127</v>
      </c>
      <c r="F565" t="s">
        <v>67</v>
      </c>
      <c r="G565" t="s">
        <v>60</v>
      </c>
      <c r="H565" t="s">
        <v>47</v>
      </c>
      <c r="I565" t="s">
        <v>61</v>
      </c>
      <c r="J565" s="1">
        <v>45786</v>
      </c>
      <c r="K565" s="1">
        <v>45786</v>
      </c>
      <c r="L565" s="3">
        <v>26100</v>
      </c>
      <c r="M565" s="4">
        <v>0</v>
      </c>
      <c r="N565" s="4">
        <v>0</v>
      </c>
      <c r="O565" t="s">
        <v>79</v>
      </c>
      <c r="P565">
        <v>5</v>
      </c>
      <c r="Q565" t="str">
        <f>IFERROR(VLOOKUP(E565,Lookups!$A$5:$B$24,2,FALSE),"Other")</f>
        <v>Paid Search</v>
      </c>
      <c r="R565" t="str">
        <f>IFERROR(VLOOKUP(F565,Lookups!$D$5:$F$10,2,FALSE),"Unknown Product")</f>
        <v>Revenue Operations Suite</v>
      </c>
      <c r="S565" t="str">
        <f>IFERROR(VLOOKUP(F565,Lookups!$D$5:$F$10,3,FALSE),"Unknown")</f>
        <v>Revenue Ops</v>
      </c>
      <c r="T565" t="str">
        <f t="shared" si="88"/>
        <v>Mid-Market</v>
      </c>
      <c r="U565" t="str">
        <f t="shared" si="89"/>
        <v>Lost</v>
      </c>
      <c r="V565" s="3">
        <f t="shared" si="90"/>
        <v>0</v>
      </c>
      <c r="W565" s="3">
        <f t="shared" si="91"/>
        <v>0</v>
      </c>
      <c r="X565" s="5">
        <f t="shared" si="92"/>
        <v>76</v>
      </c>
      <c r="Y565" s="5">
        <f>IF(U565="Open",Lookups!$B$2-B565,X565)</f>
        <v>76</v>
      </c>
      <c r="Z565" t="str">
        <f t="shared" si="93"/>
        <v>OK</v>
      </c>
      <c r="AA565" t="str">
        <f t="shared" si="94"/>
        <v>2025-02</v>
      </c>
      <c r="AB565" t="str">
        <f t="shared" si="95"/>
        <v>2025-05</v>
      </c>
      <c r="AC565" t="str">
        <f t="shared" si="96"/>
        <v>Q1-2025</v>
      </c>
      <c r="AD565" s="5">
        <f t="shared" si="97"/>
        <v>51</v>
      </c>
      <c r="AE565" t="str">
        <f t="shared" si="98"/>
        <v>Lost</v>
      </c>
    </row>
    <row r="566" spans="1:31">
      <c r="A566" t="s">
        <v>668</v>
      </c>
      <c r="B566" s="1">
        <v>45940</v>
      </c>
      <c r="C566" t="s">
        <v>42</v>
      </c>
      <c r="D566" t="s">
        <v>43</v>
      </c>
      <c r="E566" t="s">
        <v>98</v>
      </c>
      <c r="F566" t="s">
        <v>71</v>
      </c>
      <c r="G566" t="s">
        <v>112</v>
      </c>
      <c r="H566" t="s">
        <v>47</v>
      </c>
      <c r="I566" t="s">
        <v>77</v>
      </c>
      <c r="J566" s="1">
        <v>46014</v>
      </c>
      <c r="K566" s="1">
        <v>46014</v>
      </c>
      <c r="L566" s="3">
        <v>8800</v>
      </c>
      <c r="M566" s="4">
        <v>0</v>
      </c>
      <c r="N566" s="4">
        <v>1</v>
      </c>
      <c r="P566">
        <v>6</v>
      </c>
      <c r="Q566" t="str">
        <f>IFERROR(VLOOKUP(E566,Lookups!$A$5:$B$24,2,FALSE),"Other")</f>
        <v>Outbound</v>
      </c>
      <c r="R566" t="str">
        <f>IFERROR(VLOOKUP(F566,Lookups!$D$5:$F$10,2,FALSE),"Unknown Product")</f>
        <v>Marketing Automation</v>
      </c>
      <c r="S566" t="str">
        <f>IFERROR(VLOOKUP(F566,Lookups!$D$5:$F$10,3,FALSE),"Unknown")</f>
        <v>Marketing</v>
      </c>
      <c r="T566" t="str">
        <f t="shared" si="88"/>
        <v>SMB</v>
      </c>
      <c r="U566" t="str">
        <f t="shared" si="89"/>
        <v>Won</v>
      </c>
      <c r="V566" s="3">
        <f t="shared" si="90"/>
        <v>8800</v>
      </c>
      <c r="W566" s="3">
        <f t="shared" si="91"/>
        <v>0</v>
      </c>
      <c r="X566" s="5">
        <f t="shared" si="92"/>
        <v>74</v>
      </c>
      <c r="Y566" s="5">
        <f>IF(U566="Open",Lookups!$B$2-B566,X566)</f>
        <v>74</v>
      </c>
      <c r="Z566" t="str">
        <f t="shared" si="93"/>
        <v>OK</v>
      </c>
      <c r="AA566" t="str">
        <f t="shared" si="94"/>
        <v>2025-10</v>
      </c>
      <c r="AB566" t="str">
        <f t="shared" si="95"/>
        <v>2025-12</v>
      </c>
      <c r="AC566" t="str">
        <f t="shared" si="96"/>
        <v>Q4-2025</v>
      </c>
      <c r="AD566" s="5">
        <f t="shared" si="97"/>
        <v>48</v>
      </c>
      <c r="AE566" t="str">
        <f t="shared" si="98"/>
        <v>Won</v>
      </c>
    </row>
    <row r="567" spans="1:31">
      <c r="A567" t="s">
        <v>669</v>
      </c>
      <c r="B567" s="1">
        <v>46080</v>
      </c>
      <c r="C567" t="s">
        <v>148</v>
      </c>
      <c r="D567" t="s">
        <v>43</v>
      </c>
      <c r="E567" t="s">
        <v>88</v>
      </c>
      <c r="F567" t="s">
        <v>133</v>
      </c>
      <c r="G567" t="s">
        <v>76</v>
      </c>
      <c r="H567" t="s">
        <v>47</v>
      </c>
      <c r="I567" t="s">
        <v>61</v>
      </c>
      <c r="J567" s="1">
        <v>46164</v>
      </c>
      <c r="K567" s="1">
        <v>46164</v>
      </c>
      <c r="L567" s="3">
        <v>15600</v>
      </c>
      <c r="M567" s="4">
        <v>0</v>
      </c>
      <c r="N567" s="4">
        <v>0</v>
      </c>
      <c r="O567" t="s">
        <v>81</v>
      </c>
      <c r="P567">
        <v>2</v>
      </c>
      <c r="Q567" t="str">
        <f>IFERROR(VLOOKUP(E567,Lookups!$A$5:$B$24,2,FALSE),"Other")</f>
        <v>Other</v>
      </c>
      <c r="R567" t="str">
        <f>IFERROR(VLOOKUP(F567,Lookups!$D$5:$F$10,2,FALSE),"Unknown Product")</f>
        <v>Analytics Plus</v>
      </c>
      <c r="S567" t="str">
        <f>IFERROR(VLOOKUP(F567,Lookups!$D$5:$F$10,3,FALSE),"Unknown")</f>
        <v>Analytics</v>
      </c>
      <c r="T567" t="str">
        <f t="shared" si="88"/>
        <v>SMB</v>
      </c>
      <c r="U567" t="str">
        <f t="shared" si="89"/>
        <v>Lost</v>
      </c>
      <c r="V567" s="3">
        <f t="shared" si="90"/>
        <v>0</v>
      </c>
      <c r="W567" s="3">
        <f t="shared" si="91"/>
        <v>0</v>
      </c>
      <c r="X567" s="5">
        <f t="shared" si="92"/>
        <v>84</v>
      </c>
      <c r="Y567" s="5">
        <f>IF(U567="Open",Lookups!$B$2-B567,X567)</f>
        <v>84</v>
      </c>
      <c r="Z567" t="str">
        <f t="shared" si="93"/>
        <v>OK</v>
      </c>
      <c r="AA567" t="str">
        <f t="shared" si="94"/>
        <v>2026-02</v>
      </c>
      <c r="AB567" t="str">
        <f t="shared" si="95"/>
        <v>2026-05</v>
      </c>
      <c r="AC567" t="str">
        <f t="shared" si="96"/>
        <v>Q1-2026</v>
      </c>
      <c r="AD567" s="5">
        <f t="shared" si="97"/>
        <v>43</v>
      </c>
      <c r="AE567" t="str">
        <f t="shared" si="98"/>
        <v>Lost</v>
      </c>
    </row>
    <row r="568" spans="1:31">
      <c r="A568" t="s">
        <v>670</v>
      </c>
      <c r="B568" s="1">
        <v>45997</v>
      </c>
      <c r="C568" t="s">
        <v>69</v>
      </c>
      <c r="D568" t="s">
        <v>57</v>
      </c>
      <c r="E568" t="s">
        <v>44</v>
      </c>
      <c r="F568" t="s">
        <v>59</v>
      </c>
      <c r="G568" t="s">
        <v>76</v>
      </c>
      <c r="H568" t="s">
        <v>47</v>
      </c>
      <c r="I568" t="s">
        <v>61</v>
      </c>
      <c r="J568" s="1">
        <v>46049</v>
      </c>
      <c r="K568" s="1">
        <v>46049</v>
      </c>
      <c r="L568" s="3">
        <v>23600</v>
      </c>
      <c r="M568" s="4">
        <v>0</v>
      </c>
      <c r="N568" s="4">
        <v>0</v>
      </c>
      <c r="O568" t="s">
        <v>116</v>
      </c>
      <c r="P568">
        <v>3</v>
      </c>
      <c r="Q568" t="str">
        <f>IFERROR(VLOOKUP(E568,Lookups!$A$5:$B$24,2,FALSE),"Other")</f>
        <v>Organic Search</v>
      </c>
      <c r="R568" t="str">
        <f>IFERROR(VLOOKUP(F568,Lookups!$D$5:$F$10,2,FALSE),"Unknown Product")</f>
        <v>NexaCRM Pro</v>
      </c>
      <c r="S568" t="str">
        <f>IFERROR(VLOOKUP(F568,Lookups!$D$5:$F$10,3,FALSE),"Unknown")</f>
        <v>CRM</v>
      </c>
      <c r="T568" t="str">
        <f t="shared" si="88"/>
        <v>Mid-Market</v>
      </c>
      <c r="U568" t="str">
        <f t="shared" si="89"/>
        <v>Lost</v>
      </c>
      <c r="V568" s="3">
        <f t="shared" si="90"/>
        <v>0</v>
      </c>
      <c r="W568" s="3">
        <f t="shared" si="91"/>
        <v>0</v>
      </c>
      <c r="X568" s="5">
        <f t="shared" si="92"/>
        <v>52</v>
      </c>
      <c r="Y568" s="5">
        <f>IF(U568="Open",Lookups!$B$2-B568,X568)</f>
        <v>52</v>
      </c>
      <c r="Z568" t="str">
        <f t="shared" si="93"/>
        <v>OK</v>
      </c>
      <c r="AA568" t="str">
        <f t="shared" si="94"/>
        <v>2025-12</v>
      </c>
      <c r="AB568" t="str">
        <f t="shared" si="95"/>
        <v>2026-01</v>
      </c>
      <c r="AC568" t="str">
        <f t="shared" si="96"/>
        <v>Q4-2025</v>
      </c>
      <c r="AD568" s="5">
        <f t="shared" si="97"/>
        <v>57</v>
      </c>
      <c r="AE568" t="str">
        <f t="shared" si="98"/>
        <v>Lost</v>
      </c>
    </row>
    <row r="569" spans="1:31">
      <c r="A569" t="s">
        <v>671</v>
      </c>
      <c r="B569" s="1">
        <v>45947</v>
      </c>
      <c r="C569" t="s">
        <v>42</v>
      </c>
      <c r="D569" t="s">
        <v>43</v>
      </c>
      <c r="E569" t="s">
        <v>51</v>
      </c>
      <c r="F569" t="s">
        <v>59</v>
      </c>
      <c r="G569" t="s">
        <v>60</v>
      </c>
      <c r="H569" t="s">
        <v>47</v>
      </c>
      <c r="I569" t="s">
        <v>77</v>
      </c>
      <c r="J569" s="1">
        <v>45959</v>
      </c>
      <c r="K569" s="1">
        <v>45959</v>
      </c>
      <c r="L569" s="3">
        <v>11300</v>
      </c>
      <c r="M569" s="4">
        <v>0.08</v>
      </c>
      <c r="N569" s="4">
        <v>1</v>
      </c>
      <c r="P569">
        <v>6</v>
      </c>
      <c r="Q569" t="str">
        <f>IFERROR(VLOOKUP(E569,Lookups!$A$5:$B$24,2,FALSE),"Other")</f>
        <v>Paid Search</v>
      </c>
      <c r="R569" t="str">
        <f>IFERROR(VLOOKUP(F569,Lookups!$D$5:$F$10,2,FALSE),"Unknown Product")</f>
        <v>NexaCRM Pro</v>
      </c>
      <c r="S569" t="str">
        <f>IFERROR(VLOOKUP(F569,Lookups!$D$5:$F$10,3,FALSE),"Unknown")</f>
        <v>CRM</v>
      </c>
      <c r="T569" t="str">
        <f t="shared" si="88"/>
        <v>SMB</v>
      </c>
      <c r="U569" t="str">
        <f t="shared" si="89"/>
        <v>Won</v>
      </c>
      <c r="V569" s="3">
        <f t="shared" si="90"/>
        <v>10396</v>
      </c>
      <c r="W569" s="3">
        <f t="shared" si="91"/>
        <v>0</v>
      </c>
      <c r="X569" s="5">
        <f t="shared" si="92"/>
        <v>12</v>
      </c>
      <c r="Y569" s="5">
        <f>IF(U569="Open",Lookups!$B$2-B569,X569)</f>
        <v>12</v>
      </c>
      <c r="Z569" t="str">
        <f t="shared" si="93"/>
        <v>OK</v>
      </c>
      <c r="AA569" t="str">
        <f t="shared" si="94"/>
        <v>2025-10</v>
      </c>
      <c r="AB569" t="str">
        <f t="shared" si="95"/>
        <v>2025-10</v>
      </c>
      <c r="AC569" t="str">
        <f t="shared" si="96"/>
        <v>Q4-2025</v>
      </c>
      <c r="AD569" s="5">
        <f t="shared" si="97"/>
        <v>43</v>
      </c>
      <c r="AE569" t="str">
        <f t="shared" si="98"/>
        <v>Won</v>
      </c>
    </row>
    <row r="570" spans="1:31">
      <c r="A570" t="s">
        <v>672</v>
      </c>
      <c r="B570" s="1">
        <v>46045</v>
      </c>
      <c r="C570" t="s">
        <v>56</v>
      </c>
      <c r="D570" t="s">
        <v>57</v>
      </c>
      <c r="E570" t="s">
        <v>160</v>
      </c>
      <c r="F570" t="s">
        <v>71</v>
      </c>
      <c r="G570" t="s">
        <v>46</v>
      </c>
      <c r="H570" t="s">
        <v>47</v>
      </c>
      <c r="I570" t="s">
        <v>48</v>
      </c>
      <c r="J570" s="1">
        <v>46167</v>
      </c>
      <c r="K570" s="1"/>
      <c r="L570" s="3">
        <v>12800</v>
      </c>
      <c r="M570" s="4">
        <v>0.05</v>
      </c>
      <c r="N570" s="4">
        <v>0.85</v>
      </c>
      <c r="P570">
        <v>5</v>
      </c>
      <c r="Q570" t="str">
        <f>IFERROR(VLOOKUP(E570,Lookups!$A$5:$B$24,2,FALSE),"Other")</f>
        <v>Email</v>
      </c>
      <c r="R570" t="str">
        <f>IFERROR(VLOOKUP(F570,Lookups!$D$5:$F$10,2,FALSE),"Unknown Product")</f>
        <v>Marketing Automation</v>
      </c>
      <c r="S570" t="str">
        <f>IFERROR(VLOOKUP(F570,Lookups!$D$5:$F$10,3,FALSE),"Unknown")</f>
        <v>Marketing</v>
      </c>
      <c r="T570" t="str">
        <f t="shared" si="88"/>
        <v>SMB</v>
      </c>
      <c r="U570" t="str">
        <f t="shared" si="89"/>
        <v>Open</v>
      </c>
      <c r="V570" s="3">
        <f t="shared" si="90"/>
        <v>0</v>
      </c>
      <c r="W570" s="3">
        <f t="shared" si="91"/>
        <v>10880</v>
      </c>
      <c r="X570" s="5" t="str">
        <f t="shared" si="92"/>
        <v/>
      </c>
      <c r="Y570" s="5">
        <f>IF(U570="Open",Lookups!$B$2-B570,X570)</f>
        <v>221</v>
      </c>
      <c r="Z570" t="str">
        <f t="shared" si="93"/>
        <v>STALE</v>
      </c>
      <c r="AA570" t="str">
        <f t="shared" si="94"/>
        <v>2026-01</v>
      </c>
      <c r="AB570" t="str">
        <f t="shared" si="95"/>
        <v/>
      </c>
      <c r="AC570" t="str">
        <f t="shared" si="96"/>
        <v>Q1-2026</v>
      </c>
      <c r="AD570" s="5">
        <f t="shared" si="97"/>
        <v>47</v>
      </c>
      <c r="AE570" t="str">
        <f t="shared" si="98"/>
        <v>Commit</v>
      </c>
    </row>
    <row r="571" spans="1:31">
      <c r="A571" t="s">
        <v>673</v>
      </c>
      <c r="B571" s="1">
        <v>46185</v>
      </c>
      <c r="C571" t="s">
        <v>56</v>
      </c>
      <c r="D571" t="s">
        <v>57</v>
      </c>
      <c r="E571" t="s">
        <v>146</v>
      </c>
      <c r="F571" t="s">
        <v>67</v>
      </c>
      <c r="G571" t="s">
        <v>94</v>
      </c>
      <c r="H571" t="s">
        <v>47</v>
      </c>
      <c r="I571" t="s">
        <v>61</v>
      </c>
      <c r="J571" s="1">
        <v>46238</v>
      </c>
      <c r="K571" s="1">
        <v>46238</v>
      </c>
      <c r="L571" s="3">
        <v>25600</v>
      </c>
      <c r="M571" s="4">
        <v>0</v>
      </c>
      <c r="N571" s="4">
        <v>0</v>
      </c>
      <c r="O571" t="s">
        <v>79</v>
      </c>
      <c r="P571">
        <v>4</v>
      </c>
      <c r="Q571" t="str">
        <f>IFERROR(VLOOKUP(E571,Lookups!$A$5:$B$24,2,FALSE),"Other")</f>
        <v>LinkedIn</v>
      </c>
      <c r="R571" t="str">
        <f>IFERROR(VLOOKUP(F571,Lookups!$D$5:$F$10,2,FALSE),"Unknown Product")</f>
        <v>Revenue Operations Suite</v>
      </c>
      <c r="S571" t="str">
        <f>IFERROR(VLOOKUP(F571,Lookups!$D$5:$F$10,3,FALSE),"Unknown")</f>
        <v>Revenue Ops</v>
      </c>
      <c r="T571" t="str">
        <f t="shared" si="88"/>
        <v>Mid-Market</v>
      </c>
      <c r="U571" t="str">
        <f t="shared" si="89"/>
        <v>Lost</v>
      </c>
      <c r="V571" s="3">
        <f t="shared" si="90"/>
        <v>0</v>
      </c>
      <c r="W571" s="3">
        <f t="shared" si="91"/>
        <v>0</v>
      </c>
      <c r="X571" s="5">
        <f t="shared" si="92"/>
        <v>53</v>
      </c>
      <c r="Y571" s="5">
        <f>IF(U571="Open",Lookups!$B$2-B571,X571)</f>
        <v>53</v>
      </c>
      <c r="Z571" t="str">
        <f t="shared" si="93"/>
        <v>OK</v>
      </c>
      <c r="AA571" t="str">
        <f t="shared" si="94"/>
        <v>2026-06</v>
      </c>
      <c r="AB571" t="str">
        <f t="shared" si="95"/>
        <v>2026-08</v>
      </c>
      <c r="AC571" t="str">
        <f t="shared" si="96"/>
        <v>Q2-2026</v>
      </c>
      <c r="AD571" s="5">
        <f t="shared" si="97"/>
        <v>51</v>
      </c>
      <c r="AE571" t="str">
        <f t="shared" si="98"/>
        <v>Lost</v>
      </c>
    </row>
    <row r="572" spans="1:31">
      <c r="A572" t="s">
        <v>674</v>
      </c>
      <c r="B572" s="1">
        <v>46148</v>
      </c>
      <c r="C572" t="s">
        <v>56</v>
      </c>
      <c r="D572" t="s">
        <v>57</v>
      </c>
      <c r="E572" t="s">
        <v>107</v>
      </c>
      <c r="F572" t="s">
        <v>71</v>
      </c>
      <c r="G572" t="s">
        <v>94</v>
      </c>
      <c r="H572" t="s">
        <v>53</v>
      </c>
      <c r="I572" t="s">
        <v>54</v>
      </c>
      <c r="J572" s="1">
        <v>46190</v>
      </c>
      <c r="K572" s="1"/>
      <c r="L572" s="3">
        <v>32400</v>
      </c>
      <c r="M572" s="4">
        <v>0</v>
      </c>
      <c r="N572" s="4">
        <v>0.65</v>
      </c>
      <c r="P572">
        <v>4</v>
      </c>
      <c r="Q572" t="str">
        <f>IFERROR(VLOOKUP(E572,Lookups!$A$5:$B$24,2,FALSE),"Other")</f>
        <v>Referral</v>
      </c>
      <c r="R572" t="str">
        <f>IFERROR(VLOOKUP(F572,Lookups!$D$5:$F$10,2,FALSE),"Unknown Product")</f>
        <v>Marketing Automation</v>
      </c>
      <c r="S572" t="str">
        <f>IFERROR(VLOOKUP(F572,Lookups!$D$5:$F$10,3,FALSE),"Unknown")</f>
        <v>Marketing</v>
      </c>
      <c r="T572" t="str">
        <f t="shared" si="88"/>
        <v>Mid-Market</v>
      </c>
      <c r="U572" t="str">
        <f t="shared" si="89"/>
        <v>Open</v>
      </c>
      <c r="V572" s="3">
        <f t="shared" si="90"/>
        <v>0</v>
      </c>
      <c r="W572" s="3">
        <f t="shared" si="91"/>
        <v>21060</v>
      </c>
      <c r="X572" s="5" t="str">
        <f t="shared" si="92"/>
        <v/>
      </c>
      <c r="Y572" s="5">
        <f>IF(U572="Open",Lookups!$B$2-B572,X572)</f>
        <v>118</v>
      </c>
      <c r="Z572" t="str">
        <f t="shared" si="93"/>
        <v>STALE</v>
      </c>
      <c r="AA572" t="str">
        <f t="shared" si="94"/>
        <v>2026-05</v>
      </c>
      <c r="AB572" t="str">
        <f t="shared" si="95"/>
        <v/>
      </c>
      <c r="AC572" t="str">
        <f t="shared" si="96"/>
        <v>Q2-2026</v>
      </c>
      <c r="AD572" s="5">
        <f t="shared" si="97"/>
        <v>70</v>
      </c>
      <c r="AE572" t="str">
        <f t="shared" si="98"/>
        <v>Best Case</v>
      </c>
    </row>
    <row r="573" spans="1:31">
      <c r="A573" t="s">
        <v>675</v>
      </c>
      <c r="B573" s="1">
        <v>46098</v>
      </c>
      <c r="C573" t="s">
        <v>148</v>
      </c>
      <c r="D573" t="s">
        <v>43</v>
      </c>
      <c r="E573" t="s">
        <v>65</v>
      </c>
      <c r="F573" t="s">
        <v>59</v>
      </c>
      <c r="G573" t="s">
        <v>46</v>
      </c>
      <c r="H573" t="s">
        <v>47</v>
      </c>
      <c r="I573" t="s">
        <v>61</v>
      </c>
      <c r="J573" s="1">
        <v>46150</v>
      </c>
      <c r="K573" s="1">
        <v>46150</v>
      </c>
      <c r="L573" s="3">
        <v>20700</v>
      </c>
      <c r="M573" s="4">
        <v>0</v>
      </c>
      <c r="N573" s="4">
        <v>0</v>
      </c>
      <c r="O573" t="s">
        <v>102</v>
      </c>
      <c r="P573">
        <v>2</v>
      </c>
      <c r="Q573" t="str">
        <f>IFERROR(VLOOKUP(E573,Lookups!$A$5:$B$24,2,FALSE),"Other")</f>
        <v>Paid Search</v>
      </c>
      <c r="R573" t="str">
        <f>IFERROR(VLOOKUP(F573,Lookups!$D$5:$F$10,2,FALSE),"Unknown Product")</f>
        <v>NexaCRM Pro</v>
      </c>
      <c r="S573" t="str">
        <f>IFERROR(VLOOKUP(F573,Lookups!$D$5:$F$10,3,FALSE),"Unknown")</f>
        <v>CRM</v>
      </c>
      <c r="T573" t="str">
        <f t="shared" si="88"/>
        <v>Mid-Market</v>
      </c>
      <c r="U573" t="str">
        <f t="shared" si="89"/>
        <v>Lost</v>
      </c>
      <c r="V573" s="3">
        <f t="shared" si="90"/>
        <v>0</v>
      </c>
      <c r="W573" s="3">
        <f t="shared" si="91"/>
        <v>0</v>
      </c>
      <c r="X573" s="5">
        <f t="shared" si="92"/>
        <v>52</v>
      </c>
      <c r="Y573" s="5">
        <f>IF(U573="Open",Lookups!$B$2-B573,X573)</f>
        <v>52</v>
      </c>
      <c r="Z573" t="str">
        <f t="shared" si="93"/>
        <v>OK</v>
      </c>
      <c r="AA573" t="str">
        <f t="shared" si="94"/>
        <v>2026-03</v>
      </c>
      <c r="AB573" t="str">
        <f t="shared" si="95"/>
        <v>2026-05</v>
      </c>
      <c r="AC573" t="str">
        <f t="shared" si="96"/>
        <v>Q1-2026</v>
      </c>
      <c r="AD573" s="5">
        <f t="shared" si="97"/>
        <v>51</v>
      </c>
      <c r="AE573" t="str">
        <f t="shared" si="98"/>
        <v>Lost</v>
      </c>
    </row>
    <row r="574" spans="1:31">
      <c r="A574" t="s">
        <v>676</v>
      </c>
      <c r="B574" s="1">
        <v>46010</v>
      </c>
      <c r="C574" t="s">
        <v>64</v>
      </c>
      <c r="D574" t="s">
        <v>57</v>
      </c>
      <c r="E574" t="s">
        <v>146</v>
      </c>
      <c r="F574" t="s">
        <v>133</v>
      </c>
      <c r="G574" t="s">
        <v>46</v>
      </c>
      <c r="H574" t="s">
        <v>53</v>
      </c>
      <c r="I574" t="s">
        <v>61</v>
      </c>
      <c r="J574" s="1">
        <v>46049</v>
      </c>
      <c r="K574" s="1">
        <v>46049</v>
      </c>
      <c r="L574" s="3">
        <v>24500</v>
      </c>
      <c r="M574" s="4">
        <v>0</v>
      </c>
      <c r="N574" s="4">
        <v>0</v>
      </c>
      <c r="O574" t="s">
        <v>116</v>
      </c>
      <c r="P574">
        <v>3</v>
      </c>
      <c r="Q574" t="str">
        <f>IFERROR(VLOOKUP(E574,Lookups!$A$5:$B$24,2,FALSE),"Other")</f>
        <v>LinkedIn</v>
      </c>
      <c r="R574" t="str">
        <f>IFERROR(VLOOKUP(F574,Lookups!$D$5:$F$10,2,FALSE),"Unknown Product")</f>
        <v>Analytics Plus</v>
      </c>
      <c r="S574" t="str">
        <f>IFERROR(VLOOKUP(F574,Lookups!$D$5:$F$10,3,FALSE),"Unknown")</f>
        <v>Analytics</v>
      </c>
      <c r="T574" t="str">
        <f t="shared" si="88"/>
        <v>Mid-Market</v>
      </c>
      <c r="U574" t="str">
        <f t="shared" si="89"/>
        <v>Lost</v>
      </c>
      <c r="V574" s="3">
        <f t="shared" si="90"/>
        <v>0</v>
      </c>
      <c r="W574" s="3">
        <f t="shared" si="91"/>
        <v>0</v>
      </c>
      <c r="X574" s="5">
        <f t="shared" si="92"/>
        <v>39</v>
      </c>
      <c r="Y574" s="5">
        <f>IF(U574="Open",Lookups!$B$2-B574,X574)</f>
        <v>39</v>
      </c>
      <c r="Z574" t="str">
        <f t="shared" si="93"/>
        <v>OK</v>
      </c>
      <c r="AA574" t="str">
        <f t="shared" si="94"/>
        <v>2025-12</v>
      </c>
      <c r="AB574" t="str">
        <f t="shared" si="95"/>
        <v>2026-01</v>
      </c>
      <c r="AC574" t="str">
        <f t="shared" si="96"/>
        <v>Q4-2025</v>
      </c>
      <c r="AD574" s="5">
        <f t="shared" si="97"/>
        <v>59</v>
      </c>
      <c r="AE574" t="str">
        <f t="shared" si="98"/>
        <v>Lost</v>
      </c>
    </row>
    <row r="575" spans="1:31">
      <c r="A575" t="s">
        <v>677</v>
      </c>
      <c r="B575" s="1">
        <v>45761</v>
      </c>
      <c r="C575" t="s">
        <v>42</v>
      </c>
      <c r="D575" t="s">
        <v>43</v>
      </c>
      <c r="E575" t="s">
        <v>104</v>
      </c>
      <c r="F575" t="s">
        <v>67</v>
      </c>
      <c r="G575" t="s">
        <v>46</v>
      </c>
      <c r="H575" t="s">
        <v>53</v>
      </c>
      <c r="I575" t="s">
        <v>61</v>
      </c>
      <c r="J575" s="1">
        <v>45811</v>
      </c>
      <c r="K575" s="1">
        <v>45811</v>
      </c>
      <c r="L575" s="3">
        <v>77900</v>
      </c>
      <c r="M575" s="4">
        <v>0</v>
      </c>
      <c r="N575" s="4">
        <v>0</v>
      </c>
      <c r="O575" t="s">
        <v>81</v>
      </c>
      <c r="P575">
        <v>4</v>
      </c>
      <c r="Q575" t="str">
        <f>IFERROR(VLOOKUP(E575,Lookups!$A$5:$B$24,2,FALSE),"Other")</f>
        <v>Other</v>
      </c>
      <c r="R575" t="str">
        <f>IFERROR(VLOOKUP(F575,Lookups!$D$5:$F$10,2,FALSE),"Unknown Product")</f>
        <v>Revenue Operations Suite</v>
      </c>
      <c r="S575" t="str">
        <f>IFERROR(VLOOKUP(F575,Lookups!$D$5:$F$10,3,FALSE),"Unknown")</f>
        <v>Revenue Ops</v>
      </c>
      <c r="T575" t="str">
        <f t="shared" si="88"/>
        <v>Enterprise</v>
      </c>
      <c r="U575" t="str">
        <f t="shared" si="89"/>
        <v>Lost</v>
      </c>
      <c r="V575" s="3">
        <f t="shared" si="90"/>
        <v>0</v>
      </c>
      <c r="W575" s="3">
        <f t="shared" si="91"/>
        <v>0</v>
      </c>
      <c r="X575" s="5">
        <f t="shared" si="92"/>
        <v>50</v>
      </c>
      <c r="Y575" s="5">
        <f>IF(U575="Open",Lookups!$B$2-B575,X575)</f>
        <v>50</v>
      </c>
      <c r="Z575" t="str">
        <f t="shared" si="93"/>
        <v>OK</v>
      </c>
      <c r="AA575" t="str">
        <f t="shared" si="94"/>
        <v>2025-04</v>
      </c>
      <c r="AB575" t="str">
        <f t="shared" si="95"/>
        <v>2025-06</v>
      </c>
      <c r="AC575" t="str">
        <f t="shared" si="96"/>
        <v>Q2-2025</v>
      </c>
      <c r="AD575" s="5">
        <f t="shared" si="97"/>
        <v>66</v>
      </c>
      <c r="AE575" t="str">
        <f t="shared" si="98"/>
        <v>Lost</v>
      </c>
    </row>
    <row r="576" spans="1:31">
      <c r="A576" t="s">
        <v>678</v>
      </c>
      <c r="B576" s="1">
        <v>46017</v>
      </c>
      <c r="C576" t="s">
        <v>148</v>
      </c>
      <c r="D576" t="s">
        <v>43</v>
      </c>
      <c r="E576" t="s">
        <v>83</v>
      </c>
      <c r="F576" t="s">
        <v>59</v>
      </c>
      <c r="G576" t="s">
        <v>60</v>
      </c>
      <c r="H576" t="s">
        <v>84</v>
      </c>
      <c r="I576" t="s">
        <v>61</v>
      </c>
      <c r="J576" s="1">
        <v>46064</v>
      </c>
      <c r="K576" s="1">
        <v>46064</v>
      </c>
      <c r="L576" s="3">
        <v>60000</v>
      </c>
      <c r="M576" s="4">
        <v>0</v>
      </c>
      <c r="N576" s="4">
        <v>0</v>
      </c>
      <c r="O576" t="s">
        <v>79</v>
      </c>
      <c r="P576">
        <v>4</v>
      </c>
      <c r="Q576" t="str">
        <f>IFERROR(VLOOKUP(E576,Lookups!$A$5:$B$24,2,FALSE),"Other")</f>
        <v>Organic Search</v>
      </c>
      <c r="R576" t="str">
        <f>IFERROR(VLOOKUP(F576,Lookups!$D$5:$F$10,2,FALSE),"Unknown Product")</f>
        <v>NexaCRM Pro</v>
      </c>
      <c r="S576" t="str">
        <f>IFERROR(VLOOKUP(F576,Lookups!$D$5:$F$10,3,FALSE),"Unknown")</f>
        <v>CRM</v>
      </c>
      <c r="T576" t="str">
        <f t="shared" si="88"/>
        <v>Enterprise</v>
      </c>
      <c r="U576" t="str">
        <f t="shared" si="89"/>
        <v>Lost</v>
      </c>
      <c r="V576" s="3">
        <f t="shared" si="90"/>
        <v>0</v>
      </c>
      <c r="W576" s="3">
        <f t="shared" si="91"/>
        <v>0</v>
      </c>
      <c r="X576" s="5">
        <f t="shared" si="92"/>
        <v>47</v>
      </c>
      <c r="Y576" s="5">
        <f>IF(U576="Open",Lookups!$B$2-B576,X576)</f>
        <v>47</v>
      </c>
      <c r="Z576" t="str">
        <f t="shared" si="93"/>
        <v>OK</v>
      </c>
      <c r="AA576" t="str">
        <f t="shared" si="94"/>
        <v>2025-12</v>
      </c>
      <c r="AB576" t="str">
        <f t="shared" si="95"/>
        <v>2026-02</v>
      </c>
      <c r="AC576" t="str">
        <f t="shared" si="96"/>
        <v>Q4-2025</v>
      </c>
      <c r="AD576" s="5">
        <f t="shared" si="97"/>
        <v>80</v>
      </c>
      <c r="AE576" t="str">
        <f t="shared" si="98"/>
        <v>Lost</v>
      </c>
    </row>
    <row r="577" spans="1:31">
      <c r="A577" t="s">
        <v>679</v>
      </c>
      <c r="B577" s="1">
        <v>46229</v>
      </c>
      <c r="C577" t="s">
        <v>56</v>
      </c>
      <c r="D577" t="s">
        <v>57</v>
      </c>
      <c r="E577" t="s">
        <v>132</v>
      </c>
      <c r="F577" t="s">
        <v>45</v>
      </c>
      <c r="G577" t="s">
        <v>60</v>
      </c>
      <c r="H577" t="s">
        <v>47</v>
      </c>
      <c r="I577" t="s">
        <v>187</v>
      </c>
      <c r="J577" s="1">
        <v>46256</v>
      </c>
      <c r="K577" s="1"/>
      <c r="L577" s="3">
        <v>12000</v>
      </c>
      <c r="M577" s="4">
        <v>0.03</v>
      </c>
      <c r="N577" s="4">
        <v>0.05</v>
      </c>
      <c r="P577">
        <v>1</v>
      </c>
      <c r="Q577" t="str">
        <f>IFERROR(VLOOKUP(E577,Lookups!$A$5:$B$24,2,FALSE),"Other")</f>
        <v>Other</v>
      </c>
      <c r="R577" t="str">
        <f>IFERROR(VLOOKUP(F577,Lookups!$D$5:$F$10,2,FALSE),"Unknown Product")</f>
        <v>Service Cloud</v>
      </c>
      <c r="S577" t="str">
        <f>IFERROR(VLOOKUP(F577,Lookups!$D$5:$F$10,3,FALSE),"Unknown")</f>
        <v>Customer Service</v>
      </c>
      <c r="T577" t="str">
        <f t="shared" si="88"/>
        <v>SMB</v>
      </c>
      <c r="U577" t="str">
        <f t="shared" si="89"/>
        <v>Open</v>
      </c>
      <c r="V577" s="3">
        <f t="shared" si="90"/>
        <v>0</v>
      </c>
      <c r="W577" s="3">
        <f t="shared" si="91"/>
        <v>600</v>
      </c>
      <c r="X577" s="5" t="str">
        <f t="shared" si="92"/>
        <v/>
      </c>
      <c r="Y577" s="5">
        <f>IF(U577="Open",Lookups!$B$2-B577,X577)</f>
        <v>37</v>
      </c>
      <c r="Z577" t="str">
        <f t="shared" si="93"/>
        <v>STALE</v>
      </c>
      <c r="AA577" t="str">
        <f t="shared" si="94"/>
        <v>2026-07</v>
      </c>
      <c r="AB577" t="str">
        <f t="shared" si="95"/>
        <v/>
      </c>
      <c r="AC577" t="str">
        <f t="shared" si="96"/>
        <v>Q3-2026</v>
      </c>
      <c r="AD577" s="5">
        <f t="shared" si="97"/>
        <v>43</v>
      </c>
      <c r="AE577" t="str">
        <f t="shared" si="98"/>
        <v>Pipeline</v>
      </c>
    </row>
    <row r="578" spans="1:31">
      <c r="A578" t="s">
        <v>680</v>
      </c>
      <c r="B578" s="1">
        <v>46146</v>
      </c>
      <c r="C578" t="s">
        <v>56</v>
      </c>
      <c r="D578" t="s">
        <v>57</v>
      </c>
      <c r="E578" t="s">
        <v>98</v>
      </c>
      <c r="F578" t="s">
        <v>71</v>
      </c>
      <c r="G578" t="s">
        <v>60</v>
      </c>
      <c r="H578" t="s">
        <v>47</v>
      </c>
      <c r="I578" t="s">
        <v>61</v>
      </c>
      <c r="J578" s="1">
        <v>46161</v>
      </c>
      <c r="K578" s="1">
        <v>46161</v>
      </c>
      <c r="L578" s="3">
        <v>14300</v>
      </c>
      <c r="M578" s="4">
        <v>0</v>
      </c>
      <c r="N578" s="4">
        <v>0</v>
      </c>
      <c r="O578" t="s">
        <v>102</v>
      </c>
      <c r="P578">
        <v>5</v>
      </c>
      <c r="Q578" t="str">
        <f>IFERROR(VLOOKUP(E578,Lookups!$A$5:$B$24,2,FALSE),"Other")</f>
        <v>Outbound</v>
      </c>
      <c r="R578" t="str">
        <f>IFERROR(VLOOKUP(F578,Lookups!$D$5:$F$10,2,FALSE),"Unknown Product")</f>
        <v>Marketing Automation</v>
      </c>
      <c r="S578" t="str">
        <f>IFERROR(VLOOKUP(F578,Lookups!$D$5:$F$10,3,FALSE),"Unknown")</f>
        <v>Marketing</v>
      </c>
      <c r="T578" t="str">
        <f t="shared" ref="T578:T641" si="99">IF(L578&gt;=50000,"Enterprise",IF(L578&gt;=20000,"Mid-Market","SMB"))</f>
        <v>SMB</v>
      </c>
      <c r="U578" t="str">
        <f t="shared" ref="U578:U641" si="100">IF(I578="Closed Won","Won",IF(I578="Closed Lost","Lost","Open"))</f>
        <v>Lost</v>
      </c>
      <c r="V578" s="3">
        <f t="shared" ref="V578:V641" si="101">IF(U578="Won",L578*(1-M578),0)</f>
        <v>0</v>
      </c>
      <c r="W578" s="3">
        <f t="shared" ref="W578:W641" si="102">IF(U578="Open",L578*N578,0)</f>
        <v>0</v>
      </c>
      <c r="X578" s="5">
        <f t="shared" ref="X578:X641" si="103">IF(U578="Open","",IFERROR(K578-B578,""))</f>
        <v>15</v>
      </c>
      <c r="Y578" s="5">
        <f>IF(U578="Open",Lookups!$B$2-B578,X578)</f>
        <v>15</v>
      </c>
      <c r="Z578" t="str">
        <f t="shared" ref="Z578:Z641" si="104">IF(AND(U578="Open",Y578&gt;30),"STALE","OK")</f>
        <v>OK</v>
      </c>
      <c r="AA578" t="str">
        <f t="shared" ref="AA578:AA641" si="105">TEXT(B578,"yyyy-mm")</f>
        <v>2026-05</v>
      </c>
      <c r="AB578" t="str">
        <f t="shared" ref="AB578:AB641" si="106">IF(K578="","",TEXT(K578,"yyyy-mm"))</f>
        <v>2026-05</v>
      </c>
      <c r="AC578" t="str">
        <f t="shared" ref="AC578:AC641" si="107">"Q"&amp;ROUNDUP(MONTH(B578)/3,0)&amp;"-"&amp;YEAR(B578)</f>
        <v>Q2-2026</v>
      </c>
      <c r="AD578" s="5">
        <f t="shared" ref="AD578:AD641" si="108">MIN(100,IF(H578="Enterprise",30,IF(H578="Mid-Market",22,14))+IF(T578="Enterprise",25,IF(T578="Mid-Market",18,10))+IF(Q578="Referral",25,IF(Q578="Organic Search",20,IF(Q578="Email",18,14)))+IF(G578="Technology",10,5))</f>
        <v>43</v>
      </c>
      <c r="AE578" t="str">
        <f t="shared" ref="AE578:AE641" si="109">IF(U578&lt;&gt;"Open",U578,IF(N578&gt;=0.8,"Commit",IF(N578&gt;=0.5,"Best Case","Pipeline")))</f>
        <v>Lost</v>
      </c>
    </row>
    <row r="579" spans="1:31">
      <c r="A579" t="s">
        <v>681</v>
      </c>
      <c r="B579" s="1">
        <v>45769</v>
      </c>
      <c r="C579" t="s">
        <v>148</v>
      </c>
      <c r="D579" t="s">
        <v>43</v>
      </c>
      <c r="E579" t="s">
        <v>98</v>
      </c>
      <c r="F579" t="s">
        <v>59</v>
      </c>
      <c r="G579" t="s">
        <v>94</v>
      </c>
      <c r="H579" t="s">
        <v>47</v>
      </c>
      <c r="I579" t="s">
        <v>77</v>
      </c>
      <c r="J579" s="1">
        <v>45839</v>
      </c>
      <c r="K579" s="1">
        <v>45839</v>
      </c>
      <c r="L579" s="3">
        <v>11800</v>
      </c>
      <c r="M579" s="4">
        <v>0.12</v>
      </c>
      <c r="N579" s="4">
        <v>1</v>
      </c>
      <c r="P579">
        <v>6</v>
      </c>
      <c r="Q579" t="str">
        <f>IFERROR(VLOOKUP(E579,Lookups!$A$5:$B$24,2,FALSE),"Other")</f>
        <v>Outbound</v>
      </c>
      <c r="R579" t="str">
        <f>IFERROR(VLOOKUP(F579,Lookups!$D$5:$F$10,2,FALSE),"Unknown Product")</f>
        <v>NexaCRM Pro</v>
      </c>
      <c r="S579" t="str">
        <f>IFERROR(VLOOKUP(F579,Lookups!$D$5:$F$10,3,FALSE),"Unknown")</f>
        <v>CRM</v>
      </c>
      <c r="T579" t="str">
        <f t="shared" si="99"/>
        <v>SMB</v>
      </c>
      <c r="U579" t="str">
        <f t="shared" si="100"/>
        <v>Won</v>
      </c>
      <c r="V579" s="3">
        <f t="shared" si="101"/>
        <v>10384</v>
      </c>
      <c r="W579" s="3">
        <f t="shared" si="102"/>
        <v>0</v>
      </c>
      <c r="X579" s="5">
        <f t="shared" si="103"/>
        <v>70</v>
      </c>
      <c r="Y579" s="5">
        <f>IF(U579="Open",Lookups!$B$2-B579,X579)</f>
        <v>70</v>
      </c>
      <c r="Z579" t="str">
        <f t="shared" si="104"/>
        <v>OK</v>
      </c>
      <c r="AA579" t="str">
        <f t="shared" si="105"/>
        <v>2025-04</v>
      </c>
      <c r="AB579" t="str">
        <f t="shared" si="106"/>
        <v>2025-07</v>
      </c>
      <c r="AC579" t="str">
        <f t="shared" si="107"/>
        <v>Q2-2025</v>
      </c>
      <c r="AD579" s="5">
        <f t="shared" si="108"/>
        <v>43</v>
      </c>
      <c r="AE579" t="str">
        <f t="shared" si="109"/>
        <v>Won</v>
      </c>
    </row>
    <row r="580" spans="1:31">
      <c r="A580" t="s">
        <v>682</v>
      </c>
      <c r="B580" s="1">
        <v>45972</v>
      </c>
      <c r="C580" t="s">
        <v>42</v>
      </c>
      <c r="D580" t="s">
        <v>43</v>
      </c>
      <c r="E580" t="s">
        <v>44</v>
      </c>
      <c r="F580" t="s">
        <v>52</v>
      </c>
      <c r="G580" t="s">
        <v>76</v>
      </c>
      <c r="H580" t="s">
        <v>53</v>
      </c>
      <c r="I580" t="s">
        <v>61</v>
      </c>
      <c r="J580" s="1">
        <v>46010</v>
      </c>
      <c r="K580" s="1">
        <v>46010</v>
      </c>
      <c r="L580" s="3">
        <v>9600</v>
      </c>
      <c r="M580" s="4">
        <v>0</v>
      </c>
      <c r="N580" s="4">
        <v>0</v>
      </c>
      <c r="O580" t="s">
        <v>116</v>
      </c>
      <c r="P580">
        <v>3</v>
      </c>
      <c r="Q580" t="str">
        <f>IFERROR(VLOOKUP(E580,Lookups!$A$5:$B$24,2,FALSE),"Other")</f>
        <v>Organic Search</v>
      </c>
      <c r="R580" t="str">
        <f>IFERROR(VLOOKUP(F580,Lookups!$D$5:$F$10,2,FALSE),"Unknown Product")</f>
        <v>NexaCRM Core</v>
      </c>
      <c r="S580" t="str">
        <f>IFERROR(VLOOKUP(F580,Lookups!$D$5:$F$10,3,FALSE),"Unknown")</f>
        <v>CRM</v>
      </c>
      <c r="T580" t="str">
        <f t="shared" si="99"/>
        <v>SMB</v>
      </c>
      <c r="U580" t="str">
        <f t="shared" si="100"/>
        <v>Lost</v>
      </c>
      <c r="V580" s="3">
        <f t="shared" si="101"/>
        <v>0</v>
      </c>
      <c r="W580" s="3">
        <f t="shared" si="102"/>
        <v>0</v>
      </c>
      <c r="X580" s="5">
        <f t="shared" si="103"/>
        <v>38</v>
      </c>
      <c r="Y580" s="5">
        <f>IF(U580="Open",Lookups!$B$2-B580,X580)</f>
        <v>38</v>
      </c>
      <c r="Z580" t="str">
        <f t="shared" si="104"/>
        <v>OK</v>
      </c>
      <c r="AA580" t="str">
        <f t="shared" si="105"/>
        <v>2025-11</v>
      </c>
      <c r="AB580" t="str">
        <f t="shared" si="106"/>
        <v>2025-12</v>
      </c>
      <c r="AC580" t="str">
        <f t="shared" si="107"/>
        <v>Q4-2025</v>
      </c>
      <c r="AD580" s="5">
        <f t="shared" si="108"/>
        <v>57</v>
      </c>
      <c r="AE580" t="str">
        <f t="shared" si="109"/>
        <v>Lost</v>
      </c>
    </row>
    <row r="581" spans="1:31">
      <c r="A581" t="s">
        <v>683</v>
      </c>
      <c r="B581" s="1">
        <v>45844</v>
      </c>
      <c r="C581" t="s">
        <v>86</v>
      </c>
      <c r="D581" t="s">
        <v>87</v>
      </c>
      <c r="E581" t="s">
        <v>44</v>
      </c>
      <c r="F581" t="s">
        <v>45</v>
      </c>
      <c r="G581" t="s">
        <v>46</v>
      </c>
      <c r="H581" t="s">
        <v>53</v>
      </c>
      <c r="I581" t="s">
        <v>61</v>
      </c>
      <c r="J581" s="1">
        <v>45870</v>
      </c>
      <c r="K581" s="1">
        <v>45870</v>
      </c>
      <c r="L581" s="3">
        <v>49700</v>
      </c>
      <c r="M581" s="4">
        <v>0</v>
      </c>
      <c r="N581" s="4">
        <v>0</v>
      </c>
      <c r="O581" t="s">
        <v>79</v>
      </c>
      <c r="P581">
        <v>5</v>
      </c>
      <c r="Q581" t="str">
        <f>IFERROR(VLOOKUP(E581,Lookups!$A$5:$B$24,2,FALSE),"Other")</f>
        <v>Organic Search</v>
      </c>
      <c r="R581" t="str">
        <f>IFERROR(VLOOKUP(F581,Lookups!$D$5:$F$10,2,FALSE),"Unknown Product")</f>
        <v>Service Cloud</v>
      </c>
      <c r="S581" t="str">
        <f>IFERROR(VLOOKUP(F581,Lookups!$D$5:$F$10,3,FALSE),"Unknown")</f>
        <v>Customer Service</v>
      </c>
      <c r="T581" t="str">
        <f t="shared" si="99"/>
        <v>Mid-Market</v>
      </c>
      <c r="U581" t="str">
        <f t="shared" si="100"/>
        <v>Lost</v>
      </c>
      <c r="V581" s="3">
        <f t="shared" si="101"/>
        <v>0</v>
      </c>
      <c r="W581" s="3">
        <f t="shared" si="102"/>
        <v>0</v>
      </c>
      <c r="X581" s="5">
        <f t="shared" si="103"/>
        <v>26</v>
      </c>
      <c r="Y581" s="5">
        <f>IF(U581="Open",Lookups!$B$2-B581,X581)</f>
        <v>26</v>
      </c>
      <c r="Z581" t="str">
        <f t="shared" si="104"/>
        <v>OK</v>
      </c>
      <c r="AA581" t="str">
        <f t="shared" si="105"/>
        <v>2025-07</v>
      </c>
      <c r="AB581" t="str">
        <f t="shared" si="106"/>
        <v>2025-08</v>
      </c>
      <c r="AC581" t="str">
        <f t="shared" si="107"/>
        <v>Q3-2025</v>
      </c>
      <c r="AD581" s="5">
        <f t="shared" si="108"/>
        <v>65</v>
      </c>
      <c r="AE581" t="str">
        <f t="shared" si="109"/>
        <v>Lost</v>
      </c>
    </row>
    <row r="582" spans="1:31">
      <c r="A582" t="s">
        <v>684</v>
      </c>
      <c r="B582" s="1">
        <v>46095</v>
      </c>
      <c r="C582" t="s">
        <v>64</v>
      </c>
      <c r="D582" t="s">
        <v>57</v>
      </c>
      <c r="E582" t="s">
        <v>44</v>
      </c>
      <c r="F582" t="s">
        <v>52</v>
      </c>
      <c r="G582" t="s">
        <v>60</v>
      </c>
      <c r="H582" t="s">
        <v>47</v>
      </c>
      <c r="I582" t="s">
        <v>77</v>
      </c>
      <c r="J582" s="1">
        <v>46141</v>
      </c>
      <c r="K582" s="1">
        <v>46141</v>
      </c>
      <c r="L582" s="3">
        <v>7000</v>
      </c>
      <c r="M582" s="4">
        <v>0.08</v>
      </c>
      <c r="N582" s="4">
        <v>1</v>
      </c>
      <c r="P582">
        <v>6</v>
      </c>
      <c r="Q582" t="str">
        <f>IFERROR(VLOOKUP(E582,Lookups!$A$5:$B$24,2,FALSE),"Other")</f>
        <v>Organic Search</v>
      </c>
      <c r="R582" t="str">
        <f>IFERROR(VLOOKUP(F582,Lookups!$D$5:$F$10,2,FALSE),"Unknown Product")</f>
        <v>NexaCRM Core</v>
      </c>
      <c r="S582" t="str">
        <f>IFERROR(VLOOKUP(F582,Lookups!$D$5:$F$10,3,FALSE),"Unknown")</f>
        <v>CRM</v>
      </c>
      <c r="T582" t="str">
        <f t="shared" si="99"/>
        <v>SMB</v>
      </c>
      <c r="U582" t="str">
        <f t="shared" si="100"/>
        <v>Won</v>
      </c>
      <c r="V582" s="3">
        <f t="shared" si="101"/>
        <v>6440</v>
      </c>
      <c r="W582" s="3">
        <f t="shared" si="102"/>
        <v>0</v>
      </c>
      <c r="X582" s="5">
        <f t="shared" si="103"/>
        <v>46</v>
      </c>
      <c r="Y582" s="5">
        <f>IF(U582="Open",Lookups!$B$2-B582,X582)</f>
        <v>46</v>
      </c>
      <c r="Z582" t="str">
        <f t="shared" si="104"/>
        <v>OK</v>
      </c>
      <c r="AA582" t="str">
        <f t="shared" si="105"/>
        <v>2026-03</v>
      </c>
      <c r="AB582" t="str">
        <f t="shared" si="106"/>
        <v>2026-04</v>
      </c>
      <c r="AC582" t="str">
        <f t="shared" si="107"/>
        <v>Q1-2026</v>
      </c>
      <c r="AD582" s="5">
        <f t="shared" si="108"/>
        <v>49</v>
      </c>
      <c r="AE582" t="str">
        <f t="shared" si="109"/>
        <v>Won</v>
      </c>
    </row>
    <row r="583" spans="1:31">
      <c r="A583" t="s">
        <v>685</v>
      </c>
      <c r="B583" s="1">
        <v>45773</v>
      </c>
      <c r="C583" t="s">
        <v>148</v>
      </c>
      <c r="D583" t="s">
        <v>43</v>
      </c>
      <c r="E583" t="s">
        <v>107</v>
      </c>
      <c r="F583" t="s">
        <v>45</v>
      </c>
      <c r="G583" t="s">
        <v>94</v>
      </c>
      <c r="H583" t="s">
        <v>47</v>
      </c>
      <c r="I583" t="s">
        <v>61</v>
      </c>
      <c r="J583" s="1">
        <v>45830</v>
      </c>
      <c r="K583" s="1">
        <v>45830</v>
      </c>
      <c r="L583" s="3">
        <v>21800</v>
      </c>
      <c r="M583" s="4">
        <v>0</v>
      </c>
      <c r="N583" s="4">
        <v>0</v>
      </c>
      <c r="O583" t="s">
        <v>116</v>
      </c>
      <c r="P583">
        <v>4</v>
      </c>
      <c r="Q583" t="str">
        <f>IFERROR(VLOOKUP(E583,Lookups!$A$5:$B$24,2,FALSE),"Other")</f>
        <v>Referral</v>
      </c>
      <c r="R583" t="str">
        <f>IFERROR(VLOOKUP(F583,Lookups!$D$5:$F$10,2,FALSE),"Unknown Product")</f>
        <v>Service Cloud</v>
      </c>
      <c r="S583" t="str">
        <f>IFERROR(VLOOKUP(F583,Lookups!$D$5:$F$10,3,FALSE),"Unknown")</f>
        <v>Customer Service</v>
      </c>
      <c r="T583" t="str">
        <f t="shared" si="99"/>
        <v>Mid-Market</v>
      </c>
      <c r="U583" t="str">
        <f t="shared" si="100"/>
        <v>Lost</v>
      </c>
      <c r="V583" s="3">
        <f t="shared" si="101"/>
        <v>0</v>
      </c>
      <c r="W583" s="3">
        <f t="shared" si="102"/>
        <v>0</v>
      </c>
      <c r="X583" s="5">
        <f t="shared" si="103"/>
        <v>57</v>
      </c>
      <c r="Y583" s="5">
        <f>IF(U583="Open",Lookups!$B$2-B583,X583)</f>
        <v>57</v>
      </c>
      <c r="Z583" t="str">
        <f t="shared" si="104"/>
        <v>OK</v>
      </c>
      <c r="AA583" t="str">
        <f t="shared" si="105"/>
        <v>2025-04</v>
      </c>
      <c r="AB583" t="str">
        <f t="shared" si="106"/>
        <v>2025-06</v>
      </c>
      <c r="AC583" t="str">
        <f t="shared" si="107"/>
        <v>Q2-2025</v>
      </c>
      <c r="AD583" s="5">
        <f t="shared" si="108"/>
        <v>62</v>
      </c>
      <c r="AE583" t="str">
        <f t="shared" si="109"/>
        <v>Lost</v>
      </c>
    </row>
    <row r="584" spans="1:31">
      <c r="A584" t="s">
        <v>686</v>
      </c>
      <c r="B584" s="1">
        <v>45796</v>
      </c>
      <c r="C584" t="s">
        <v>90</v>
      </c>
      <c r="D584" t="s">
        <v>57</v>
      </c>
      <c r="E584" t="s">
        <v>166</v>
      </c>
      <c r="F584" t="s">
        <v>67</v>
      </c>
      <c r="G584" t="s">
        <v>112</v>
      </c>
      <c r="H584" t="s">
        <v>47</v>
      </c>
      <c r="I584" t="s">
        <v>61</v>
      </c>
      <c r="J584" s="1">
        <v>45816</v>
      </c>
      <c r="K584" s="1">
        <v>45816</v>
      </c>
      <c r="L584" s="3">
        <v>31100</v>
      </c>
      <c r="M584" s="4">
        <v>0</v>
      </c>
      <c r="N584" s="4">
        <v>0</v>
      </c>
      <c r="O584" t="s">
        <v>81</v>
      </c>
      <c r="P584">
        <v>3</v>
      </c>
      <c r="Q584" t="str">
        <f>IFERROR(VLOOKUP(E584,Lookups!$A$5:$B$24,2,FALSE),"Other")</f>
        <v>Referral</v>
      </c>
      <c r="R584" t="str">
        <f>IFERROR(VLOOKUP(F584,Lookups!$D$5:$F$10,2,FALSE),"Unknown Product")</f>
        <v>Revenue Operations Suite</v>
      </c>
      <c r="S584" t="str">
        <f>IFERROR(VLOOKUP(F584,Lookups!$D$5:$F$10,3,FALSE),"Unknown")</f>
        <v>Revenue Ops</v>
      </c>
      <c r="T584" t="str">
        <f t="shared" si="99"/>
        <v>Mid-Market</v>
      </c>
      <c r="U584" t="str">
        <f t="shared" si="100"/>
        <v>Lost</v>
      </c>
      <c r="V584" s="3">
        <f t="shared" si="101"/>
        <v>0</v>
      </c>
      <c r="W584" s="3">
        <f t="shared" si="102"/>
        <v>0</v>
      </c>
      <c r="X584" s="5">
        <f t="shared" si="103"/>
        <v>20</v>
      </c>
      <c r="Y584" s="5">
        <f>IF(U584="Open",Lookups!$B$2-B584,X584)</f>
        <v>20</v>
      </c>
      <c r="Z584" t="str">
        <f t="shared" si="104"/>
        <v>OK</v>
      </c>
      <c r="AA584" t="str">
        <f t="shared" si="105"/>
        <v>2025-05</v>
      </c>
      <c r="AB584" t="str">
        <f t="shared" si="106"/>
        <v>2025-06</v>
      </c>
      <c r="AC584" t="str">
        <f t="shared" si="107"/>
        <v>Q2-2025</v>
      </c>
      <c r="AD584" s="5">
        <f t="shared" si="108"/>
        <v>67</v>
      </c>
      <c r="AE584" t="str">
        <f t="shared" si="109"/>
        <v>Lost</v>
      </c>
    </row>
    <row r="585" spans="1:31">
      <c r="A585" t="s">
        <v>687</v>
      </c>
      <c r="B585" s="1">
        <v>45843</v>
      </c>
      <c r="C585" t="s">
        <v>69</v>
      </c>
      <c r="D585" t="s">
        <v>57</v>
      </c>
      <c r="E585" t="s">
        <v>98</v>
      </c>
      <c r="F585" t="s">
        <v>59</v>
      </c>
      <c r="G585" t="s">
        <v>76</v>
      </c>
      <c r="H585" t="s">
        <v>47</v>
      </c>
      <c r="I585" t="s">
        <v>61</v>
      </c>
      <c r="J585" s="1">
        <v>45903</v>
      </c>
      <c r="K585" s="1">
        <v>45903</v>
      </c>
      <c r="L585" s="3">
        <v>23700</v>
      </c>
      <c r="M585" s="4">
        <v>0</v>
      </c>
      <c r="N585" s="4">
        <v>0</v>
      </c>
      <c r="O585" t="s">
        <v>81</v>
      </c>
      <c r="P585">
        <v>3</v>
      </c>
      <c r="Q585" t="str">
        <f>IFERROR(VLOOKUP(E585,Lookups!$A$5:$B$24,2,FALSE),"Other")</f>
        <v>Outbound</v>
      </c>
      <c r="R585" t="str">
        <f>IFERROR(VLOOKUP(F585,Lookups!$D$5:$F$10,2,FALSE),"Unknown Product")</f>
        <v>NexaCRM Pro</v>
      </c>
      <c r="S585" t="str">
        <f>IFERROR(VLOOKUP(F585,Lookups!$D$5:$F$10,3,FALSE),"Unknown")</f>
        <v>CRM</v>
      </c>
      <c r="T585" t="str">
        <f t="shared" si="99"/>
        <v>Mid-Market</v>
      </c>
      <c r="U585" t="str">
        <f t="shared" si="100"/>
        <v>Lost</v>
      </c>
      <c r="V585" s="3">
        <f t="shared" si="101"/>
        <v>0</v>
      </c>
      <c r="W585" s="3">
        <f t="shared" si="102"/>
        <v>0</v>
      </c>
      <c r="X585" s="5">
        <f t="shared" si="103"/>
        <v>60</v>
      </c>
      <c r="Y585" s="5">
        <f>IF(U585="Open",Lookups!$B$2-B585,X585)</f>
        <v>60</v>
      </c>
      <c r="Z585" t="str">
        <f t="shared" si="104"/>
        <v>OK</v>
      </c>
      <c r="AA585" t="str">
        <f t="shared" si="105"/>
        <v>2025-07</v>
      </c>
      <c r="AB585" t="str">
        <f t="shared" si="106"/>
        <v>2025-09</v>
      </c>
      <c r="AC585" t="str">
        <f t="shared" si="107"/>
        <v>Q3-2025</v>
      </c>
      <c r="AD585" s="5">
        <f t="shared" si="108"/>
        <v>51</v>
      </c>
      <c r="AE585" t="str">
        <f t="shared" si="109"/>
        <v>Lost</v>
      </c>
    </row>
    <row r="586" spans="1:31">
      <c r="A586" t="s">
        <v>688</v>
      </c>
      <c r="B586" s="1">
        <v>46253</v>
      </c>
      <c r="C586" t="s">
        <v>64</v>
      </c>
      <c r="D586" t="s">
        <v>57</v>
      </c>
      <c r="E586" t="s">
        <v>160</v>
      </c>
      <c r="F586" t="s">
        <v>133</v>
      </c>
      <c r="G586" t="s">
        <v>76</v>
      </c>
      <c r="H586" t="s">
        <v>53</v>
      </c>
      <c r="I586" t="s">
        <v>77</v>
      </c>
      <c r="J586" s="1">
        <v>46266</v>
      </c>
      <c r="K586" s="1">
        <v>46266</v>
      </c>
      <c r="L586" s="3">
        <v>41900</v>
      </c>
      <c r="M586" s="4">
        <v>0.1</v>
      </c>
      <c r="N586" s="4">
        <v>1</v>
      </c>
      <c r="P586">
        <v>6</v>
      </c>
      <c r="Q586" t="str">
        <f>IFERROR(VLOOKUP(E586,Lookups!$A$5:$B$24,2,FALSE),"Other")</f>
        <v>Email</v>
      </c>
      <c r="R586" t="str">
        <f>IFERROR(VLOOKUP(F586,Lookups!$D$5:$F$10,2,FALSE),"Unknown Product")</f>
        <v>Analytics Plus</v>
      </c>
      <c r="S586" t="str">
        <f>IFERROR(VLOOKUP(F586,Lookups!$D$5:$F$10,3,FALSE),"Unknown")</f>
        <v>Analytics</v>
      </c>
      <c r="T586" t="str">
        <f t="shared" si="99"/>
        <v>Mid-Market</v>
      </c>
      <c r="U586" t="str">
        <f t="shared" si="100"/>
        <v>Won</v>
      </c>
      <c r="V586" s="3">
        <f t="shared" si="101"/>
        <v>37710</v>
      </c>
      <c r="W586" s="3">
        <f t="shared" si="102"/>
        <v>0</v>
      </c>
      <c r="X586" s="5">
        <f t="shared" si="103"/>
        <v>13</v>
      </c>
      <c r="Y586" s="5">
        <f>IF(U586="Open",Lookups!$B$2-B586,X586)</f>
        <v>13</v>
      </c>
      <c r="Z586" t="str">
        <f t="shared" si="104"/>
        <v>OK</v>
      </c>
      <c r="AA586" t="str">
        <f t="shared" si="105"/>
        <v>2026-08</v>
      </c>
      <c r="AB586" t="str">
        <f t="shared" si="106"/>
        <v>2026-09</v>
      </c>
      <c r="AC586" t="str">
        <f t="shared" si="107"/>
        <v>Q3-2026</v>
      </c>
      <c r="AD586" s="5">
        <f t="shared" si="108"/>
        <v>63</v>
      </c>
      <c r="AE586" t="str">
        <f t="shared" si="109"/>
        <v>Won</v>
      </c>
    </row>
    <row r="587" spans="1:31">
      <c r="A587" t="s">
        <v>689</v>
      </c>
      <c r="B587" s="1">
        <v>46140</v>
      </c>
      <c r="C587" t="s">
        <v>42</v>
      </c>
      <c r="D587" t="s">
        <v>43</v>
      </c>
      <c r="E587" t="s">
        <v>88</v>
      </c>
      <c r="F587" t="s">
        <v>67</v>
      </c>
      <c r="G587" t="s">
        <v>94</v>
      </c>
      <c r="H587" t="s">
        <v>53</v>
      </c>
      <c r="I587" t="s">
        <v>61</v>
      </c>
      <c r="J587" s="1">
        <v>46200</v>
      </c>
      <c r="K587" s="1">
        <v>46200</v>
      </c>
      <c r="L587" s="3">
        <v>74400</v>
      </c>
      <c r="M587" s="4">
        <v>0</v>
      </c>
      <c r="N587" s="4">
        <v>0</v>
      </c>
      <c r="O587" t="s">
        <v>116</v>
      </c>
      <c r="P587">
        <v>3</v>
      </c>
      <c r="Q587" t="str">
        <f>IFERROR(VLOOKUP(E587,Lookups!$A$5:$B$24,2,FALSE),"Other")</f>
        <v>Other</v>
      </c>
      <c r="R587" t="str">
        <f>IFERROR(VLOOKUP(F587,Lookups!$D$5:$F$10,2,FALSE),"Unknown Product")</f>
        <v>Revenue Operations Suite</v>
      </c>
      <c r="S587" t="str">
        <f>IFERROR(VLOOKUP(F587,Lookups!$D$5:$F$10,3,FALSE),"Unknown")</f>
        <v>Revenue Ops</v>
      </c>
      <c r="T587" t="str">
        <f t="shared" si="99"/>
        <v>Enterprise</v>
      </c>
      <c r="U587" t="str">
        <f t="shared" si="100"/>
        <v>Lost</v>
      </c>
      <c r="V587" s="3">
        <f t="shared" si="101"/>
        <v>0</v>
      </c>
      <c r="W587" s="3">
        <f t="shared" si="102"/>
        <v>0</v>
      </c>
      <c r="X587" s="5">
        <f t="shared" si="103"/>
        <v>60</v>
      </c>
      <c r="Y587" s="5">
        <f>IF(U587="Open",Lookups!$B$2-B587,X587)</f>
        <v>60</v>
      </c>
      <c r="Z587" t="str">
        <f t="shared" si="104"/>
        <v>OK</v>
      </c>
      <c r="AA587" t="str">
        <f t="shared" si="105"/>
        <v>2026-04</v>
      </c>
      <c r="AB587" t="str">
        <f t="shared" si="106"/>
        <v>2026-06</v>
      </c>
      <c r="AC587" t="str">
        <f t="shared" si="107"/>
        <v>Q2-2026</v>
      </c>
      <c r="AD587" s="5">
        <f t="shared" si="108"/>
        <v>66</v>
      </c>
      <c r="AE587" t="str">
        <f t="shared" si="109"/>
        <v>Lost</v>
      </c>
    </row>
    <row r="588" spans="1:31">
      <c r="A588" t="s">
        <v>690</v>
      </c>
      <c r="B588" s="1">
        <v>46005</v>
      </c>
      <c r="C588" t="s">
        <v>69</v>
      </c>
      <c r="D588" t="s">
        <v>57</v>
      </c>
      <c r="E588" t="s">
        <v>83</v>
      </c>
      <c r="F588" t="s">
        <v>71</v>
      </c>
      <c r="G588" t="s">
        <v>46</v>
      </c>
      <c r="H588" t="s">
        <v>47</v>
      </c>
      <c r="I588" t="s">
        <v>77</v>
      </c>
      <c r="J588" s="1">
        <v>46104</v>
      </c>
      <c r="K588" s="1">
        <v>46104</v>
      </c>
      <c r="L588" s="3">
        <v>16400</v>
      </c>
      <c r="M588" s="4">
        <v>0.08</v>
      </c>
      <c r="N588" s="4">
        <v>1</v>
      </c>
      <c r="P588">
        <v>6</v>
      </c>
      <c r="Q588" t="str">
        <f>IFERROR(VLOOKUP(E588,Lookups!$A$5:$B$24,2,FALSE),"Other")</f>
        <v>Organic Search</v>
      </c>
      <c r="R588" t="str">
        <f>IFERROR(VLOOKUP(F588,Lookups!$D$5:$F$10,2,FALSE),"Unknown Product")</f>
        <v>Marketing Automation</v>
      </c>
      <c r="S588" t="str">
        <f>IFERROR(VLOOKUP(F588,Lookups!$D$5:$F$10,3,FALSE),"Unknown")</f>
        <v>Marketing</v>
      </c>
      <c r="T588" t="str">
        <f t="shared" si="99"/>
        <v>SMB</v>
      </c>
      <c r="U588" t="str">
        <f t="shared" si="100"/>
        <v>Won</v>
      </c>
      <c r="V588" s="3">
        <f t="shared" si="101"/>
        <v>15088</v>
      </c>
      <c r="W588" s="3">
        <f t="shared" si="102"/>
        <v>0</v>
      </c>
      <c r="X588" s="5">
        <f t="shared" si="103"/>
        <v>99</v>
      </c>
      <c r="Y588" s="5">
        <f>IF(U588="Open",Lookups!$B$2-B588,X588)</f>
        <v>99</v>
      </c>
      <c r="Z588" t="str">
        <f t="shared" si="104"/>
        <v>OK</v>
      </c>
      <c r="AA588" t="str">
        <f t="shared" si="105"/>
        <v>2025-12</v>
      </c>
      <c r="AB588" t="str">
        <f t="shared" si="106"/>
        <v>2026-03</v>
      </c>
      <c r="AC588" t="str">
        <f t="shared" si="107"/>
        <v>Q4-2025</v>
      </c>
      <c r="AD588" s="5">
        <f t="shared" si="108"/>
        <v>49</v>
      </c>
      <c r="AE588" t="str">
        <f t="shared" si="109"/>
        <v>Won</v>
      </c>
    </row>
    <row r="589" spans="1:31">
      <c r="A589" t="s">
        <v>691</v>
      </c>
      <c r="B589" s="1">
        <v>45888</v>
      </c>
      <c r="C589" t="s">
        <v>64</v>
      </c>
      <c r="D589" t="s">
        <v>57</v>
      </c>
      <c r="E589" t="s">
        <v>115</v>
      </c>
      <c r="F589" t="s">
        <v>133</v>
      </c>
      <c r="G589" t="s">
        <v>94</v>
      </c>
      <c r="H589" t="s">
        <v>47</v>
      </c>
      <c r="I589" t="s">
        <v>61</v>
      </c>
      <c r="J589" s="1">
        <v>45934</v>
      </c>
      <c r="K589" s="1">
        <v>45934</v>
      </c>
      <c r="L589" s="3">
        <v>12700</v>
      </c>
      <c r="M589" s="4">
        <v>0</v>
      </c>
      <c r="N589" s="4">
        <v>0</v>
      </c>
      <c r="O589" t="s">
        <v>62</v>
      </c>
      <c r="P589">
        <v>3</v>
      </c>
      <c r="Q589" t="str">
        <f>IFERROR(VLOOKUP(E589,Lookups!$A$5:$B$24,2,FALSE),"Other")</f>
        <v>Outbound</v>
      </c>
      <c r="R589" t="str">
        <f>IFERROR(VLOOKUP(F589,Lookups!$D$5:$F$10,2,FALSE),"Unknown Product")</f>
        <v>Analytics Plus</v>
      </c>
      <c r="S589" t="str">
        <f>IFERROR(VLOOKUP(F589,Lookups!$D$5:$F$10,3,FALSE),"Unknown")</f>
        <v>Analytics</v>
      </c>
      <c r="T589" t="str">
        <f t="shared" si="99"/>
        <v>SMB</v>
      </c>
      <c r="U589" t="str">
        <f t="shared" si="100"/>
        <v>Lost</v>
      </c>
      <c r="V589" s="3">
        <f t="shared" si="101"/>
        <v>0</v>
      </c>
      <c r="W589" s="3">
        <f t="shared" si="102"/>
        <v>0</v>
      </c>
      <c r="X589" s="5">
        <f t="shared" si="103"/>
        <v>46</v>
      </c>
      <c r="Y589" s="5">
        <f>IF(U589="Open",Lookups!$B$2-B589,X589)</f>
        <v>46</v>
      </c>
      <c r="Z589" t="str">
        <f t="shared" si="104"/>
        <v>OK</v>
      </c>
      <c r="AA589" t="str">
        <f t="shared" si="105"/>
        <v>2025-08</v>
      </c>
      <c r="AB589" t="str">
        <f t="shared" si="106"/>
        <v>2025-10</v>
      </c>
      <c r="AC589" t="str">
        <f t="shared" si="107"/>
        <v>Q3-2025</v>
      </c>
      <c r="AD589" s="5">
        <f t="shared" si="108"/>
        <v>43</v>
      </c>
      <c r="AE589" t="str">
        <f t="shared" si="109"/>
        <v>Lost</v>
      </c>
    </row>
    <row r="590" spans="1:31">
      <c r="A590" t="s">
        <v>692</v>
      </c>
      <c r="B590" s="1">
        <v>46215</v>
      </c>
      <c r="C590" t="s">
        <v>50</v>
      </c>
      <c r="D590" t="s">
        <v>43</v>
      </c>
      <c r="E590" t="s">
        <v>96</v>
      </c>
      <c r="F590" t="s">
        <v>45</v>
      </c>
      <c r="G590" t="s">
        <v>72</v>
      </c>
      <c r="H590" t="s">
        <v>53</v>
      </c>
      <c r="I590" t="s">
        <v>73</v>
      </c>
      <c r="J590" s="1">
        <v>46242</v>
      </c>
      <c r="K590" s="1"/>
      <c r="L590" s="3">
        <v>26300</v>
      </c>
      <c r="M590" s="4">
        <v>0</v>
      </c>
      <c r="N590" s="4">
        <v>0.2</v>
      </c>
      <c r="P590">
        <v>2</v>
      </c>
      <c r="Q590" t="str">
        <f>IFERROR(VLOOKUP(E590,Lookups!$A$5:$B$24,2,FALSE),"Other")</f>
        <v>LinkedIn</v>
      </c>
      <c r="R590" t="str">
        <f>IFERROR(VLOOKUP(F590,Lookups!$D$5:$F$10,2,FALSE),"Unknown Product")</f>
        <v>Service Cloud</v>
      </c>
      <c r="S590" t="str">
        <f>IFERROR(VLOOKUP(F590,Lookups!$D$5:$F$10,3,FALSE),"Unknown")</f>
        <v>Customer Service</v>
      </c>
      <c r="T590" t="str">
        <f t="shared" si="99"/>
        <v>Mid-Market</v>
      </c>
      <c r="U590" t="str">
        <f t="shared" si="100"/>
        <v>Open</v>
      </c>
      <c r="V590" s="3">
        <f t="shared" si="101"/>
        <v>0</v>
      </c>
      <c r="W590" s="3">
        <f t="shared" si="102"/>
        <v>5260</v>
      </c>
      <c r="X590" s="5" t="str">
        <f t="shared" si="103"/>
        <v/>
      </c>
      <c r="Y590" s="5">
        <f>IF(U590="Open",Lookups!$B$2-B590,X590)</f>
        <v>51</v>
      </c>
      <c r="Z590" t="str">
        <f t="shared" si="104"/>
        <v>STALE</v>
      </c>
      <c r="AA590" t="str">
        <f t="shared" si="105"/>
        <v>2026-07</v>
      </c>
      <c r="AB590" t="str">
        <f t="shared" si="106"/>
        <v/>
      </c>
      <c r="AC590" t="str">
        <f t="shared" si="107"/>
        <v>Q3-2026</v>
      </c>
      <c r="AD590" s="5">
        <f t="shared" si="108"/>
        <v>59</v>
      </c>
      <c r="AE590" t="str">
        <f t="shared" si="109"/>
        <v>Pipeline</v>
      </c>
    </row>
    <row r="591" spans="1:31">
      <c r="A591" t="s">
        <v>693</v>
      </c>
      <c r="B591" s="1">
        <v>45687</v>
      </c>
      <c r="C591" t="s">
        <v>90</v>
      </c>
      <c r="D591" t="s">
        <v>57</v>
      </c>
      <c r="E591" t="s">
        <v>88</v>
      </c>
      <c r="F591" t="s">
        <v>133</v>
      </c>
      <c r="G591" t="s">
        <v>94</v>
      </c>
      <c r="H591" t="s">
        <v>53</v>
      </c>
      <c r="I591" t="s">
        <v>61</v>
      </c>
      <c r="J591" s="1">
        <v>45713</v>
      </c>
      <c r="K591" s="1">
        <v>45713</v>
      </c>
      <c r="L591" s="3">
        <v>54300</v>
      </c>
      <c r="M591" s="4">
        <v>0</v>
      </c>
      <c r="N591" s="4">
        <v>0</v>
      </c>
      <c r="O591" t="s">
        <v>81</v>
      </c>
      <c r="P591">
        <v>4</v>
      </c>
      <c r="Q591" t="str">
        <f>IFERROR(VLOOKUP(E591,Lookups!$A$5:$B$24,2,FALSE),"Other")</f>
        <v>Other</v>
      </c>
      <c r="R591" t="str">
        <f>IFERROR(VLOOKUP(F591,Lookups!$D$5:$F$10,2,FALSE),"Unknown Product")</f>
        <v>Analytics Plus</v>
      </c>
      <c r="S591" t="str">
        <f>IFERROR(VLOOKUP(F591,Lookups!$D$5:$F$10,3,FALSE),"Unknown")</f>
        <v>Analytics</v>
      </c>
      <c r="T591" t="str">
        <f t="shared" si="99"/>
        <v>Enterprise</v>
      </c>
      <c r="U591" t="str">
        <f t="shared" si="100"/>
        <v>Lost</v>
      </c>
      <c r="V591" s="3">
        <f t="shared" si="101"/>
        <v>0</v>
      </c>
      <c r="W591" s="3">
        <f t="shared" si="102"/>
        <v>0</v>
      </c>
      <c r="X591" s="5">
        <f t="shared" si="103"/>
        <v>26</v>
      </c>
      <c r="Y591" s="5">
        <f>IF(U591="Open",Lookups!$B$2-B591,X591)</f>
        <v>26</v>
      </c>
      <c r="Z591" t="str">
        <f t="shared" si="104"/>
        <v>OK</v>
      </c>
      <c r="AA591" t="str">
        <f t="shared" si="105"/>
        <v>2025-01</v>
      </c>
      <c r="AB591" t="str">
        <f t="shared" si="106"/>
        <v>2025-02</v>
      </c>
      <c r="AC591" t="str">
        <f t="shared" si="107"/>
        <v>Q1-2025</v>
      </c>
      <c r="AD591" s="5">
        <f t="shared" si="108"/>
        <v>66</v>
      </c>
      <c r="AE591" t="str">
        <f t="shared" si="109"/>
        <v>Lost</v>
      </c>
    </row>
    <row r="592" spans="1:31">
      <c r="A592" t="s">
        <v>694</v>
      </c>
      <c r="B592" s="1">
        <v>45826</v>
      </c>
      <c r="C592" t="s">
        <v>148</v>
      </c>
      <c r="D592" t="s">
        <v>43</v>
      </c>
      <c r="E592" t="s">
        <v>96</v>
      </c>
      <c r="F592" t="s">
        <v>67</v>
      </c>
      <c r="G592" t="s">
        <v>112</v>
      </c>
      <c r="H592" t="s">
        <v>53</v>
      </c>
      <c r="I592" t="s">
        <v>77</v>
      </c>
      <c r="J592" s="1">
        <v>45886</v>
      </c>
      <c r="K592" s="1">
        <v>45886</v>
      </c>
      <c r="L592" s="3">
        <v>59700</v>
      </c>
      <c r="M592" s="4">
        <v>0.05</v>
      </c>
      <c r="N592" s="4">
        <v>1</v>
      </c>
      <c r="P592">
        <v>6</v>
      </c>
      <c r="Q592" t="str">
        <f>IFERROR(VLOOKUP(E592,Lookups!$A$5:$B$24,2,FALSE),"Other")</f>
        <v>LinkedIn</v>
      </c>
      <c r="R592" t="str">
        <f>IFERROR(VLOOKUP(F592,Lookups!$D$5:$F$10,2,FALSE),"Unknown Product")</f>
        <v>Revenue Operations Suite</v>
      </c>
      <c r="S592" t="str">
        <f>IFERROR(VLOOKUP(F592,Lookups!$D$5:$F$10,3,FALSE),"Unknown")</f>
        <v>Revenue Ops</v>
      </c>
      <c r="T592" t="str">
        <f t="shared" si="99"/>
        <v>Enterprise</v>
      </c>
      <c r="U592" t="str">
        <f t="shared" si="100"/>
        <v>Won</v>
      </c>
      <c r="V592" s="3">
        <f t="shared" si="101"/>
        <v>56715</v>
      </c>
      <c r="W592" s="3">
        <f t="shared" si="102"/>
        <v>0</v>
      </c>
      <c r="X592" s="5">
        <f t="shared" si="103"/>
        <v>60</v>
      </c>
      <c r="Y592" s="5">
        <f>IF(U592="Open",Lookups!$B$2-B592,X592)</f>
        <v>60</v>
      </c>
      <c r="Z592" t="str">
        <f t="shared" si="104"/>
        <v>OK</v>
      </c>
      <c r="AA592" t="str">
        <f t="shared" si="105"/>
        <v>2025-06</v>
      </c>
      <c r="AB592" t="str">
        <f t="shared" si="106"/>
        <v>2025-08</v>
      </c>
      <c r="AC592" t="str">
        <f t="shared" si="107"/>
        <v>Q2-2025</v>
      </c>
      <c r="AD592" s="5">
        <f t="shared" si="108"/>
        <v>71</v>
      </c>
      <c r="AE592" t="str">
        <f t="shared" si="109"/>
        <v>Won</v>
      </c>
    </row>
    <row r="593" spans="1:31">
      <c r="A593" t="s">
        <v>695</v>
      </c>
      <c r="B593" s="1">
        <v>46243</v>
      </c>
      <c r="C593" t="s">
        <v>69</v>
      </c>
      <c r="D593" t="s">
        <v>57</v>
      </c>
      <c r="E593" t="s">
        <v>119</v>
      </c>
      <c r="F593" t="s">
        <v>45</v>
      </c>
      <c r="G593" t="s">
        <v>46</v>
      </c>
      <c r="H593" t="s">
        <v>53</v>
      </c>
      <c r="I593" t="s">
        <v>73</v>
      </c>
      <c r="J593" s="1">
        <v>46258</v>
      </c>
      <c r="K593" s="1"/>
      <c r="L593" s="3">
        <v>48500</v>
      </c>
      <c r="M593" s="4">
        <v>0.03</v>
      </c>
      <c r="N593" s="4">
        <v>0.2</v>
      </c>
      <c r="P593">
        <v>2</v>
      </c>
      <c r="Q593" t="str">
        <f>IFERROR(VLOOKUP(E593,Lookups!$A$5:$B$24,2,FALSE),"Other")</f>
        <v>Referral</v>
      </c>
      <c r="R593" t="str">
        <f>IFERROR(VLOOKUP(F593,Lookups!$D$5:$F$10,2,FALSE),"Unknown Product")</f>
        <v>Service Cloud</v>
      </c>
      <c r="S593" t="str">
        <f>IFERROR(VLOOKUP(F593,Lookups!$D$5:$F$10,3,FALSE),"Unknown")</f>
        <v>Customer Service</v>
      </c>
      <c r="T593" t="str">
        <f t="shared" si="99"/>
        <v>Mid-Market</v>
      </c>
      <c r="U593" t="str">
        <f t="shared" si="100"/>
        <v>Open</v>
      </c>
      <c r="V593" s="3">
        <f t="shared" si="101"/>
        <v>0</v>
      </c>
      <c r="W593" s="3">
        <f t="shared" si="102"/>
        <v>9700</v>
      </c>
      <c r="X593" s="5" t="str">
        <f t="shared" si="103"/>
        <v/>
      </c>
      <c r="Y593" s="5">
        <f>IF(U593="Open",Lookups!$B$2-B593,X593)</f>
        <v>23</v>
      </c>
      <c r="Z593" t="str">
        <f t="shared" si="104"/>
        <v>OK</v>
      </c>
      <c r="AA593" t="str">
        <f t="shared" si="105"/>
        <v>2026-08</v>
      </c>
      <c r="AB593" t="str">
        <f t="shared" si="106"/>
        <v/>
      </c>
      <c r="AC593" t="str">
        <f t="shared" si="107"/>
        <v>Q3-2026</v>
      </c>
      <c r="AD593" s="5">
        <f t="shared" si="108"/>
        <v>70</v>
      </c>
      <c r="AE593" t="str">
        <f t="shared" si="109"/>
        <v>Pipeline</v>
      </c>
    </row>
    <row r="594" spans="1:31">
      <c r="A594" t="s">
        <v>696</v>
      </c>
      <c r="B594" s="1">
        <v>46103</v>
      </c>
      <c r="C594" t="s">
        <v>69</v>
      </c>
      <c r="D594" t="s">
        <v>57</v>
      </c>
      <c r="E594" t="s">
        <v>65</v>
      </c>
      <c r="F594" t="s">
        <v>52</v>
      </c>
      <c r="G594" t="s">
        <v>112</v>
      </c>
      <c r="H594" t="s">
        <v>84</v>
      </c>
      <c r="I594" t="s">
        <v>77</v>
      </c>
      <c r="J594" s="1">
        <v>46177</v>
      </c>
      <c r="K594" s="1">
        <v>46177</v>
      </c>
      <c r="L594" s="3">
        <v>23600</v>
      </c>
      <c r="M594" s="4">
        <v>0.12</v>
      </c>
      <c r="N594" s="4">
        <v>1</v>
      </c>
      <c r="P594">
        <v>6</v>
      </c>
      <c r="Q594" t="str">
        <f>IFERROR(VLOOKUP(E594,Lookups!$A$5:$B$24,2,FALSE),"Other")</f>
        <v>Paid Search</v>
      </c>
      <c r="R594" t="str">
        <f>IFERROR(VLOOKUP(F594,Lookups!$D$5:$F$10,2,FALSE),"Unknown Product")</f>
        <v>NexaCRM Core</v>
      </c>
      <c r="S594" t="str">
        <f>IFERROR(VLOOKUP(F594,Lookups!$D$5:$F$10,3,FALSE),"Unknown")</f>
        <v>CRM</v>
      </c>
      <c r="T594" t="str">
        <f t="shared" si="99"/>
        <v>Mid-Market</v>
      </c>
      <c r="U594" t="str">
        <f t="shared" si="100"/>
        <v>Won</v>
      </c>
      <c r="V594" s="3">
        <f t="shared" si="101"/>
        <v>20768</v>
      </c>
      <c r="W594" s="3">
        <f t="shared" si="102"/>
        <v>0</v>
      </c>
      <c r="X594" s="5">
        <f t="shared" si="103"/>
        <v>74</v>
      </c>
      <c r="Y594" s="5">
        <f>IF(U594="Open",Lookups!$B$2-B594,X594)</f>
        <v>74</v>
      </c>
      <c r="Z594" t="str">
        <f t="shared" si="104"/>
        <v>OK</v>
      </c>
      <c r="AA594" t="str">
        <f t="shared" si="105"/>
        <v>2026-03</v>
      </c>
      <c r="AB594" t="str">
        <f t="shared" si="106"/>
        <v>2026-06</v>
      </c>
      <c r="AC594" t="str">
        <f t="shared" si="107"/>
        <v>Q1-2026</v>
      </c>
      <c r="AD594" s="5">
        <f t="shared" si="108"/>
        <v>72</v>
      </c>
      <c r="AE594" t="str">
        <f t="shared" si="109"/>
        <v>Won</v>
      </c>
    </row>
    <row r="595" spans="1:31">
      <c r="A595" t="s">
        <v>697</v>
      </c>
      <c r="B595" s="1">
        <v>45810</v>
      </c>
      <c r="C595" t="s">
        <v>69</v>
      </c>
      <c r="D595" t="s">
        <v>57</v>
      </c>
      <c r="E595" t="s">
        <v>44</v>
      </c>
      <c r="F595" t="s">
        <v>67</v>
      </c>
      <c r="G595" t="s">
        <v>60</v>
      </c>
      <c r="H595" t="s">
        <v>47</v>
      </c>
      <c r="I595" t="s">
        <v>61</v>
      </c>
      <c r="J595" s="1">
        <v>45848</v>
      </c>
      <c r="K595" s="1">
        <v>45848</v>
      </c>
      <c r="L595" s="3">
        <v>41300</v>
      </c>
      <c r="M595" s="4">
        <v>0</v>
      </c>
      <c r="N595" s="4">
        <v>0</v>
      </c>
      <c r="O595" t="s">
        <v>116</v>
      </c>
      <c r="P595">
        <v>2</v>
      </c>
      <c r="Q595" t="str">
        <f>IFERROR(VLOOKUP(E595,Lookups!$A$5:$B$24,2,FALSE),"Other")</f>
        <v>Organic Search</v>
      </c>
      <c r="R595" t="str">
        <f>IFERROR(VLOOKUP(F595,Lookups!$D$5:$F$10,2,FALSE),"Unknown Product")</f>
        <v>Revenue Operations Suite</v>
      </c>
      <c r="S595" t="str">
        <f>IFERROR(VLOOKUP(F595,Lookups!$D$5:$F$10,3,FALSE),"Unknown")</f>
        <v>Revenue Ops</v>
      </c>
      <c r="T595" t="str">
        <f t="shared" si="99"/>
        <v>Mid-Market</v>
      </c>
      <c r="U595" t="str">
        <f t="shared" si="100"/>
        <v>Lost</v>
      </c>
      <c r="V595" s="3">
        <f t="shared" si="101"/>
        <v>0</v>
      </c>
      <c r="W595" s="3">
        <f t="shared" si="102"/>
        <v>0</v>
      </c>
      <c r="X595" s="5">
        <f t="shared" si="103"/>
        <v>38</v>
      </c>
      <c r="Y595" s="5">
        <f>IF(U595="Open",Lookups!$B$2-B595,X595)</f>
        <v>38</v>
      </c>
      <c r="Z595" t="str">
        <f t="shared" si="104"/>
        <v>OK</v>
      </c>
      <c r="AA595" t="str">
        <f t="shared" si="105"/>
        <v>2025-06</v>
      </c>
      <c r="AB595" t="str">
        <f t="shared" si="106"/>
        <v>2025-07</v>
      </c>
      <c r="AC595" t="str">
        <f t="shared" si="107"/>
        <v>Q2-2025</v>
      </c>
      <c r="AD595" s="5">
        <f t="shared" si="108"/>
        <v>57</v>
      </c>
      <c r="AE595" t="str">
        <f t="shared" si="109"/>
        <v>Lost</v>
      </c>
    </row>
    <row r="596" spans="1:31">
      <c r="A596" t="s">
        <v>698</v>
      </c>
      <c r="B596" s="1">
        <v>45788</v>
      </c>
      <c r="C596" t="s">
        <v>50</v>
      </c>
      <c r="D596" t="s">
        <v>43</v>
      </c>
      <c r="E596" t="s">
        <v>123</v>
      </c>
      <c r="F596" t="s">
        <v>52</v>
      </c>
      <c r="G596" t="s">
        <v>46</v>
      </c>
      <c r="H596" t="s">
        <v>53</v>
      </c>
      <c r="I596" t="s">
        <v>77</v>
      </c>
      <c r="J596" s="1">
        <v>45800</v>
      </c>
      <c r="K596" s="1">
        <v>45800</v>
      </c>
      <c r="L596" s="3">
        <v>12100</v>
      </c>
      <c r="M596" s="4">
        <v>0.05</v>
      </c>
      <c r="N596" s="4">
        <v>1</v>
      </c>
      <c r="P596">
        <v>6</v>
      </c>
      <c r="Q596" t="str">
        <f>IFERROR(VLOOKUP(E596,Lookups!$A$5:$B$24,2,FALSE),"Other")</f>
        <v>Email</v>
      </c>
      <c r="R596" t="str">
        <f>IFERROR(VLOOKUP(F596,Lookups!$D$5:$F$10,2,FALSE),"Unknown Product")</f>
        <v>NexaCRM Core</v>
      </c>
      <c r="S596" t="str">
        <f>IFERROR(VLOOKUP(F596,Lookups!$D$5:$F$10,3,FALSE),"Unknown")</f>
        <v>CRM</v>
      </c>
      <c r="T596" t="str">
        <f t="shared" si="99"/>
        <v>SMB</v>
      </c>
      <c r="U596" t="str">
        <f t="shared" si="100"/>
        <v>Won</v>
      </c>
      <c r="V596" s="3">
        <f t="shared" si="101"/>
        <v>11495</v>
      </c>
      <c r="W596" s="3">
        <f t="shared" si="102"/>
        <v>0</v>
      </c>
      <c r="X596" s="5">
        <f t="shared" si="103"/>
        <v>12</v>
      </c>
      <c r="Y596" s="5">
        <f>IF(U596="Open",Lookups!$B$2-B596,X596)</f>
        <v>12</v>
      </c>
      <c r="Z596" t="str">
        <f t="shared" si="104"/>
        <v>OK</v>
      </c>
      <c r="AA596" t="str">
        <f t="shared" si="105"/>
        <v>2025-05</v>
      </c>
      <c r="AB596" t="str">
        <f t="shared" si="106"/>
        <v>2025-05</v>
      </c>
      <c r="AC596" t="str">
        <f t="shared" si="107"/>
        <v>Q2-2025</v>
      </c>
      <c r="AD596" s="5">
        <f t="shared" si="108"/>
        <v>55</v>
      </c>
      <c r="AE596" t="str">
        <f t="shared" si="109"/>
        <v>Won</v>
      </c>
    </row>
    <row r="597" spans="1:31">
      <c r="A597" t="s">
        <v>699</v>
      </c>
      <c r="B597" s="1">
        <v>45732</v>
      </c>
      <c r="C597" t="s">
        <v>64</v>
      </c>
      <c r="D597" t="s">
        <v>57</v>
      </c>
      <c r="E597" t="s">
        <v>65</v>
      </c>
      <c r="F597" t="s">
        <v>59</v>
      </c>
      <c r="G597" t="s">
        <v>60</v>
      </c>
      <c r="H597" t="s">
        <v>84</v>
      </c>
      <c r="I597" t="s">
        <v>61</v>
      </c>
      <c r="J597" s="1">
        <v>45773</v>
      </c>
      <c r="K597" s="1">
        <v>45773</v>
      </c>
      <c r="L597" s="3">
        <v>39200</v>
      </c>
      <c r="M597" s="4">
        <v>0</v>
      </c>
      <c r="N597" s="4">
        <v>0</v>
      </c>
      <c r="O597" t="s">
        <v>62</v>
      </c>
      <c r="P597">
        <v>5</v>
      </c>
      <c r="Q597" t="str">
        <f>IFERROR(VLOOKUP(E597,Lookups!$A$5:$B$24,2,FALSE),"Other")</f>
        <v>Paid Search</v>
      </c>
      <c r="R597" t="str">
        <f>IFERROR(VLOOKUP(F597,Lookups!$D$5:$F$10,2,FALSE),"Unknown Product")</f>
        <v>NexaCRM Pro</v>
      </c>
      <c r="S597" t="str">
        <f>IFERROR(VLOOKUP(F597,Lookups!$D$5:$F$10,3,FALSE),"Unknown")</f>
        <v>CRM</v>
      </c>
      <c r="T597" t="str">
        <f t="shared" si="99"/>
        <v>Mid-Market</v>
      </c>
      <c r="U597" t="str">
        <f t="shared" si="100"/>
        <v>Lost</v>
      </c>
      <c r="V597" s="3">
        <f t="shared" si="101"/>
        <v>0</v>
      </c>
      <c r="W597" s="3">
        <f t="shared" si="102"/>
        <v>0</v>
      </c>
      <c r="X597" s="5">
        <f t="shared" si="103"/>
        <v>41</v>
      </c>
      <c r="Y597" s="5">
        <f>IF(U597="Open",Lookups!$B$2-B597,X597)</f>
        <v>41</v>
      </c>
      <c r="Z597" t="str">
        <f t="shared" si="104"/>
        <v>OK</v>
      </c>
      <c r="AA597" t="str">
        <f t="shared" si="105"/>
        <v>2025-03</v>
      </c>
      <c r="AB597" t="str">
        <f t="shared" si="106"/>
        <v>2025-04</v>
      </c>
      <c r="AC597" t="str">
        <f t="shared" si="107"/>
        <v>Q1-2025</v>
      </c>
      <c r="AD597" s="5">
        <f t="shared" si="108"/>
        <v>67</v>
      </c>
      <c r="AE597" t="str">
        <f t="shared" si="109"/>
        <v>Lost</v>
      </c>
    </row>
    <row r="598" spans="1:31">
      <c r="A598" t="s">
        <v>700</v>
      </c>
      <c r="B598" s="1">
        <v>45987</v>
      </c>
      <c r="C598" t="s">
        <v>148</v>
      </c>
      <c r="D598" t="s">
        <v>43</v>
      </c>
      <c r="E598" t="s">
        <v>146</v>
      </c>
      <c r="F598" t="s">
        <v>67</v>
      </c>
      <c r="G598" t="s">
        <v>46</v>
      </c>
      <c r="H598" t="s">
        <v>84</v>
      </c>
      <c r="I598" t="s">
        <v>61</v>
      </c>
      <c r="J598" s="1">
        <v>46021</v>
      </c>
      <c r="K598" s="1">
        <v>46021</v>
      </c>
      <c r="L598" s="3">
        <v>114300</v>
      </c>
      <c r="M598" s="4">
        <v>0</v>
      </c>
      <c r="N598" s="4">
        <v>0</v>
      </c>
      <c r="O598" t="s">
        <v>81</v>
      </c>
      <c r="P598">
        <v>4</v>
      </c>
      <c r="Q598" t="str">
        <f>IFERROR(VLOOKUP(E598,Lookups!$A$5:$B$24,2,FALSE),"Other")</f>
        <v>LinkedIn</v>
      </c>
      <c r="R598" t="str">
        <f>IFERROR(VLOOKUP(F598,Lookups!$D$5:$F$10,2,FALSE),"Unknown Product")</f>
        <v>Revenue Operations Suite</v>
      </c>
      <c r="S598" t="str">
        <f>IFERROR(VLOOKUP(F598,Lookups!$D$5:$F$10,3,FALSE),"Unknown")</f>
        <v>Revenue Ops</v>
      </c>
      <c r="T598" t="str">
        <f t="shared" si="99"/>
        <v>Enterprise</v>
      </c>
      <c r="U598" t="str">
        <f t="shared" si="100"/>
        <v>Lost</v>
      </c>
      <c r="V598" s="3">
        <f t="shared" si="101"/>
        <v>0</v>
      </c>
      <c r="W598" s="3">
        <f t="shared" si="102"/>
        <v>0</v>
      </c>
      <c r="X598" s="5">
        <f t="shared" si="103"/>
        <v>34</v>
      </c>
      <c r="Y598" s="5">
        <f>IF(U598="Open",Lookups!$B$2-B598,X598)</f>
        <v>34</v>
      </c>
      <c r="Z598" t="str">
        <f t="shared" si="104"/>
        <v>OK</v>
      </c>
      <c r="AA598" t="str">
        <f t="shared" si="105"/>
        <v>2025-11</v>
      </c>
      <c r="AB598" t="str">
        <f t="shared" si="106"/>
        <v>2025-12</v>
      </c>
      <c r="AC598" t="str">
        <f t="shared" si="107"/>
        <v>Q4-2025</v>
      </c>
      <c r="AD598" s="5">
        <f t="shared" si="108"/>
        <v>74</v>
      </c>
      <c r="AE598" t="str">
        <f t="shared" si="109"/>
        <v>Lost</v>
      </c>
    </row>
    <row r="599" spans="1:31">
      <c r="A599" t="s">
        <v>701</v>
      </c>
      <c r="B599" s="1">
        <v>46143</v>
      </c>
      <c r="C599" t="s">
        <v>90</v>
      </c>
      <c r="D599" t="s">
        <v>57</v>
      </c>
      <c r="E599" t="s">
        <v>146</v>
      </c>
      <c r="F599" t="s">
        <v>67</v>
      </c>
      <c r="G599" t="s">
        <v>112</v>
      </c>
      <c r="H599" t="s">
        <v>47</v>
      </c>
      <c r="I599" t="s">
        <v>61</v>
      </c>
      <c r="J599" s="1">
        <v>46196</v>
      </c>
      <c r="K599" s="1">
        <v>46196</v>
      </c>
      <c r="L599" s="3">
        <v>27400</v>
      </c>
      <c r="M599" s="4">
        <v>0</v>
      </c>
      <c r="N599" s="4">
        <v>0</v>
      </c>
      <c r="O599" t="s">
        <v>62</v>
      </c>
      <c r="P599">
        <v>3</v>
      </c>
      <c r="Q599" t="str">
        <f>IFERROR(VLOOKUP(E599,Lookups!$A$5:$B$24,2,FALSE),"Other")</f>
        <v>LinkedIn</v>
      </c>
      <c r="R599" t="str">
        <f>IFERROR(VLOOKUP(F599,Lookups!$D$5:$F$10,2,FALSE),"Unknown Product")</f>
        <v>Revenue Operations Suite</v>
      </c>
      <c r="S599" t="str">
        <f>IFERROR(VLOOKUP(F599,Lookups!$D$5:$F$10,3,FALSE),"Unknown")</f>
        <v>Revenue Ops</v>
      </c>
      <c r="T599" t="str">
        <f t="shared" si="99"/>
        <v>Mid-Market</v>
      </c>
      <c r="U599" t="str">
        <f t="shared" si="100"/>
        <v>Lost</v>
      </c>
      <c r="V599" s="3">
        <f t="shared" si="101"/>
        <v>0</v>
      </c>
      <c r="W599" s="3">
        <f t="shared" si="102"/>
        <v>0</v>
      </c>
      <c r="X599" s="5">
        <f t="shared" si="103"/>
        <v>53</v>
      </c>
      <c r="Y599" s="5">
        <f>IF(U599="Open",Lookups!$B$2-B599,X599)</f>
        <v>53</v>
      </c>
      <c r="Z599" t="str">
        <f t="shared" si="104"/>
        <v>OK</v>
      </c>
      <c r="AA599" t="str">
        <f t="shared" si="105"/>
        <v>2026-05</v>
      </c>
      <c r="AB599" t="str">
        <f t="shared" si="106"/>
        <v>2026-06</v>
      </c>
      <c r="AC599" t="str">
        <f t="shared" si="107"/>
        <v>Q2-2026</v>
      </c>
      <c r="AD599" s="5">
        <f t="shared" si="108"/>
        <v>56</v>
      </c>
      <c r="AE599" t="str">
        <f t="shared" si="109"/>
        <v>Lost</v>
      </c>
    </row>
    <row r="600" spans="1:31">
      <c r="A600" t="s">
        <v>702</v>
      </c>
      <c r="B600" s="1">
        <v>45765</v>
      </c>
      <c r="C600" t="s">
        <v>148</v>
      </c>
      <c r="D600" t="s">
        <v>43</v>
      </c>
      <c r="E600" t="s">
        <v>119</v>
      </c>
      <c r="F600" t="s">
        <v>52</v>
      </c>
      <c r="G600" t="s">
        <v>99</v>
      </c>
      <c r="H600" t="s">
        <v>84</v>
      </c>
      <c r="I600" t="s">
        <v>61</v>
      </c>
      <c r="J600" s="1">
        <v>45809</v>
      </c>
      <c r="K600" s="1">
        <v>45809</v>
      </c>
      <c r="L600" s="3">
        <v>27900</v>
      </c>
      <c r="M600" s="4">
        <v>0</v>
      </c>
      <c r="N600" s="4">
        <v>0</v>
      </c>
      <c r="O600" t="s">
        <v>79</v>
      </c>
      <c r="P600">
        <v>3</v>
      </c>
      <c r="Q600" t="str">
        <f>IFERROR(VLOOKUP(E600,Lookups!$A$5:$B$24,2,FALSE),"Other")</f>
        <v>Referral</v>
      </c>
      <c r="R600" t="str">
        <f>IFERROR(VLOOKUP(F600,Lookups!$D$5:$F$10,2,FALSE),"Unknown Product")</f>
        <v>NexaCRM Core</v>
      </c>
      <c r="S600" t="str">
        <f>IFERROR(VLOOKUP(F600,Lookups!$D$5:$F$10,3,FALSE),"Unknown")</f>
        <v>CRM</v>
      </c>
      <c r="T600" t="str">
        <f t="shared" si="99"/>
        <v>Mid-Market</v>
      </c>
      <c r="U600" t="str">
        <f t="shared" si="100"/>
        <v>Lost</v>
      </c>
      <c r="V600" s="3">
        <f t="shared" si="101"/>
        <v>0</v>
      </c>
      <c r="W600" s="3">
        <f t="shared" si="102"/>
        <v>0</v>
      </c>
      <c r="X600" s="5">
        <f t="shared" si="103"/>
        <v>44</v>
      </c>
      <c r="Y600" s="5">
        <f>IF(U600="Open",Lookups!$B$2-B600,X600)</f>
        <v>44</v>
      </c>
      <c r="Z600" t="str">
        <f t="shared" si="104"/>
        <v>OK</v>
      </c>
      <c r="AA600" t="str">
        <f t="shared" si="105"/>
        <v>2025-04</v>
      </c>
      <c r="AB600" t="str">
        <f t="shared" si="106"/>
        <v>2025-06</v>
      </c>
      <c r="AC600" t="str">
        <f t="shared" si="107"/>
        <v>Q2-2025</v>
      </c>
      <c r="AD600" s="5">
        <f t="shared" si="108"/>
        <v>78</v>
      </c>
      <c r="AE600" t="str">
        <f t="shared" si="109"/>
        <v>Lost</v>
      </c>
    </row>
    <row r="601" spans="1:31">
      <c r="A601" t="s">
        <v>703</v>
      </c>
      <c r="B601" s="1">
        <v>45906</v>
      </c>
      <c r="C601" t="s">
        <v>86</v>
      </c>
      <c r="D601" t="s">
        <v>87</v>
      </c>
      <c r="E601" t="s">
        <v>123</v>
      </c>
      <c r="F601" t="s">
        <v>52</v>
      </c>
      <c r="G601" t="s">
        <v>99</v>
      </c>
      <c r="H601" t="s">
        <v>53</v>
      </c>
      <c r="I601" t="s">
        <v>61</v>
      </c>
      <c r="J601" s="1">
        <v>45949</v>
      </c>
      <c r="K601" s="1">
        <v>45949</v>
      </c>
      <c r="L601" s="3">
        <v>16100</v>
      </c>
      <c r="M601" s="4">
        <v>0</v>
      </c>
      <c r="N601" s="4">
        <v>0</v>
      </c>
      <c r="O601" t="s">
        <v>79</v>
      </c>
      <c r="P601">
        <v>5</v>
      </c>
      <c r="Q601" t="str">
        <f>IFERROR(VLOOKUP(E601,Lookups!$A$5:$B$24,2,FALSE),"Other")</f>
        <v>Email</v>
      </c>
      <c r="R601" t="str">
        <f>IFERROR(VLOOKUP(F601,Lookups!$D$5:$F$10,2,FALSE),"Unknown Product")</f>
        <v>NexaCRM Core</v>
      </c>
      <c r="S601" t="str">
        <f>IFERROR(VLOOKUP(F601,Lookups!$D$5:$F$10,3,FALSE),"Unknown")</f>
        <v>CRM</v>
      </c>
      <c r="T601" t="str">
        <f t="shared" si="99"/>
        <v>SMB</v>
      </c>
      <c r="U601" t="str">
        <f t="shared" si="100"/>
        <v>Lost</v>
      </c>
      <c r="V601" s="3">
        <f t="shared" si="101"/>
        <v>0</v>
      </c>
      <c r="W601" s="3">
        <f t="shared" si="102"/>
        <v>0</v>
      </c>
      <c r="X601" s="5">
        <f t="shared" si="103"/>
        <v>43</v>
      </c>
      <c r="Y601" s="5">
        <f>IF(U601="Open",Lookups!$B$2-B601,X601)</f>
        <v>43</v>
      </c>
      <c r="Z601" t="str">
        <f t="shared" si="104"/>
        <v>OK</v>
      </c>
      <c r="AA601" t="str">
        <f t="shared" si="105"/>
        <v>2025-09</v>
      </c>
      <c r="AB601" t="str">
        <f t="shared" si="106"/>
        <v>2025-10</v>
      </c>
      <c r="AC601" t="str">
        <f t="shared" si="107"/>
        <v>Q3-2025</v>
      </c>
      <c r="AD601" s="5">
        <f t="shared" si="108"/>
        <v>55</v>
      </c>
      <c r="AE601" t="str">
        <f t="shared" si="109"/>
        <v>Lost</v>
      </c>
    </row>
    <row r="602" spans="1:31">
      <c r="A602" t="s">
        <v>704</v>
      </c>
      <c r="B602" s="1">
        <v>45704</v>
      </c>
      <c r="C602" t="s">
        <v>86</v>
      </c>
      <c r="D602" t="s">
        <v>87</v>
      </c>
      <c r="E602" t="s">
        <v>51</v>
      </c>
      <c r="F602" t="s">
        <v>59</v>
      </c>
      <c r="G602" t="s">
        <v>99</v>
      </c>
      <c r="H602" t="s">
        <v>47</v>
      </c>
      <c r="I602" t="s">
        <v>61</v>
      </c>
      <c r="J602" s="1">
        <v>45725</v>
      </c>
      <c r="K602" s="1">
        <v>45725</v>
      </c>
      <c r="L602" s="3">
        <v>22100</v>
      </c>
      <c r="M602" s="4">
        <v>0</v>
      </c>
      <c r="N602" s="4">
        <v>0</v>
      </c>
      <c r="O602" t="s">
        <v>62</v>
      </c>
      <c r="P602">
        <v>4</v>
      </c>
      <c r="Q602" t="str">
        <f>IFERROR(VLOOKUP(E602,Lookups!$A$5:$B$24,2,FALSE),"Other")</f>
        <v>Paid Search</v>
      </c>
      <c r="R602" t="str">
        <f>IFERROR(VLOOKUP(F602,Lookups!$D$5:$F$10,2,FALSE),"Unknown Product")</f>
        <v>NexaCRM Pro</v>
      </c>
      <c r="S602" t="str">
        <f>IFERROR(VLOOKUP(F602,Lookups!$D$5:$F$10,3,FALSE),"Unknown")</f>
        <v>CRM</v>
      </c>
      <c r="T602" t="str">
        <f t="shared" si="99"/>
        <v>Mid-Market</v>
      </c>
      <c r="U602" t="str">
        <f t="shared" si="100"/>
        <v>Lost</v>
      </c>
      <c r="V602" s="3">
        <f t="shared" si="101"/>
        <v>0</v>
      </c>
      <c r="W602" s="3">
        <f t="shared" si="102"/>
        <v>0</v>
      </c>
      <c r="X602" s="5">
        <f t="shared" si="103"/>
        <v>21</v>
      </c>
      <c r="Y602" s="5">
        <f>IF(U602="Open",Lookups!$B$2-B602,X602)</f>
        <v>21</v>
      </c>
      <c r="Z602" t="str">
        <f t="shared" si="104"/>
        <v>OK</v>
      </c>
      <c r="AA602" t="str">
        <f t="shared" si="105"/>
        <v>2025-02</v>
      </c>
      <c r="AB602" t="str">
        <f t="shared" si="106"/>
        <v>2025-03</v>
      </c>
      <c r="AC602" t="str">
        <f t="shared" si="107"/>
        <v>Q1-2025</v>
      </c>
      <c r="AD602" s="5">
        <f t="shared" si="108"/>
        <v>51</v>
      </c>
      <c r="AE602" t="str">
        <f t="shared" si="109"/>
        <v>Lost</v>
      </c>
    </row>
    <row r="603" spans="1:31">
      <c r="A603" t="s">
        <v>705</v>
      </c>
      <c r="B603" s="1">
        <v>45965</v>
      </c>
      <c r="C603" t="s">
        <v>56</v>
      </c>
      <c r="D603" t="s">
        <v>57</v>
      </c>
      <c r="E603" t="s">
        <v>58</v>
      </c>
      <c r="F603" t="s">
        <v>71</v>
      </c>
      <c r="G603" t="s">
        <v>60</v>
      </c>
      <c r="H603" t="s">
        <v>47</v>
      </c>
      <c r="I603" t="s">
        <v>61</v>
      </c>
      <c r="J603" s="1">
        <v>46017</v>
      </c>
      <c r="K603" s="1">
        <v>46017</v>
      </c>
      <c r="L603" s="3">
        <v>11700</v>
      </c>
      <c r="M603" s="4">
        <v>0</v>
      </c>
      <c r="N603" s="4">
        <v>0</v>
      </c>
      <c r="O603" t="s">
        <v>79</v>
      </c>
      <c r="P603">
        <v>2</v>
      </c>
      <c r="Q603" t="str">
        <f>IFERROR(VLOOKUP(E603,Lookups!$A$5:$B$24,2,FALSE),"Other")</f>
        <v>Email</v>
      </c>
      <c r="R603" t="str">
        <f>IFERROR(VLOOKUP(F603,Lookups!$D$5:$F$10,2,FALSE),"Unknown Product")</f>
        <v>Marketing Automation</v>
      </c>
      <c r="S603" t="str">
        <f>IFERROR(VLOOKUP(F603,Lookups!$D$5:$F$10,3,FALSE),"Unknown")</f>
        <v>Marketing</v>
      </c>
      <c r="T603" t="str">
        <f t="shared" si="99"/>
        <v>SMB</v>
      </c>
      <c r="U603" t="str">
        <f t="shared" si="100"/>
        <v>Lost</v>
      </c>
      <c r="V603" s="3">
        <f t="shared" si="101"/>
        <v>0</v>
      </c>
      <c r="W603" s="3">
        <f t="shared" si="102"/>
        <v>0</v>
      </c>
      <c r="X603" s="5">
        <f t="shared" si="103"/>
        <v>52</v>
      </c>
      <c r="Y603" s="5">
        <f>IF(U603="Open",Lookups!$B$2-B603,X603)</f>
        <v>52</v>
      </c>
      <c r="Z603" t="str">
        <f t="shared" si="104"/>
        <v>OK</v>
      </c>
      <c r="AA603" t="str">
        <f t="shared" si="105"/>
        <v>2025-11</v>
      </c>
      <c r="AB603" t="str">
        <f t="shared" si="106"/>
        <v>2025-12</v>
      </c>
      <c r="AC603" t="str">
        <f t="shared" si="107"/>
        <v>Q4-2025</v>
      </c>
      <c r="AD603" s="5">
        <f t="shared" si="108"/>
        <v>47</v>
      </c>
      <c r="AE603" t="str">
        <f t="shared" si="109"/>
        <v>Lost</v>
      </c>
    </row>
    <row r="604" spans="1:31">
      <c r="A604" t="s">
        <v>706</v>
      </c>
      <c r="B604" s="1">
        <v>45875</v>
      </c>
      <c r="C604" t="s">
        <v>42</v>
      </c>
      <c r="D604" t="s">
        <v>43</v>
      </c>
      <c r="E604" t="s">
        <v>107</v>
      </c>
      <c r="F604" t="s">
        <v>59</v>
      </c>
      <c r="G604" t="s">
        <v>60</v>
      </c>
      <c r="H604" t="s">
        <v>47</v>
      </c>
      <c r="I604" t="s">
        <v>61</v>
      </c>
      <c r="J604" s="1">
        <v>45886</v>
      </c>
      <c r="K604" s="1">
        <v>45886</v>
      </c>
      <c r="L604" s="3">
        <v>15900</v>
      </c>
      <c r="M604" s="4">
        <v>0</v>
      </c>
      <c r="N604" s="4">
        <v>0</v>
      </c>
      <c r="O604" t="s">
        <v>110</v>
      </c>
      <c r="P604">
        <v>4</v>
      </c>
      <c r="Q604" t="str">
        <f>IFERROR(VLOOKUP(E604,Lookups!$A$5:$B$24,2,FALSE),"Other")</f>
        <v>Referral</v>
      </c>
      <c r="R604" t="str">
        <f>IFERROR(VLOOKUP(F604,Lookups!$D$5:$F$10,2,FALSE),"Unknown Product")</f>
        <v>NexaCRM Pro</v>
      </c>
      <c r="S604" t="str">
        <f>IFERROR(VLOOKUP(F604,Lookups!$D$5:$F$10,3,FALSE),"Unknown")</f>
        <v>CRM</v>
      </c>
      <c r="T604" t="str">
        <f t="shared" si="99"/>
        <v>SMB</v>
      </c>
      <c r="U604" t="str">
        <f t="shared" si="100"/>
        <v>Lost</v>
      </c>
      <c r="V604" s="3">
        <f t="shared" si="101"/>
        <v>0</v>
      </c>
      <c r="W604" s="3">
        <f t="shared" si="102"/>
        <v>0</v>
      </c>
      <c r="X604" s="5">
        <f t="shared" si="103"/>
        <v>11</v>
      </c>
      <c r="Y604" s="5">
        <f>IF(U604="Open",Lookups!$B$2-B604,X604)</f>
        <v>11</v>
      </c>
      <c r="Z604" t="str">
        <f t="shared" si="104"/>
        <v>OK</v>
      </c>
      <c r="AA604" t="str">
        <f t="shared" si="105"/>
        <v>2025-08</v>
      </c>
      <c r="AB604" t="str">
        <f t="shared" si="106"/>
        <v>2025-08</v>
      </c>
      <c r="AC604" t="str">
        <f t="shared" si="107"/>
        <v>Q3-2025</v>
      </c>
      <c r="AD604" s="5">
        <f t="shared" si="108"/>
        <v>54</v>
      </c>
      <c r="AE604" t="str">
        <f t="shared" si="109"/>
        <v>Lost</v>
      </c>
    </row>
    <row r="605" spans="1:31">
      <c r="A605" t="s">
        <v>707</v>
      </c>
      <c r="B605" s="1">
        <v>45994</v>
      </c>
      <c r="C605" t="s">
        <v>42</v>
      </c>
      <c r="D605" t="s">
        <v>43</v>
      </c>
      <c r="E605" t="s">
        <v>127</v>
      </c>
      <c r="F605" t="s">
        <v>52</v>
      </c>
      <c r="G605" t="s">
        <v>72</v>
      </c>
      <c r="H605" t="s">
        <v>53</v>
      </c>
      <c r="I605" t="s">
        <v>61</v>
      </c>
      <c r="J605" s="1">
        <v>46048</v>
      </c>
      <c r="K605" s="1">
        <v>46048</v>
      </c>
      <c r="L605" s="3">
        <v>13900</v>
      </c>
      <c r="M605" s="4">
        <v>0</v>
      </c>
      <c r="N605" s="4">
        <v>0</v>
      </c>
      <c r="O605" t="s">
        <v>62</v>
      </c>
      <c r="P605">
        <v>3</v>
      </c>
      <c r="Q605" t="str">
        <f>IFERROR(VLOOKUP(E605,Lookups!$A$5:$B$24,2,FALSE),"Other")</f>
        <v>Paid Search</v>
      </c>
      <c r="R605" t="str">
        <f>IFERROR(VLOOKUP(F605,Lookups!$D$5:$F$10,2,FALSE),"Unknown Product")</f>
        <v>NexaCRM Core</v>
      </c>
      <c r="S605" t="str">
        <f>IFERROR(VLOOKUP(F605,Lookups!$D$5:$F$10,3,FALSE),"Unknown")</f>
        <v>CRM</v>
      </c>
      <c r="T605" t="str">
        <f t="shared" si="99"/>
        <v>SMB</v>
      </c>
      <c r="U605" t="str">
        <f t="shared" si="100"/>
        <v>Lost</v>
      </c>
      <c r="V605" s="3">
        <f t="shared" si="101"/>
        <v>0</v>
      </c>
      <c r="W605" s="3">
        <f t="shared" si="102"/>
        <v>0</v>
      </c>
      <c r="X605" s="5">
        <f t="shared" si="103"/>
        <v>54</v>
      </c>
      <c r="Y605" s="5">
        <f>IF(U605="Open",Lookups!$B$2-B605,X605)</f>
        <v>54</v>
      </c>
      <c r="Z605" t="str">
        <f t="shared" si="104"/>
        <v>OK</v>
      </c>
      <c r="AA605" t="str">
        <f t="shared" si="105"/>
        <v>2025-12</v>
      </c>
      <c r="AB605" t="str">
        <f t="shared" si="106"/>
        <v>2026-01</v>
      </c>
      <c r="AC605" t="str">
        <f t="shared" si="107"/>
        <v>Q4-2025</v>
      </c>
      <c r="AD605" s="5">
        <f t="shared" si="108"/>
        <v>51</v>
      </c>
      <c r="AE605" t="str">
        <f t="shared" si="109"/>
        <v>Lost</v>
      </c>
    </row>
    <row r="606" spans="1:31">
      <c r="A606" t="s">
        <v>708</v>
      </c>
      <c r="B606" s="1">
        <v>45816</v>
      </c>
      <c r="C606" t="s">
        <v>148</v>
      </c>
      <c r="D606" t="s">
        <v>43</v>
      </c>
      <c r="E606" t="s">
        <v>98</v>
      </c>
      <c r="F606" t="s">
        <v>45</v>
      </c>
      <c r="G606" t="s">
        <v>99</v>
      </c>
      <c r="H606" t="s">
        <v>47</v>
      </c>
      <c r="I606" t="s">
        <v>61</v>
      </c>
      <c r="J606" s="1">
        <v>45854</v>
      </c>
      <c r="K606" s="1">
        <v>45854</v>
      </c>
      <c r="L606" s="3">
        <v>22600</v>
      </c>
      <c r="M606" s="4">
        <v>0</v>
      </c>
      <c r="N606" s="4">
        <v>0</v>
      </c>
      <c r="O606" t="s">
        <v>81</v>
      </c>
      <c r="P606">
        <v>2</v>
      </c>
      <c r="Q606" t="str">
        <f>IFERROR(VLOOKUP(E606,Lookups!$A$5:$B$24,2,FALSE),"Other")</f>
        <v>Outbound</v>
      </c>
      <c r="R606" t="str">
        <f>IFERROR(VLOOKUP(F606,Lookups!$D$5:$F$10,2,FALSE),"Unknown Product")</f>
        <v>Service Cloud</v>
      </c>
      <c r="S606" t="str">
        <f>IFERROR(VLOOKUP(F606,Lookups!$D$5:$F$10,3,FALSE),"Unknown")</f>
        <v>Customer Service</v>
      </c>
      <c r="T606" t="str">
        <f t="shared" si="99"/>
        <v>Mid-Market</v>
      </c>
      <c r="U606" t="str">
        <f t="shared" si="100"/>
        <v>Lost</v>
      </c>
      <c r="V606" s="3">
        <f t="shared" si="101"/>
        <v>0</v>
      </c>
      <c r="W606" s="3">
        <f t="shared" si="102"/>
        <v>0</v>
      </c>
      <c r="X606" s="5">
        <f t="shared" si="103"/>
        <v>38</v>
      </c>
      <c r="Y606" s="5">
        <f>IF(U606="Open",Lookups!$B$2-B606,X606)</f>
        <v>38</v>
      </c>
      <c r="Z606" t="str">
        <f t="shared" si="104"/>
        <v>OK</v>
      </c>
      <c r="AA606" t="str">
        <f t="shared" si="105"/>
        <v>2025-06</v>
      </c>
      <c r="AB606" t="str">
        <f t="shared" si="106"/>
        <v>2025-07</v>
      </c>
      <c r="AC606" t="str">
        <f t="shared" si="107"/>
        <v>Q2-2025</v>
      </c>
      <c r="AD606" s="5">
        <f t="shared" si="108"/>
        <v>51</v>
      </c>
      <c r="AE606" t="str">
        <f t="shared" si="109"/>
        <v>Lost</v>
      </c>
    </row>
    <row r="607" spans="1:31">
      <c r="A607" t="s">
        <v>709</v>
      </c>
      <c r="B607" s="1">
        <v>46066</v>
      </c>
      <c r="C607" t="s">
        <v>148</v>
      </c>
      <c r="D607" t="s">
        <v>43</v>
      </c>
      <c r="E607" t="s">
        <v>127</v>
      </c>
      <c r="F607" t="s">
        <v>45</v>
      </c>
      <c r="G607" t="s">
        <v>76</v>
      </c>
      <c r="H607" t="s">
        <v>47</v>
      </c>
      <c r="I607" t="s">
        <v>61</v>
      </c>
      <c r="J607" s="1">
        <v>46113</v>
      </c>
      <c r="K607" s="1">
        <v>46113</v>
      </c>
      <c r="L607" s="3">
        <v>27800</v>
      </c>
      <c r="M607" s="4">
        <v>0</v>
      </c>
      <c r="N607" s="4">
        <v>0</v>
      </c>
      <c r="O607" t="s">
        <v>79</v>
      </c>
      <c r="P607">
        <v>3</v>
      </c>
      <c r="Q607" t="str">
        <f>IFERROR(VLOOKUP(E607,Lookups!$A$5:$B$24,2,FALSE),"Other")</f>
        <v>Paid Search</v>
      </c>
      <c r="R607" t="str">
        <f>IFERROR(VLOOKUP(F607,Lookups!$D$5:$F$10,2,FALSE),"Unknown Product")</f>
        <v>Service Cloud</v>
      </c>
      <c r="S607" t="str">
        <f>IFERROR(VLOOKUP(F607,Lookups!$D$5:$F$10,3,FALSE),"Unknown")</f>
        <v>Customer Service</v>
      </c>
      <c r="T607" t="str">
        <f t="shared" si="99"/>
        <v>Mid-Market</v>
      </c>
      <c r="U607" t="str">
        <f t="shared" si="100"/>
        <v>Lost</v>
      </c>
      <c r="V607" s="3">
        <f t="shared" si="101"/>
        <v>0</v>
      </c>
      <c r="W607" s="3">
        <f t="shared" si="102"/>
        <v>0</v>
      </c>
      <c r="X607" s="5">
        <f t="shared" si="103"/>
        <v>47</v>
      </c>
      <c r="Y607" s="5">
        <f>IF(U607="Open",Lookups!$B$2-B607,X607)</f>
        <v>47</v>
      </c>
      <c r="Z607" t="str">
        <f t="shared" si="104"/>
        <v>OK</v>
      </c>
      <c r="AA607" t="str">
        <f t="shared" si="105"/>
        <v>2026-02</v>
      </c>
      <c r="AB607" t="str">
        <f t="shared" si="106"/>
        <v>2026-04</v>
      </c>
      <c r="AC607" t="str">
        <f t="shared" si="107"/>
        <v>Q1-2026</v>
      </c>
      <c r="AD607" s="5">
        <f t="shared" si="108"/>
        <v>51</v>
      </c>
      <c r="AE607" t="str">
        <f t="shared" si="109"/>
        <v>Lost</v>
      </c>
    </row>
    <row r="608" spans="1:31">
      <c r="A608" t="s">
        <v>710</v>
      </c>
      <c r="B608" s="1">
        <v>46206</v>
      </c>
      <c r="C608" t="s">
        <v>86</v>
      </c>
      <c r="D608" t="s">
        <v>87</v>
      </c>
      <c r="E608" t="s">
        <v>119</v>
      </c>
      <c r="F608" t="s">
        <v>52</v>
      </c>
      <c r="G608" t="s">
        <v>99</v>
      </c>
      <c r="H608" t="s">
        <v>84</v>
      </c>
      <c r="I608" t="s">
        <v>61</v>
      </c>
      <c r="J608" s="1">
        <v>46235</v>
      </c>
      <c r="K608" s="1">
        <v>46235</v>
      </c>
      <c r="L608" s="3">
        <v>21200</v>
      </c>
      <c r="M608" s="4">
        <v>0</v>
      </c>
      <c r="N608" s="4">
        <v>0</v>
      </c>
      <c r="O608" t="s">
        <v>81</v>
      </c>
      <c r="P608">
        <v>2</v>
      </c>
      <c r="Q608" t="str">
        <f>IFERROR(VLOOKUP(E608,Lookups!$A$5:$B$24,2,FALSE),"Other")</f>
        <v>Referral</v>
      </c>
      <c r="R608" t="str">
        <f>IFERROR(VLOOKUP(F608,Lookups!$D$5:$F$10,2,FALSE),"Unknown Product")</f>
        <v>NexaCRM Core</v>
      </c>
      <c r="S608" t="str">
        <f>IFERROR(VLOOKUP(F608,Lookups!$D$5:$F$10,3,FALSE),"Unknown")</f>
        <v>CRM</v>
      </c>
      <c r="T608" t="str">
        <f t="shared" si="99"/>
        <v>Mid-Market</v>
      </c>
      <c r="U608" t="str">
        <f t="shared" si="100"/>
        <v>Lost</v>
      </c>
      <c r="V608" s="3">
        <f t="shared" si="101"/>
        <v>0</v>
      </c>
      <c r="W608" s="3">
        <f t="shared" si="102"/>
        <v>0</v>
      </c>
      <c r="X608" s="5">
        <f t="shared" si="103"/>
        <v>29</v>
      </c>
      <c r="Y608" s="5">
        <f>IF(U608="Open",Lookups!$B$2-B608,X608)</f>
        <v>29</v>
      </c>
      <c r="Z608" t="str">
        <f t="shared" si="104"/>
        <v>OK</v>
      </c>
      <c r="AA608" t="str">
        <f t="shared" si="105"/>
        <v>2026-07</v>
      </c>
      <c r="AB608" t="str">
        <f t="shared" si="106"/>
        <v>2026-08</v>
      </c>
      <c r="AC608" t="str">
        <f t="shared" si="107"/>
        <v>Q3-2026</v>
      </c>
      <c r="AD608" s="5">
        <f t="shared" si="108"/>
        <v>78</v>
      </c>
      <c r="AE608" t="str">
        <f t="shared" si="109"/>
        <v>Lost</v>
      </c>
    </row>
    <row r="609" spans="1:31">
      <c r="A609" t="s">
        <v>711</v>
      </c>
      <c r="B609" s="1">
        <v>45885</v>
      </c>
      <c r="C609" t="s">
        <v>64</v>
      </c>
      <c r="D609" t="s">
        <v>57</v>
      </c>
      <c r="E609" t="s">
        <v>160</v>
      </c>
      <c r="F609" t="s">
        <v>71</v>
      </c>
      <c r="G609" t="s">
        <v>46</v>
      </c>
      <c r="H609" t="s">
        <v>47</v>
      </c>
      <c r="I609" t="s">
        <v>61</v>
      </c>
      <c r="J609" s="1">
        <v>45915</v>
      </c>
      <c r="K609" s="1">
        <v>45915</v>
      </c>
      <c r="L609" s="3">
        <v>20600</v>
      </c>
      <c r="M609" s="4">
        <v>0</v>
      </c>
      <c r="N609" s="4">
        <v>0</v>
      </c>
      <c r="O609" t="s">
        <v>116</v>
      </c>
      <c r="P609">
        <v>4</v>
      </c>
      <c r="Q609" t="str">
        <f>IFERROR(VLOOKUP(E609,Lookups!$A$5:$B$24,2,FALSE),"Other")</f>
        <v>Email</v>
      </c>
      <c r="R609" t="str">
        <f>IFERROR(VLOOKUP(F609,Lookups!$D$5:$F$10,2,FALSE),"Unknown Product")</f>
        <v>Marketing Automation</v>
      </c>
      <c r="S609" t="str">
        <f>IFERROR(VLOOKUP(F609,Lookups!$D$5:$F$10,3,FALSE),"Unknown")</f>
        <v>Marketing</v>
      </c>
      <c r="T609" t="str">
        <f t="shared" si="99"/>
        <v>Mid-Market</v>
      </c>
      <c r="U609" t="str">
        <f t="shared" si="100"/>
        <v>Lost</v>
      </c>
      <c r="V609" s="3">
        <f t="shared" si="101"/>
        <v>0</v>
      </c>
      <c r="W609" s="3">
        <f t="shared" si="102"/>
        <v>0</v>
      </c>
      <c r="X609" s="5">
        <f t="shared" si="103"/>
        <v>30</v>
      </c>
      <c r="Y609" s="5">
        <f>IF(U609="Open",Lookups!$B$2-B609,X609)</f>
        <v>30</v>
      </c>
      <c r="Z609" t="str">
        <f t="shared" si="104"/>
        <v>OK</v>
      </c>
      <c r="AA609" t="str">
        <f t="shared" si="105"/>
        <v>2025-08</v>
      </c>
      <c r="AB609" t="str">
        <f t="shared" si="106"/>
        <v>2025-09</v>
      </c>
      <c r="AC609" t="str">
        <f t="shared" si="107"/>
        <v>Q3-2025</v>
      </c>
      <c r="AD609" s="5">
        <f t="shared" si="108"/>
        <v>55</v>
      </c>
      <c r="AE609" t="str">
        <f t="shared" si="109"/>
        <v>Lost</v>
      </c>
    </row>
    <row r="610" spans="1:31">
      <c r="A610" t="s">
        <v>712</v>
      </c>
      <c r="B610" s="1">
        <v>45847</v>
      </c>
      <c r="C610" t="s">
        <v>64</v>
      </c>
      <c r="D610" t="s">
        <v>57</v>
      </c>
      <c r="E610" t="s">
        <v>96</v>
      </c>
      <c r="F610" t="s">
        <v>67</v>
      </c>
      <c r="G610" t="s">
        <v>76</v>
      </c>
      <c r="H610" t="s">
        <v>53</v>
      </c>
      <c r="I610" t="s">
        <v>48</v>
      </c>
      <c r="J610" s="1">
        <v>46219</v>
      </c>
      <c r="K610" s="1"/>
      <c r="L610" s="3">
        <v>81400</v>
      </c>
      <c r="M610" s="4">
        <v>0</v>
      </c>
      <c r="N610" s="4">
        <v>0.85</v>
      </c>
      <c r="P610">
        <v>5</v>
      </c>
      <c r="Q610" t="str">
        <f>IFERROR(VLOOKUP(E610,Lookups!$A$5:$B$24,2,FALSE),"Other")</f>
        <v>LinkedIn</v>
      </c>
      <c r="R610" t="str">
        <f>IFERROR(VLOOKUP(F610,Lookups!$D$5:$F$10,2,FALSE),"Unknown Product")</f>
        <v>Revenue Operations Suite</v>
      </c>
      <c r="S610" t="str">
        <f>IFERROR(VLOOKUP(F610,Lookups!$D$5:$F$10,3,FALSE),"Unknown")</f>
        <v>Revenue Ops</v>
      </c>
      <c r="T610" t="str">
        <f t="shared" si="99"/>
        <v>Enterprise</v>
      </c>
      <c r="U610" t="str">
        <f t="shared" si="100"/>
        <v>Open</v>
      </c>
      <c r="V610" s="3">
        <f t="shared" si="101"/>
        <v>0</v>
      </c>
      <c r="W610" s="3">
        <f t="shared" si="102"/>
        <v>69190</v>
      </c>
      <c r="X610" s="5" t="str">
        <f t="shared" si="103"/>
        <v/>
      </c>
      <c r="Y610" s="5">
        <f>IF(U610="Open",Lookups!$B$2-B610,X610)</f>
        <v>419</v>
      </c>
      <c r="Z610" t="str">
        <f t="shared" si="104"/>
        <v>STALE</v>
      </c>
      <c r="AA610" t="str">
        <f t="shared" si="105"/>
        <v>2025-07</v>
      </c>
      <c r="AB610" t="str">
        <f t="shared" si="106"/>
        <v/>
      </c>
      <c r="AC610" t="str">
        <f t="shared" si="107"/>
        <v>Q3-2025</v>
      </c>
      <c r="AD610" s="5">
        <f t="shared" si="108"/>
        <v>66</v>
      </c>
      <c r="AE610" t="str">
        <f t="shared" si="109"/>
        <v>Commit</v>
      </c>
    </row>
    <row r="611" spans="1:31">
      <c r="A611" t="s">
        <v>713</v>
      </c>
      <c r="B611" s="1">
        <v>46233</v>
      </c>
      <c r="C611" t="s">
        <v>90</v>
      </c>
      <c r="D611" t="s">
        <v>57</v>
      </c>
      <c r="E611" t="s">
        <v>51</v>
      </c>
      <c r="F611" t="s">
        <v>59</v>
      </c>
      <c r="G611" t="s">
        <v>112</v>
      </c>
      <c r="H611" t="s">
        <v>47</v>
      </c>
      <c r="I611" t="s">
        <v>73</v>
      </c>
      <c r="J611" s="1">
        <v>46249</v>
      </c>
      <c r="K611" s="1"/>
      <c r="L611" s="3">
        <v>22300</v>
      </c>
      <c r="M611" s="4">
        <v>0</v>
      </c>
      <c r="N611" s="4">
        <v>0.2</v>
      </c>
      <c r="P611">
        <v>2</v>
      </c>
      <c r="Q611" t="str">
        <f>IFERROR(VLOOKUP(E611,Lookups!$A$5:$B$24,2,FALSE),"Other")</f>
        <v>Paid Search</v>
      </c>
      <c r="R611" t="str">
        <f>IFERROR(VLOOKUP(F611,Lookups!$D$5:$F$10,2,FALSE),"Unknown Product")</f>
        <v>NexaCRM Pro</v>
      </c>
      <c r="S611" t="str">
        <f>IFERROR(VLOOKUP(F611,Lookups!$D$5:$F$10,3,FALSE),"Unknown")</f>
        <v>CRM</v>
      </c>
      <c r="T611" t="str">
        <f t="shared" si="99"/>
        <v>Mid-Market</v>
      </c>
      <c r="U611" t="str">
        <f t="shared" si="100"/>
        <v>Open</v>
      </c>
      <c r="V611" s="3">
        <f t="shared" si="101"/>
        <v>0</v>
      </c>
      <c r="W611" s="3">
        <f t="shared" si="102"/>
        <v>4460</v>
      </c>
      <c r="X611" s="5" t="str">
        <f t="shared" si="103"/>
        <v/>
      </c>
      <c r="Y611" s="5">
        <f>IF(U611="Open",Lookups!$B$2-B611,X611)</f>
        <v>33</v>
      </c>
      <c r="Z611" t="str">
        <f t="shared" si="104"/>
        <v>STALE</v>
      </c>
      <c r="AA611" t="str">
        <f t="shared" si="105"/>
        <v>2026-07</v>
      </c>
      <c r="AB611" t="str">
        <f t="shared" si="106"/>
        <v/>
      </c>
      <c r="AC611" t="str">
        <f t="shared" si="107"/>
        <v>Q3-2026</v>
      </c>
      <c r="AD611" s="5">
        <f t="shared" si="108"/>
        <v>56</v>
      </c>
      <c r="AE611" t="str">
        <f t="shared" si="109"/>
        <v>Pipeline</v>
      </c>
    </row>
    <row r="612" spans="1:31">
      <c r="A612" t="s">
        <v>714</v>
      </c>
      <c r="B612" s="1">
        <v>45701</v>
      </c>
      <c r="C612" t="s">
        <v>86</v>
      </c>
      <c r="D612" t="s">
        <v>87</v>
      </c>
      <c r="E612" t="s">
        <v>70</v>
      </c>
      <c r="F612" t="s">
        <v>52</v>
      </c>
      <c r="G612" t="s">
        <v>112</v>
      </c>
      <c r="H612" t="s">
        <v>47</v>
      </c>
      <c r="I612" t="s">
        <v>61</v>
      </c>
      <c r="J612" s="1">
        <v>45756</v>
      </c>
      <c r="K612" s="1">
        <v>45756</v>
      </c>
      <c r="L612" s="3">
        <v>8300</v>
      </c>
      <c r="M612" s="4">
        <v>0</v>
      </c>
      <c r="N612" s="4">
        <v>0</v>
      </c>
      <c r="O612" t="s">
        <v>79</v>
      </c>
      <c r="P612">
        <v>4</v>
      </c>
      <c r="Q612" t="str">
        <f>IFERROR(VLOOKUP(E612,Lookups!$A$5:$B$24,2,FALSE),"Other")</f>
        <v>LinkedIn</v>
      </c>
      <c r="R612" t="str">
        <f>IFERROR(VLOOKUP(F612,Lookups!$D$5:$F$10,2,FALSE),"Unknown Product")</f>
        <v>NexaCRM Core</v>
      </c>
      <c r="S612" t="str">
        <f>IFERROR(VLOOKUP(F612,Lookups!$D$5:$F$10,3,FALSE),"Unknown")</f>
        <v>CRM</v>
      </c>
      <c r="T612" t="str">
        <f t="shared" si="99"/>
        <v>SMB</v>
      </c>
      <c r="U612" t="str">
        <f t="shared" si="100"/>
        <v>Lost</v>
      </c>
      <c r="V612" s="3">
        <f t="shared" si="101"/>
        <v>0</v>
      </c>
      <c r="W612" s="3">
        <f t="shared" si="102"/>
        <v>0</v>
      </c>
      <c r="X612" s="5">
        <f t="shared" si="103"/>
        <v>55</v>
      </c>
      <c r="Y612" s="5">
        <f>IF(U612="Open",Lookups!$B$2-B612,X612)</f>
        <v>55</v>
      </c>
      <c r="Z612" t="str">
        <f t="shared" si="104"/>
        <v>OK</v>
      </c>
      <c r="AA612" t="str">
        <f t="shared" si="105"/>
        <v>2025-02</v>
      </c>
      <c r="AB612" t="str">
        <f t="shared" si="106"/>
        <v>2025-04</v>
      </c>
      <c r="AC612" t="str">
        <f t="shared" si="107"/>
        <v>Q1-2025</v>
      </c>
      <c r="AD612" s="5">
        <f t="shared" si="108"/>
        <v>48</v>
      </c>
      <c r="AE612" t="str">
        <f t="shared" si="109"/>
        <v>Lost</v>
      </c>
    </row>
    <row r="613" spans="1:31">
      <c r="A613" t="s">
        <v>715</v>
      </c>
      <c r="B613" s="1">
        <v>45723</v>
      </c>
      <c r="C613" t="s">
        <v>64</v>
      </c>
      <c r="D613" t="s">
        <v>57</v>
      </c>
      <c r="E613" t="s">
        <v>109</v>
      </c>
      <c r="F613" t="s">
        <v>45</v>
      </c>
      <c r="G613" t="s">
        <v>99</v>
      </c>
      <c r="H613" t="s">
        <v>53</v>
      </c>
      <c r="I613" t="s">
        <v>61</v>
      </c>
      <c r="J613" s="1">
        <v>45769</v>
      </c>
      <c r="K613" s="1">
        <v>45769</v>
      </c>
      <c r="L613" s="3">
        <v>43900</v>
      </c>
      <c r="M613" s="4">
        <v>0</v>
      </c>
      <c r="N613" s="4">
        <v>0</v>
      </c>
      <c r="O613" t="s">
        <v>110</v>
      </c>
      <c r="P613">
        <v>2</v>
      </c>
      <c r="Q613" t="str">
        <f>IFERROR(VLOOKUP(E613,Lookups!$A$5:$B$24,2,FALSE),"Other")</f>
        <v>Outbound</v>
      </c>
      <c r="R613" t="str">
        <f>IFERROR(VLOOKUP(F613,Lookups!$D$5:$F$10,2,FALSE),"Unknown Product")</f>
        <v>Service Cloud</v>
      </c>
      <c r="S613" t="str">
        <f>IFERROR(VLOOKUP(F613,Lookups!$D$5:$F$10,3,FALSE),"Unknown")</f>
        <v>Customer Service</v>
      </c>
      <c r="T613" t="str">
        <f t="shared" si="99"/>
        <v>Mid-Market</v>
      </c>
      <c r="U613" t="str">
        <f t="shared" si="100"/>
        <v>Lost</v>
      </c>
      <c r="V613" s="3">
        <f t="shared" si="101"/>
        <v>0</v>
      </c>
      <c r="W613" s="3">
        <f t="shared" si="102"/>
        <v>0</v>
      </c>
      <c r="X613" s="5">
        <f t="shared" si="103"/>
        <v>46</v>
      </c>
      <c r="Y613" s="5">
        <f>IF(U613="Open",Lookups!$B$2-B613,X613)</f>
        <v>46</v>
      </c>
      <c r="Z613" t="str">
        <f t="shared" si="104"/>
        <v>OK</v>
      </c>
      <c r="AA613" t="str">
        <f t="shared" si="105"/>
        <v>2025-03</v>
      </c>
      <c r="AB613" t="str">
        <f t="shared" si="106"/>
        <v>2025-04</v>
      </c>
      <c r="AC613" t="str">
        <f t="shared" si="107"/>
        <v>Q1-2025</v>
      </c>
      <c r="AD613" s="5">
        <f t="shared" si="108"/>
        <v>59</v>
      </c>
      <c r="AE613" t="str">
        <f t="shared" si="109"/>
        <v>Lost</v>
      </c>
    </row>
    <row r="614" spans="1:31">
      <c r="A614" t="s">
        <v>716</v>
      </c>
      <c r="B614" s="1">
        <v>45989</v>
      </c>
      <c r="C614" t="s">
        <v>69</v>
      </c>
      <c r="D614" t="s">
        <v>57</v>
      </c>
      <c r="E614" t="s">
        <v>96</v>
      </c>
      <c r="F614" t="s">
        <v>133</v>
      </c>
      <c r="G614" t="s">
        <v>94</v>
      </c>
      <c r="H614" t="s">
        <v>84</v>
      </c>
      <c r="I614" t="s">
        <v>61</v>
      </c>
      <c r="J614" s="1">
        <v>46044</v>
      </c>
      <c r="K614" s="1">
        <v>46044</v>
      </c>
      <c r="L614" s="3">
        <v>54300</v>
      </c>
      <c r="M614" s="4">
        <v>0</v>
      </c>
      <c r="N614" s="4">
        <v>0</v>
      </c>
      <c r="O614" t="s">
        <v>79</v>
      </c>
      <c r="P614">
        <v>2</v>
      </c>
      <c r="Q614" t="str">
        <f>IFERROR(VLOOKUP(E614,Lookups!$A$5:$B$24,2,FALSE),"Other")</f>
        <v>LinkedIn</v>
      </c>
      <c r="R614" t="str">
        <f>IFERROR(VLOOKUP(F614,Lookups!$D$5:$F$10,2,FALSE),"Unknown Product")</f>
        <v>Analytics Plus</v>
      </c>
      <c r="S614" t="str">
        <f>IFERROR(VLOOKUP(F614,Lookups!$D$5:$F$10,3,FALSE),"Unknown")</f>
        <v>Analytics</v>
      </c>
      <c r="T614" t="str">
        <f t="shared" si="99"/>
        <v>Enterprise</v>
      </c>
      <c r="U614" t="str">
        <f t="shared" si="100"/>
        <v>Lost</v>
      </c>
      <c r="V614" s="3">
        <f t="shared" si="101"/>
        <v>0</v>
      </c>
      <c r="W614" s="3">
        <f t="shared" si="102"/>
        <v>0</v>
      </c>
      <c r="X614" s="5">
        <f t="shared" si="103"/>
        <v>55</v>
      </c>
      <c r="Y614" s="5">
        <f>IF(U614="Open",Lookups!$B$2-B614,X614)</f>
        <v>55</v>
      </c>
      <c r="Z614" t="str">
        <f t="shared" si="104"/>
        <v>OK</v>
      </c>
      <c r="AA614" t="str">
        <f t="shared" si="105"/>
        <v>2025-11</v>
      </c>
      <c r="AB614" t="str">
        <f t="shared" si="106"/>
        <v>2026-01</v>
      </c>
      <c r="AC614" t="str">
        <f t="shared" si="107"/>
        <v>Q4-2025</v>
      </c>
      <c r="AD614" s="5">
        <f t="shared" si="108"/>
        <v>74</v>
      </c>
      <c r="AE614" t="str">
        <f t="shared" si="109"/>
        <v>Lost</v>
      </c>
    </row>
    <row r="615" spans="1:31">
      <c r="A615" t="s">
        <v>717</v>
      </c>
      <c r="B615" s="1">
        <v>46078</v>
      </c>
      <c r="C615" t="s">
        <v>148</v>
      </c>
      <c r="D615" t="s">
        <v>43</v>
      </c>
      <c r="E615" t="s">
        <v>127</v>
      </c>
      <c r="F615" t="s">
        <v>52</v>
      </c>
      <c r="G615" t="s">
        <v>94</v>
      </c>
      <c r="H615" t="s">
        <v>53</v>
      </c>
      <c r="I615" t="s">
        <v>61</v>
      </c>
      <c r="J615" s="1">
        <v>46137</v>
      </c>
      <c r="K615" s="1">
        <v>46137</v>
      </c>
      <c r="L615" s="3">
        <v>14300</v>
      </c>
      <c r="M615" s="4">
        <v>0</v>
      </c>
      <c r="N615" s="4">
        <v>0</v>
      </c>
      <c r="O615" t="s">
        <v>79</v>
      </c>
      <c r="P615">
        <v>4</v>
      </c>
      <c r="Q615" t="str">
        <f>IFERROR(VLOOKUP(E615,Lookups!$A$5:$B$24,2,FALSE),"Other")</f>
        <v>Paid Search</v>
      </c>
      <c r="R615" t="str">
        <f>IFERROR(VLOOKUP(F615,Lookups!$D$5:$F$10,2,FALSE),"Unknown Product")</f>
        <v>NexaCRM Core</v>
      </c>
      <c r="S615" t="str">
        <f>IFERROR(VLOOKUP(F615,Lookups!$D$5:$F$10,3,FALSE),"Unknown")</f>
        <v>CRM</v>
      </c>
      <c r="T615" t="str">
        <f t="shared" si="99"/>
        <v>SMB</v>
      </c>
      <c r="U615" t="str">
        <f t="shared" si="100"/>
        <v>Lost</v>
      </c>
      <c r="V615" s="3">
        <f t="shared" si="101"/>
        <v>0</v>
      </c>
      <c r="W615" s="3">
        <f t="shared" si="102"/>
        <v>0</v>
      </c>
      <c r="X615" s="5">
        <f t="shared" si="103"/>
        <v>59</v>
      </c>
      <c r="Y615" s="5">
        <f>IF(U615="Open",Lookups!$B$2-B615,X615)</f>
        <v>59</v>
      </c>
      <c r="Z615" t="str">
        <f t="shared" si="104"/>
        <v>OK</v>
      </c>
      <c r="AA615" t="str">
        <f t="shared" si="105"/>
        <v>2026-02</v>
      </c>
      <c r="AB615" t="str">
        <f t="shared" si="106"/>
        <v>2026-04</v>
      </c>
      <c r="AC615" t="str">
        <f t="shared" si="107"/>
        <v>Q1-2026</v>
      </c>
      <c r="AD615" s="5">
        <f t="shared" si="108"/>
        <v>51</v>
      </c>
      <c r="AE615" t="str">
        <f t="shared" si="109"/>
        <v>Lost</v>
      </c>
    </row>
    <row r="616" spans="1:31">
      <c r="A616" t="s">
        <v>718</v>
      </c>
      <c r="B616" s="1">
        <v>45945</v>
      </c>
      <c r="C616" t="s">
        <v>64</v>
      </c>
      <c r="D616" t="s">
        <v>57</v>
      </c>
      <c r="E616" t="s">
        <v>83</v>
      </c>
      <c r="F616" t="s">
        <v>52</v>
      </c>
      <c r="G616" t="s">
        <v>72</v>
      </c>
      <c r="H616" t="s">
        <v>53</v>
      </c>
      <c r="I616" t="s">
        <v>61</v>
      </c>
      <c r="J616" s="1">
        <v>46006</v>
      </c>
      <c r="K616" s="1">
        <v>46006</v>
      </c>
      <c r="L616" s="3">
        <v>13200</v>
      </c>
      <c r="M616" s="4">
        <v>0</v>
      </c>
      <c r="N616" s="4">
        <v>0</v>
      </c>
      <c r="O616" t="s">
        <v>79</v>
      </c>
      <c r="P616">
        <v>5</v>
      </c>
      <c r="Q616" t="str">
        <f>IFERROR(VLOOKUP(E616,Lookups!$A$5:$B$24,2,FALSE),"Other")</f>
        <v>Organic Search</v>
      </c>
      <c r="R616" t="str">
        <f>IFERROR(VLOOKUP(F616,Lookups!$D$5:$F$10,2,FALSE),"Unknown Product")</f>
        <v>NexaCRM Core</v>
      </c>
      <c r="S616" t="str">
        <f>IFERROR(VLOOKUP(F616,Lookups!$D$5:$F$10,3,FALSE),"Unknown")</f>
        <v>CRM</v>
      </c>
      <c r="T616" t="str">
        <f t="shared" si="99"/>
        <v>SMB</v>
      </c>
      <c r="U616" t="str">
        <f t="shared" si="100"/>
        <v>Lost</v>
      </c>
      <c r="V616" s="3">
        <f t="shared" si="101"/>
        <v>0</v>
      </c>
      <c r="W616" s="3">
        <f t="shared" si="102"/>
        <v>0</v>
      </c>
      <c r="X616" s="5">
        <f t="shared" si="103"/>
        <v>61</v>
      </c>
      <c r="Y616" s="5">
        <f>IF(U616="Open",Lookups!$B$2-B616,X616)</f>
        <v>61</v>
      </c>
      <c r="Z616" t="str">
        <f t="shared" si="104"/>
        <v>OK</v>
      </c>
      <c r="AA616" t="str">
        <f t="shared" si="105"/>
        <v>2025-10</v>
      </c>
      <c r="AB616" t="str">
        <f t="shared" si="106"/>
        <v>2025-12</v>
      </c>
      <c r="AC616" t="str">
        <f t="shared" si="107"/>
        <v>Q4-2025</v>
      </c>
      <c r="AD616" s="5">
        <f t="shared" si="108"/>
        <v>57</v>
      </c>
      <c r="AE616" t="str">
        <f t="shared" si="109"/>
        <v>Lost</v>
      </c>
    </row>
    <row r="617" spans="1:31">
      <c r="A617" t="s">
        <v>719</v>
      </c>
      <c r="B617" s="1">
        <v>45791</v>
      </c>
      <c r="C617" t="s">
        <v>69</v>
      </c>
      <c r="D617" t="s">
        <v>57</v>
      </c>
      <c r="E617" t="s">
        <v>138</v>
      </c>
      <c r="F617" t="s">
        <v>52</v>
      </c>
      <c r="G617" t="s">
        <v>46</v>
      </c>
      <c r="H617" t="s">
        <v>47</v>
      </c>
      <c r="I617" t="s">
        <v>77</v>
      </c>
      <c r="J617" s="1">
        <v>45870</v>
      </c>
      <c r="K617" s="1">
        <v>45870</v>
      </c>
      <c r="L617" s="3">
        <v>8300</v>
      </c>
      <c r="M617" s="4">
        <v>0.05</v>
      </c>
      <c r="N617" s="4">
        <v>1</v>
      </c>
      <c r="P617">
        <v>6</v>
      </c>
      <c r="Q617" t="str">
        <f>IFERROR(VLOOKUP(E617,Lookups!$A$5:$B$24,2,FALSE),"Other")</f>
        <v>Organic Search</v>
      </c>
      <c r="R617" t="str">
        <f>IFERROR(VLOOKUP(F617,Lookups!$D$5:$F$10,2,FALSE),"Unknown Product")</f>
        <v>NexaCRM Core</v>
      </c>
      <c r="S617" t="str">
        <f>IFERROR(VLOOKUP(F617,Lookups!$D$5:$F$10,3,FALSE),"Unknown")</f>
        <v>CRM</v>
      </c>
      <c r="T617" t="str">
        <f t="shared" si="99"/>
        <v>SMB</v>
      </c>
      <c r="U617" t="str">
        <f t="shared" si="100"/>
        <v>Won</v>
      </c>
      <c r="V617" s="3">
        <f t="shared" si="101"/>
        <v>7885</v>
      </c>
      <c r="W617" s="3">
        <f t="shared" si="102"/>
        <v>0</v>
      </c>
      <c r="X617" s="5">
        <f t="shared" si="103"/>
        <v>79</v>
      </c>
      <c r="Y617" s="5">
        <f>IF(U617="Open",Lookups!$B$2-B617,X617)</f>
        <v>79</v>
      </c>
      <c r="Z617" t="str">
        <f t="shared" si="104"/>
        <v>OK</v>
      </c>
      <c r="AA617" t="str">
        <f t="shared" si="105"/>
        <v>2025-05</v>
      </c>
      <c r="AB617" t="str">
        <f t="shared" si="106"/>
        <v>2025-08</v>
      </c>
      <c r="AC617" t="str">
        <f t="shared" si="107"/>
        <v>Q2-2025</v>
      </c>
      <c r="AD617" s="5">
        <f t="shared" si="108"/>
        <v>49</v>
      </c>
      <c r="AE617" t="str">
        <f t="shared" si="109"/>
        <v>Won</v>
      </c>
    </row>
    <row r="618" spans="1:31">
      <c r="A618" t="s">
        <v>720</v>
      </c>
      <c r="B618" s="1">
        <v>45757</v>
      </c>
      <c r="C618" t="s">
        <v>86</v>
      </c>
      <c r="D618" t="s">
        <v>87</v>
      </c>
      <c r="E618" t="s">
        <v>127</v>
      </c>
      <c r="F618" t="s">
        <v>67</v>
      </c>
      <c r="G618" t="s">
        <v>99</v>
      </c>
      <c r="H618" t="s">
        <v>84</v>
      </c>
      <c r="I618" t="s">
        <v>48</v>
      </c>
      <c r="J618" s="1">
        <v>46126</v>
      </c>
      <c r="K618" s="1"/>
      <c r="L618" s="3">
        <v>136400</v>
      </c>
      <c r="M618" s="4">
        <v>0.03</v>
      </c>
      <c r="N618" s="4">
        <v>0.85</v>
      </c>
      <c r="P618">
        <v>5</v>
      </c>
      <c r="Q618" t="str">
        <f>IFERROR(VLOOKUP(E618,Lookups!$A$5:$B$24,2,FALSE),"Other")</f>
        <v>Paid Search</v>
      </c>
      <c r="R618" t="str">
        <f>IFERROR(VLOOKUP(F618,Lookups!$D$5:$F$10,2,FALSE),"Unknown Product")</f>
        <v>Revenue Operations Suite</v>
      </c>
      <c r="S618" t="str">
        <f>IFERROR(VLOOKUP(F618,Lookups!$D$5:$F$10,3,FALSE),"Unknown")</f>
        <v>Revenue Ops</v>
      </c>
      <c r="T618" t="str">
        <f t="shared" si="99"/>
        <v>Enterprise</v>
      </c>
      <c r="U618" t="str">
        <f t="shared" si="100"/>
        <v>Open</v>
      </c>
      <c r="V618" s="3">
        <f t="shared" si="101"/>
        <v>0</v>
      </c>
      <c r="W618" s="3">
        <f t="shared" si="102"/>
        <v>115940</v>
      </c>
      <c r="X618" s="5" t="str">
        <f t="shared" si="103"/>
        <v/>
      </c>
      <c r="Y618" s="5">
        <f>IF(U618="Open",Lookups!$B$2-B618,X618)</f>
        <v>509</v>
      </c>
      <c r="Z618" t="str">
        <f t="shared" si="104"/>
        <v>STALE</v>
      </c>
      <c r="AA618" t="str">
        <f t="shared" si="105"/>
        <v>2025-04</v>
      </c>
      <c r="AB618" t="str">
        <f t="shared" si="106"/>
        <v/>
      </c>
      <c r="AC618" t="str">
        <f t="shared" si="107"/>
        <v>Q2-2025</v>
      </c>
      <c r="AD618" s="5">
        <f t="shared" si="108"/>
        <v>74</v>
      </c>
      <c r="AE618" t="str">
        <f t="shared" si="109"/>
        <v>Commit</v>
      </c>
    </row>
    <row r="619" spans="1:31">
      <c r="A619" t="s">
        <v>721</v>
      </c>
      <c r="B619" s="1">
        <v>45751</v>
      </c>
      <c r="C619" t="s">
        <v>90</v>
      </c>
      <c r="D619" t="s">
        <v>57</v>
      </c>
      <c r="E619" t="s">
        <v>127</v>
      </c>
      <c r="F619" t="s">
        <v>59</v>
      </c>
      <c r="G619" t="s">
        <v>94</v>
      </c>
      <c r="H619" t="s">
        <v>53</v>
      </c>
      <c r="I619" t="s">
        <v>61</v>
      </c>
      <c r="J619" s="1">
        <v>45797</v>
      </c>
      <c r="K619" s="1">
        <v>45797</v>
      </c>
      <c r="L619" s="3">
        <v>39500</v>
      </c>
      <c r="M619" s="4">
        <v>0</v>
      </c>
      <c r="N619" s="4">
        <v>0</v>
      </c>
      <c r="O619" t="s">
        <v>102</v>
      </c>
      <c r="P619">
        <v>2</v>
      </c>
      <c r="Q619" t="str">
        <f>IFERROR(VLOOKUP(E619,Lookups!$A$5:$B$24,2,FALSE),"Other")</f>
        <v>Paid Search</v>
      </c>
      <c r="R619" t="str">
        <f>IFERROR(VLOOKUP(F619,Lookups!$D$5:$F$10,2,FALSE),"Unknown Product")</f>
        <v>NexaCRM Pro</v>
      </c>
      <c r="S619" t="str">
        <f>IFERROR(VLOOKUP(F619,Lookups!$D$5:$F$10,3,FALSE),"Unknown")</f>
        <v>CRM</v>
      </c>
      <c r="T619" t="str">
        <f t="shared" si="99"/>
        <v>Mid-Market</v>
      </c>
      <c r="U619" t="str">
        <f t="shared" si="100"/>
        <v>Lost</v>
      </c>
      <c r="V619" s="3">
        <f t="shared" si="101"/>
        <v>0</v>
      </c>
      <c r="W619" s="3">
        <f t="shared" si="102"/>
        <v>0</v>
      </c>
      <c r="X619" s="5">
        <f t="shared" si="103"/>
        <v>46</v>
      </c>
      <c r="Y619" s="5">
        <f>IF(U619="Open",Lookups!$B$2-B619,X619)</f>
        <v>46</v>
      </c>
      <c r="Z619" t="str">
        <f t="shared" si="104"/>
        <v>OK</v>
      </c>
      <c r="AA619" t="str">
        <f t="shared" si="105"/>
        <v>2025-04</v>
      </c>
      <c r="AB619" t="str">
        <f t="shared" si="106"/>
        <v>2025-05</v>
      </c>
      <c r="AC619" t="str">
        <f t="shared" si="107"/>
        <v>Q2-2025</v>
      </c>
      <c r="AD619" s="5">
        <f t="shared" si="108"/>
        <v>59</v>
      </c>
      <c r="AE619" t="str">
        <f t="shared" si="109"/>
        <v>Lost</v>
      </c>
    </row>
    <row r="620" spans="1:31">
      <c r="A620" t="s">
        <v>722</v>
      </c>
      <c r="B620" s="1">
        <v>46228</v>
      </c>
      <c r="C620" t="s">
        <v>50</v>
      </c>
      <c r="D620" t="s">
        <v>43</v>
      </c>
      <c r="E620" t="s">
        <v>107</v>
      </c>
      <c r="F620" t="s">
        <v>133</v>
      </c>
      <c r="G620" t="s">
        <v>94</v>
      </c>
      <c r="H620" t="s">
        <v>47</v>
      </c>
      <c r="I620" t="s">
        <v>73</v>
      </c>
      <c r="J620" s="1">
        <v>46245</v>
      </c>
      <c r="K620" s="1"/>
      <c r="L620" s="3">
        <v>29900</v>
      </c>
      <c r="M620" s="4">
        <v>0</v>
      </c>
      <c r="N620" s="4">
        <v>0.2</v>
      </c>
      <c r="P620">
        <v>2</v>
      </c>
      <c r="Q620" t="str">
        <f>IFERROR(VLOOKUP(E620,Lookups!$A$5:$B$24,2,FALSE),"Other")</f>
        <v>Referral</v>
      </c>
      <c r="R620" t="str">
        <f>IFERROR(VLOOKUP(F620,Lookups!$D$5:$F$10,2,FALSE),"Unknown Product")</f>
        <v>Analytics Plus</v>
      </c>
      <c r="S620" t="str">
        <f>IFERROR(VLOOKUP(F620,Lookups!$D$5:$F$10,3,FALSE),"Unknown")</f>
        <v>Analytics</v>
      </c>
      <c r="T620" t="str">
        <f t="shared" si="99"/>
        <v>Mid-Market</v>
      </c>
      <c r="U620" t="str">
        <f t="shared" si="100"/>
        <v>Open</v>
      </c>
      <c r="V620" s="3">
        <f t="shared" si="101"/>
        <v>0</v>
      </c>
      <c r="W620" s="3">
        <f t="shared" si="102"/>
        <v>5980</v>
      </c>
      <c r="X620" s="5" t="str">
        <f t="shared" si="103"/>
        <v/>
      </c>
      <c r="Y620" s="5">
        <f>IF(U620="Open",Lookups!$B$2-B620,X620)</f>
        <v>38</v>
      </c>
      <c r="Z620" t="str">
        <f t="shared" si="104"/>
        <v>STALE</v>
      </c>
      <c r="AA620" t="str">
        <f t="shared" si="105"/>
        <v>2026-07</v>
      </c>
      <c r="AB620" t="str">
        <f t="shared" si="106"/>
        <v/>
      </c>
      <c r="AC620" t="str">
        <f t="shared" si="107"/>
        <v>Q3-2026</v>
      </c>
      <c r="AD620" s="5">
        <f t="shared" si="108"/>
        <v>62</v>
      </c>
      <c r="AE620" t="str">
        <f t="shared" si="109"/>
        <v>Pipeline</v>
      </c>
    </row>
    <row r="621" spans="1:31">
      <c r="A621" t="s">
        <v>723</v>
      </c>
      <c r="B621" s="1">
        <v>46202</v>
      </c>
      <c r="C621" t="s">
        <v>148</v>
      </c>
      <c r="D621" t="s">
        <v>43</v>
      </c>
      <c r="E621" t="s">
        <v>109</v>
      </c>
      <c r="F621" t="s">
        <v>52</v>
      </c>
      <c r="G621" t="s">
        <v>76</v>
      </c>
      <c r="H621" t="s">
        <v>84</v>
      </c>
      <c r="I621" t="s">
        <v>77</v>
      </c>
      <c r="J621" s="1">
        <v>46266</v>
      </c>
      <c r="K621" s="1">
        <v>46266</v>
      </c>
      <c r="L621" s="3">
        <v>25500</v>
      </c>
      <c r="M621" s="4">
        <v>0</v>
      </c>
      <c r="N621" s="4">
        <v>1</v>
      </c>
      <c r="P621">
        <v>6</v>
      </c>
      <c r="Q621" t="str">
        <f>IFERROR(VLOOKUP(E621,Lookups!$A$5:$B$24,2,FALSE),"Other")</f>
        <v>Outbound</v>
      </c>
      <c r="R621" t="str">
        <f>IFERROR(VLOOKUP(F621,Lookups!$D$5:$F$10,2,FALSE),"Unknown Product")</f>
        <v>NexaCRM Core</v>
      </c>
      <c r="S621" t="str">
        <f>IFERROR(VLOOKUP(F621,Lookups!$D$5:$F$10,3,FALSE),"Unknown")</f>
        <v>CRM</v>
      </c>
      <c r="T621" t="str">
        <f t="shared" si="99"/>
        <v>Mid-Market</v>
      </c>
      <c r="U621" t="str">
        <f t="shared" si="100"/>
        <v>Won</v>
      </c>
      <c r="V621" s="3">
        <f t="shared" si="101"/>
        <v>25500</v>
      </c>
      <c r="W621" s="3">
        <f t="shared" si="102"/>
        <v>0</v>
      </c>
      <c r="X621" s="5">
        <f t="shared" si="103"/>
        <v>64</v>
      </c>
      <c r="Y621" s="5">
        <f>IF(U621="Open",Lookups!$B$2-B621,X621)</f>
        <v>64</v>
      </c>
      <c r="Z621" t="str">
        <f t="shared" si="104"/>
        <v>OK</v>
      </c>
      <c r="AA621" t="str">
        <f t="shared" si="105"/>
        <v>2026-06</v>
      </c>
      <c r="AB621" t="str">
        <f t="shared" si="106"/>
        <v>2026-09</v>
      </c>
      <c r="AC621" t="str">
        <f t="shared" si="107"/>
        <v>Q2-2026</v>
      </c>
      <c r="AD621" s="5">
        <f t="shared" si="108"/>
        <v>67</v>
      </c>
      <c r="AE621" t="str">
        <f t="shared" si="109"/>
        <v>Won</v>
      </c>
    </row>
    <row r="622" spans="1:31">
      <c r="A622" t="s">
        <v>724</v>
      </c>
      <c r="B622" s="1">
        <v>45801</v>
      </c>
      <c r="C622" t="s">
        <v>50</v>
      </c>
      <c r="D622" t="s">
        <v>43</v>
      </c>
      <c r="E622" t="s">
        <v>119</v>
      </c>
      <c r="F622" t="s">
        <v>45</v>
      </c>
      <c r="G622" t="s">
        <v>72</v>
      </c>
      <c r="H622" t="s">
        <v>53</v>
      </c>
      <c r="I622" t="s">
        <v>77</v>
      </c>
      <c r="J622" s="1">
        <v>45857</v>
      </c>
      <c r="K622" s="1">
        <v>45857</v>
      </c>
      <c r="L622" s="3">
        <v>25300</v>
      </c>
      <c r="M622" s="4">
        <v>0</v>
      </c>
      <c r="N622" s="4">
        <v>1</v>
      </c>
      <c r="P622">
        <v>6</v>
      </c>
      <c r="Q622" t="str">
        <f>IFERROR(VLOOKUP(E622,Lookups!$A$5:$B$24,2,FALSE),"Other")</f>
        <v>Referral</v>
      </c>
      <c r="R622" t="str">
        <f>IFERROR(VLOOKUP(F622,Lookups!$D$5:$F$10,2,FALSE),"Unknown Product")</f>
        <v>Service Cloud</v>
      </c>
      <c r="S622" t="str">
        <f>IFERROR(VLOOKUP(F622,Lookups!$D$5:$F$10,3,FALSE),"Unknown")</f>
        <v>Customer Service</v>
      </c>
      <c r="T622" t="str">
        <f t="shared" si="99"/>
        <v>Mid-Market</v>
      </c>
      <c r="U622" t="str">
        <f t="shared" si="100"/>
        <v>Won</v>
      </c>
      <c r="V622" s="3">
        <f t="shared" si="101"/>
        <v>25300</v>
      </c>
      <c r="W622" s="3">
        <f t="shared" si="102"/>
        <v>0</v>
      </c>
      <c r="X622" s="5">
        <f t="shared" si="103"/>
        <v>56</v>
      </c>
      <c r="Y622" s="5">
        <f>IF(U622="Open",Lookups!$B$2-B622,X622)</f>
        <v>56</v>
      </c>
      <c r="Z622" t="str">
        <f t="shared" si="104"/>
        <v>OK</v>
      </c>
      <c r="AA622" t="str">
        <f t="shared" si="105"/>
        <v>2025-05</v>
      </c>
      <c r="AB622" t="str">
        <f t="shared" si="106"/>
        <v>2025-07</v>
      </c>
      <c r="AC622" t="str">
        <f t="shared" si="107"/>
        <v>Q2-2025</v>
      </c>
      <c r="AD622" s="5">
        <f t="shared" si="108"/>
        <v>70</v>
      </c>
      <c r="AE622" t="str">
        <f t="shared" si="109"/>
        <v>Won</v>
      </c>
    </row>
    <row r="623" spans="1:31">
      <c r="A623" t="s">
        <v>725</v>
      </c>
      <c r="B623" s="1">
        <v>46140</v>
      </c>
      <c r="C623" t="s">
        <v>69</v>
      </c>
      <c r="D623" t="s">
        <v>57</v>
      </c>
      <c r="E623" t="s">
        <v>70</v>
      </c>
      <c r="F623" t="s">
        <v>133</v>
      </c>
      <c r="G623" t="s">
        <v>60</v>
      </c>
      <c r="H623" t="s">
        <v>47</v>
      </c>
      <c r="I623" t="s">
        <v>54</v>
      </c>
      <c r="J623" s="1">
        <v>46242</v>
      </c>
      <c r="K623" s="1"/>
      <c r="L623" s="3">
        <v>19900</v>
      </c>
      <c r="M623" s="4">
        <v>0.03</v>
      </c>
      <c r="N623" s="4">
        <v>0.65</v>
      </c>
      <c r="P623">
        <v>4</v>
      </c>
      <c r="Q623" t="str">
        <f>IFERROR(VLOOKUP(E623,Lookups!$A$5:$B$24,2,FALSE),"Other")</f>
        <v>LinkedIn</v>
      </c>
      <c r="R623" t="str">
        <f>IFERROR(VLOOKUP(F623,Lookups!$D$5:$F$10,2,FALSE),"Unknown Product")</f>
        <v>Analytics Plus</v>
      </c>
      <c r="S623" t="str">
        <f>IFERROR(VLOOKUP(F623,Lookups!$D$5:$F$10,3,FALSE),"Unknown")</f>
        <v>Analytics</v>
      </c>
      <c r="T623" t="str">
        <f t="shared" si="99"/>
        <v>SMB</v>
      </c>
      <c r="U623" t="str">
        <f t="shared" si="100"/>
        <v>Open</v>
      </c>
      <c r="V623" s="3">
        <f t="shared" si="101"/>
        <v>0</v>
      </c>
      <c r="W623" s="3">
        <f t="shared" si="102"/>
        <v>12935</v>
      </c>
      <c r="X623" s="5" t="str">
        <f t="shared" si="103"/>
        <v/>
      </c>
      <c r="Y623" s="5">
        <f>IF(U623="Open",Lookups!$B$2-B623,X623)</f>
        <v>126</v>
      </c>
      <c r="Z623" t="str">
        <f t="shared" si="104"/>
        <v>STALE</v>
      </c>
      <c r="AA623" t="str">
        <f t="shared" si="105"/>
        <v>2026-04</v>
      </c>
      <c r="AB623" t="str">
        <f t="shared" si="106"/>
        <v/>
      </c>
      <c r="AC623" t="str">
        <f t="shared" si="107"/>
        <v>Q2-2026</v>
      </c>
      <c r="AD623" s="5">
        <f t="shared" si="108"/>
        <v>43</v>
      </c>
      <c r="AE623" t="str">
        <f t="shared" si="109"/>
        <v>Best Case</v>
      </c>
    </row>
    <row r="624" spans="1:31">
      <c r="A624" t="s">
        <v>726</v>
      </c>
      <c r="B624" s="1">
        <v>46097</v>
      </c>
      <c r="C624" t="s">
        <v>69</v>
      </c>
      <c r="D624" t="s">
        <v>57</v>
      </c>
      <c r="E624" t="s">
        <v>138</v>
      </c>
      <c r="F624" t="s">
        <v>71</v>
      </c>
      <c r="G624" t="s">
        <v>46</v>
      </c>
      <c r="H624" t="s">
        <v>53</v>
      </c>
      <c r="I624" t="s">
        <v>77</v>
      </c>
      <c r="J624" s="1">
        <v>46162</v>
      </c>
      <c r="K624" s="1">
        <v>46162</v>
      </c>
      <c r="L624" s="3">
        <v>21200</v>
      </c>
      <c r="M624" s="4">
        <v>0.03</v>
      </c>
      <c r="N624" s="4">
        <v>1</v>
      </c>
      <c r="P624">
        <v>6</v>
      </c>
      <c r="Q624" t="str">
        <f>IFERROR(VLOOKUP(E624,Lookups!$A$5:$B$24,2,FALSE),"Other")</f>
        <v>Organic Search</v>
      </c>
      <c r="R624" t="str">
        <f>IFERROR(VLOOKUP(F624,Lookups!$D$5:$F$10,2,FALSE),"Unknown Product")</f>
        <v>Marketing Automation</v>
      </c>
      <c r="S624" t="str">
        <f>IFERROR(VLOOKUP(F624,Lookups!$D$5:$F$10,3,FALSE),"Unknown")</f>
        <v>Marketing</v>
      </c>
      <c r="T624" t="str">
        <f t="shared" si="99"/>
        <v>Mid-Market</v>
      </c>
      <c r="U624" t="str">
        <f t="shared" si="100"/>
        <v>Won</v>
      </c>
      <c r="V624" s="3">
        <f t="shared" si="101"/>
        <v>20564</v>
      </c>
      <c r="W624" s="3">
        <f t="shared" si="102"/>
        <v>0</v>
      </c>
      <c r="X624" s="5">
        <f t="shared" si="103"/>
        <v>65</v>
      </c>
      <c r="Y624" s="5">
        <f>IF(U624="Open",Lookups!$B$2-B624,X624)</f>
        <v>65</v>
      </c>
      <c r="Z624" t="str">
        <f t="shared" si="104"/>
        <v>OK</v>
      </c>
      <c r="AA624" t="str">
        <f t="shared" si="105"/>
        <v>2026-03</v>
      </c>
      <c r="AB624" t="str">
        <f t="shared" si="106"/>
        <v>2026-05</v>
      </c>
      <c r="AC624" t="str">
        <f t="shared" si="107"/>
        <v>Q1-2026</v>
      </c>
      <c r="AD624" s="5">
        <f t="shared" si="108"/>
        <v>65</v>
      </c>
      <c r="AE624" t="str">
        <f t="shared" si="109"/>
        <v>Won</v>
      </c>
    </row>
    <row r="625" spans="1:31">
      <c r="A625" t="s">
        <v>727</v>
      </c>
      <c r="B625" s="1">
        <v>46053</v>
      </c>
      <c r="C625" t="s">
        <v>69</v>
      </c>
      <c r="D625" t="s">
        <v>57</v>
      </c>
      <c r="E625" t="s">
        <v>127</v>
      </c>
      <c r="F625" t="s">
        <v>59</v>
      </c>
      <c r="G625" t="s">
        <v>60</v>
      </c>
      <c r="H625" t="s">
        <v>84</v>
      </c>
      <c r="I625" t="s">
        <v>61</v>
      </c>
      <c r="J625" s="1">
        <v>46075</v>
      </c>
      <c r="K625" s="1">
        <v>46075</v>
      </c>
      <c r="L625" s="3">
        <v>54300</v>
      </c>
      <c r="M625" s="4">
        <v>0</v>
      </c>
      <c r="N625" s="4">
        <v>0</v>
      </c>
      <c r="O625" t="s">
        <v>79</v>
      </c>
      <c r="P625">
        <v>2</v>
      </c>
      <c r="Q625" t="str">
        <f>IFERROR(VLOOKUP(E625,Lookups!$A$5:$B$24,2,FALSE),"Other")</f>
        <v>Paid Search</v>
      </c>
      <c r="R625" t="str">
        <f>IFERROR(VLOOKUP(F625,Lookups!$D$5:$F$10,2,FALSE),"Unknown Product")</f>
        <v>NexaCRM Pro</v>
      </c>
      <c r="S625" t="str">
        <f>IFERROR(VLOOKUP(F625,Lookups!$D$5:$F$10,3,FALSE),"Unknown")</f>
        <v>CRM</v>
      </c>
      <c r="T625" t="str">
        <f t="shared" si="99"/>
        <v>Enterprise</v>
      </c>
      <c r="U625" t="str">
        <f t="shared" si="100"/>
        <v>Lost</v>
      </c>
      <c r="V625" s="3">
        <f t="shared" si="101"/>
        <v>0</v>
      </c>
      <c r="W625" s="3">
        <f t="shared" si="102"/>
        <v>0</v>
      </c>
      <c r="X625" s="5">
        <f t="shared" si="103"/>
        <v>22</v>
      </c>
      <c r="Y625" s="5">
        <f>IF(U625="Open",Lookups!$B$2-B625,X625)</f>
        <v>22</v>
      </c>
      <c r="Z625" t="str">
        <f t="shared" si="104"/>
        <v>OK</v>
      </c>
      <c r="AA625" t="str">
        <f t="shared" si="105"/>
        <v>2026-01</v>
      </c>
      <c r="AB625" t="str">
        <f t="shared" si="106"/>
        <v>2026-02</v>
      </c>
      <c r="AC625" t="str">
        <f t="shared" si="107"/>
        <v>Q1-2026</v>
      </c>
      <c r="AD625" s="5">
        <f t="shared" si="108"/>
        <v>74</v>
      </c>
      <c r="AE625" t="str">
        <f t="shared" si="109"/>
        <v>Lost</v>
      </c>
    </row>
    <row r="626" spans="1:31">
      <c r="A626" t="s">
        <v>728</v>
      </c>
      <c r="B626" s="1">
        <v>45751</v>
      </c>
      <c r="C626" t="s">
        <v>50</v>
      </c>
      <c r="D626" t="s">
        <v>43</v>
      </c>
      <c r="E626" t="s">
        <v>83</v>
      </c>
      <c r="F626" t="s">
        <v>59</v>
      </c>
      <c r="G626" t="s">
        <v>60</v>
      </c>
      <c r="H626" t="s">
        <v>47</v>
      </c>
      <c r="I626" t="s">
        <v>61</v>
      </c>
      <c r="J626" s="1">
        <v>45820</v>
      </c>
      <c r="K626" s="1">
        <v>45820</v>
      </c>
      <c r="L626" s="3">
        <v>21000</v>
      </c>
      <c r="M626" s="4">
        <v>0</v>
      </c>
      <c r="N626" s="4">
        <v>0</v>
      </c>
      <c r="O626" t="s">
        <v>79</v>
      </c>
      <c r="P626">
        <v>3</v>
      </c>
      <c r="Q626" t="str">
        <f>IFERROR(VLOOKUP(E626,Lookups!$A$5:$B$24,2,FALSE),"Other")</f>
        <v>Organic Search</v>
      </c>
      <c r="R626" t="str">
        <f>IFERROR(VLOOKUP(F626,Lookups!$D$5:$F$10,2,FALSE),"Unknown Product")</f>
        <v>NexaCRM Pro</v>
      </c>
      <c r="S626" t="str">
        <f>IFERROR(VLOOKUP(F626,Lookups!$D$5:$F$10,3,FALSE),"Unknown")</f>
        <v>CRM</v>
      </c>
      <c r="T626" t="str">
        <f t="shared" si="99"/>
        <v>Mid-Market</v>
      </c>
      <c r="U626" t="str">
        <f t="shared" si="100"/>
        <v>Lost</v>
      </c>
      <c r="V626" s="3">
        <f t="shared" si="101"/>
        <v>0</v>
      </c>
      <c r="W626" s="3">
        <f t="shared" si="102"/>
        <v>0</v>
      </c>
      <c r="X626" s="5">
        <f t="shared" si="103"/>
        <v>69</v>
      </c>
      <c r="Y626" s="5">
        <f>IF(U626="Open",Lookups!$B$2-B626,X626)</f>
        <v>69</v>
      </c>
      <c r="Z626" t="str">
        <f t="shared" si="104"/>
        <v>OK</v>
      </c>
      <c r="AA626" t="str">
        <f t="shared" si="105"/>
        <v>2025-04</v>
      </c>
      <c r="AB626" t="str">
        <f t="shared" si="106"/>
        <v>2025-06</v>
      </c>
      <c r="AC626" t="str">
        <f t="shared" si="107"/>
        <v>Q2-2025</v>
      </c>
      <c r="AD626" s="5">
        <f t="shared" si="108"/>
        <v>57</v>
      </c>
      <c r="AE626" t="str">
        <f t="shared" si="109"/>
        <v>Lost</v>
      </c>
    </row>
    <row r="627" spans="1:31">
      <c r="A627" t="s">
        <v>729</v>
      </c>
      <c r="B627" s="1">
        <v>46051</v>
      </c>
      <c r="C627" t="s">
        <v>86</v>
      </c>
      <c r="D627" t="s">
        <v>87</v>
      </c>
      <c r="E627" t="s">
        <v>166</v>
      </c>
      <c r="F627" t="s">
        <v>71</v>
      </c>
      <c r="G627" t="s">
        <v>99</v>
      </c>
      <c r="H627" t="s">
        <v>53</v>
      </c>
      <c r="I627" t="s">
        <v>61</v>
      </c>
      <c r="J627" s="1">
        <v>46089</v>
      </c>
      <c r="K627" s="1">
        <v>46089</v>
      </c>
      <c r="L627" s="3">
        <v>17200</v>
      </c>
      <c r="M627" s="4">
        <v>0</v>
      </c>
      <c r="N627" s="4">
        <v>0</v>
      </c>
      <c r="O627" t="s">
        <v>110</v>
      </c>
      <c r="P627">
        <v>4</v>
      </c>
      <c r="Q627" t="str">
        <f>IFERROR(VLOOKUP(E627,Lookups!$A$5:$B$24,2,FALSE),"Other")</f>
        <v>Referral</v>
      </c>
      <c r="R627" t="str">
        <f>IFERROR(VLOOKUP(F627,Lookups!$D$5:$F$10,2,FALSE),"Unknown Product")</f>
        <v>Marketing Automation</v>
      </c>
      <c r="S627" t="str">
        <f>IFERROR(VLOOKUP(F627,Lookups!$D$5:$F$10,3,FALSE),"Unknown")</f>
        <v>Marketing</v>
      </c>
      <c r="T627" t="str">
        <f t="shared" si="99"/>
        <v>SMB</v>
      </c>
      <c r="U627" t="str">
        <f t="shared" si="100"/>
        <v>Lost</v>
      </c>
      <c r="V627" s="3">
        <f t="shared" si="101"/>
        <v>0</v>
      </c>
      <c r="W627" s="3">
        <f t="shared" si="102"/>
        <v>0</v>
      </c>
      <c r="X627" s="5">
        <f t="shared" si="103"/>
        <v>38</v>
      </c>
      <c r="Y627" s="5">
        <f>IF(U627="Open",Lookups!$B$2-B627,X627)</f>
        <v>38</v>
      </c>
      <c r="Z627" t="str">
        <f t="shared" si="104"/>
        <v>OK</v>
      </c>
      <c r="AA627" t="str">
        <f t="shared" si="105"/>
        <v>2026-01</v>
      </c>
      <c r="AB627" t="str">
        <f t="shared" si="106"/>
        <v>2026-03</v>
      </c>
      <c r="AC627" t="str">
        <f t="shared" si="107"/>
        <v>Q1-2026</v>
      </c>
      <c r="AD627" s="5">
        <f t="shared" si="108"/>
        <v>62</v>
      </c>
      <c r="AE627" t="str">
        <f t="shared" si="109"/>
        <v>Lost</v>
      </c>
    </row>
    <row r="628" spans="1:31">
      <c r="A628" t="s">
        <v>730</v>
      </c>
      <c r="B628" s="1">
        <v>45855</v>
      </c>
      <c r="C628" t="s">
        <v>90</v>
      </c>
      <c r="D628" t="s">
        <v>57</v>
      </c>
      <c r="E628" t="s">
        <v>138</v>
      </c>
      <c r="F628" t="s">
        <v>59</v>
      </c>
      <c r="G628" t="s">
        <v>60</v>
      </c>
      <c r="H628" t="s">
        <v>53</v>
      </c>
      <c r="I628" t="s">
        <v>61</v>
      </c>
      <c r="J628" s="1">
        <v>45895</v>
      </c>
      <c r="K628" s="1">
        <v>45895</v>
      </c>
      <c r="L628" s="3">
        <v>20000</v>
      </c>
      <c r="M628" s="4">
        <v>0</v>
      </c>
      <c r="N628" s="4">
        <v>0</v>
      </c>
      <c r="O628" t="s">
        <v>116</v>
      </c>
      <c r="P628">
        <v>4</v>
      </c>
      <c r="Q628" t="str">
        <f>IFERROR(VLOOKUP(E628,Lookups!$A$5:$B$24,2,FALSE),"Other")</f>
        <v>Organic Search</v>
      </c>
      <c r="R628" t="str">
        <f>IFERROR(VLOOKUP(F628,Lookups!$D$5:$F$10,2,FALSE),"Unknown Product")</f>
        <v>NexaCRM Pro</v>
      </c>
      <c r="S628" t="str">
        <f>IFERROR(VLOOKUP(F628,Lookups!$D$5:$F$10,3,FALSE),"Unknown")</f>
        <v>CRM</v>
      </c>
      <c r="T628" t="str">
        <f t="shared" si="99"/>
        <v>Mid-Market</v>
      </c>
      <c r="U628" t="str">
        <f t="shared" si="100"/>
        <v>Lost</v>
      </c>
      <c r="V628" s="3">
        <f t="shared" si="101"/>
        <v>0</v>
      </c>
      <c r="W628" s="3">
        <f t="shared" si="102"/>
        <v>0</v>
      </c>
      <c r="X628" s="5">
        <f t="shared" si="103"/>
        <v>40</v>
      </c>
      <c r="Y628" s="5">
        <f>IF(U628="Open",Lookups!$B$2-B628,X628)</f>
        <v>40</v>
      </c>
      <c r="Z628" t="str">
        <f t="shared" si="104"/>
        <v>OK</v>
      </c>
      <c r="AA628" t="str">
        <f t="shared" si="105"/>
        <v>2025-07</v>
      </c>
      <c r="AB628" t="str">
        <f t="shared" si="106"/>
        <v>2025-08</v>
      </c>
      <c r="AC628" t="str">
        <f t="shared" si="107"/>
        <v>Q3-2025</v>
      </c>
      <c r="AD628" s="5">
        <f t="shared" si="108"/>
        <v>65</v>
      </c>
      <c r="AE628" t="str">
        <f t="shared" si="109"/>
        <v>Lost</v>
      </c>
    </row>
    <row r="629" spans="1:31">
      <c r="A629" t="s">
        <v>731</v>
      </c>
      <c r="B629" s="1">
        <v>45845</v>
      </c>
      <c r="C629" t="s">
        <v>56</v>
      </c>
      <c r="D629" t="s">
        <v>57</v>
      </c>
      <c r="E629" t="s">
        <v>160</v>
      </c>
      <c r="F629" t="s">
        <v>71</v>
      </c>
      <c r="G629" t="s">
        <v>46</v>
      </c>
      <c r="H629" t="s">
        <v>47</v>
      </c>
      <c r="I629" t="s">
        <v>48</v>
      </c>
      <c r="J629" s="1">
        <v>46117</v>
      </c>
      <c r="K629" s="1"/>
      <c r="L629" s="3">
        <v>16700</v>
      </c>
      <c r="M629" s="4">
        <v>0</v>
      </c>
      <c r="N629" s="4">
        <v>0.85</v>
      </c>
      <c r="P629">
        <v>5</v>
      </c>
      <c r="Q629" t="str">
        <f>IFERROR(VLOOKUP(E629,Lookups!$A$5:$B$24,2,FALSE),"Other")</f>
        <v>Email</v>
      </c>
      <c r="R629" t="str">
        <f>IFERROR(VLOOKUP(F629,Lookups!$D$5:$F$10,2,FALSE),"Unknown Product")</f>
        <v>Marketing Automation</v>
      </c>
      <c r="S629" t="str">
        <f>IFERROR(VLOOKUP(F629,Lookups!$D$5:$F$10,3,FALSE),"Unknown")</f>
        <v>Marketing</v>
      </c>
      <c r="T629" t="str">
        <f t="shared" si="99"/>
        <v>SMB</v>
      </c>
      <c r="U629" t="str">
        <f t="shared" si="100"/>
        <v>Open</v>
      </c>
      <c r="V629" s="3">
        <f t="shared" si="101"/>
        <v>0</v>
      </c>
      <c r="W629" s="3">
        <f t="shared" si="102"/>
        <v>14195</v>
      </c>
      <c r="X629" s="5" t="str">
        <f t="shared" si="103"/>
        <v/>
      </c>
      <c r="Y629" s="5">
        <f>IF(U629="Open",Lookups!$B$2-B629,X629)</f>
        <v>421</v>
      </c>
      <c r="Z629" t="str">
        <f t="shared" si="104"/>
        <v>STALE</v>
      </c>
      <c r="AA629" t="str">
        <f t="shared" si="105"/>
        <v>2025-07</v>
      </c>
      <c r="AB629" t="str">
        <f t="shared" si="106"/>
        <v/>
      </c>
      <c r="AC629" t="str">
        <f t="shared" si="107"/>
        <v>Q3-2025</v>
      </c>
      <c r="AD629" s="5">
        <f t="shared" si="108"/>
        <v>47</v>
      </c>
      <c r="AE629" t="str">
        <f t="shared" si="109"/>
        <v>Commit</v>
      </c>
    </row>
    <row r="630" spans="1:31">
      <c r="A630" t="s">
        <v>732</v>
      </c>
      <c r="B630" s="1">
        <v>46152</v>
      </c>
      <c r="C630" t="s">
        <v>50</v>
      </c>
      <c r="D630" t="s">
        <v>43</v>
      </c>
      <c r="E630" t="s">
        <v>123</v>
      </c>
      <c r="F630" t="s">
        <v>59</v>
      </c>
      <c r="G630" t="s">
        <v>112</v>
      </c>
      <c r="H630" t="s">
        <v>53</v>
      </c>
      <c r="I630" t="s">
        <v>61</v>
      </c>
      <c r="J630" s="1">
        <v>46171</v>
      </c>
      <c r="K630" s="1">
        <v>46171</v>
      </c>
      <c r="L630" s="3">
        <v>40400</v>
      </c>
      <c r="M630" s="4">
        <v>0</v>
      </c>
      <c r="N630" s="4">
        <v>0</v>
      </c>
      <c r="O630" t="s">
        <v>116</v>
      </c>
      <c r="P630">
        <v>3</v>
      </c>
      <c r="Q630" t="str">
        <f>IFERROR(VLOOKUP(E630,Lookups!$A$5:$B$24,2,FALSE),"Other")</f>
        <v>Email</v>
      </c>
      <c r="R630" t="str">
        <f>IFERROR(VLOOKUP(F630,Lookups!$D$5:$F$10,2,FALSE),"Unknown Product")</f>
        <v>NexaCRM Pro</v>
      </c>
      <c r="S630" t="str">
        <f>IFERROR(VLOOKUP(F630,Lookups!$D$5:$F$10,3,FALSE),"Unknown")</f>
        <v>CRM</v>
      </c>
      <c r="T630" t="str">
        <f t="shared" si="99"/>
        <v>Mid-Market</v>
      </c>
      <c r="U630" t="str">
        <f t="shared" si="100"/>
        <v>Lost</v>
      </c>
      <c r="V630" s="3">
        <f t="shared" si="101"/>
        <v>0</v>
      </c>
      <c r="W630" s="3">
        <f t="shared" si="102"/>
        <v>0</v>
      </c>
      <c r="X630" s="5">
        <f t="shared" si="103"/>
        <v>19</v>
      </c>
      <c r="Y630" s="5">
        <f>IF(U630="Open",Lookups!$B$2-B630,X630)</f>
        <v>19</v>
      </c>
      <c r="Z630" t="str">
        <f t="shared" si="104"/>
        <v>OK</v>
      </c>
      <c r="AA630" t="str">
        <f t="shared" si="105"/>
        <v>2026-05</v>
      </c>
      <c r="AB630" t="str">
        <f t="shared" si="106"/>
        <v>2026-05</v>
      </c>
      <c r="AC630" t="str">
        <f t="shared" si="107"/>
        <v>Q2-2026</v>
      </c>
      <c r="AD630" s="5">
        <f t="shared" si="108"/>
        <v>68</v>
      </c>
      <c r="AE630" t="str">
        <f t="shared" si="109"/>
        <v>Lost</v>
      </c>
    </row>
    <row r="631" spans="1:31">
      <c r="A631" t="s">
        <v>733</v>
      </c>
      <c r="B631" s="1">
        <v>45815</v>
      </c>
      <c r="C631" t="s">
        <v>42</v>
      </c>
      <c r="D631" t="s">
        <v>43</v>
      </c>
      <c r="E631" t="s">
        <v>166</v>
      </c>
      <c r="F631" t="s">
        <v>71</v>
      </c>
      <c r="G631" t="s">
        <v>60</v>
      </c>
      <c r="H631" t="s">
        <v>47</v>
      </c>
      <c r="I631" t="s">
        <v>48</v>
      </c>
      <c r="J631" s="1">
        <v>46112</v>
      </c>
      <c r="K631" s="1"/>
      <c r="L631" s="3">
        <v>17900</v>
      </c>
      <c r="M631" s="4">
        <v>0.05</v>
      </c>
      <c r="N631" s="4">
        <v>0.85</v>
      </c>
      <c r="P631">
        <v>5</v>
      </c>
      <c r="Q631" t="str">
        <f>IFERROR(VLOOKUP(E631,Lookups!$A$5:$B$24,2,FALSE),"Other")</f>
        <v>Referral</v>
      </c>
      <c r="R631" t="str">
        <f>IFERROR(VLOOKUP(F631,Lookups!$D$5:$F$10,2,FALSE),"Unknown Product")</f>
        <v>Marketing Automation</v>
      </c>
      <c r="S631" t="str">
        <f>IFERROR(VLOOKUP(F631,Lookups!$D$5:$F$10,3,FALSE),"Unknown")</f>
        <v>Marketing</v>
      </c>
      <c r="T631" t="str">
        <f t="shared" si="99"/>
        <v>SMB</v>
      </c>
      <c r="U631" t="str">
        <f t="shared" si="100"/>
        <v>Open</v>
      </c>
      <c r="V631" s="3">
        <f t="shared" si="101"/>
        <v>0</v>
      </c>
      <c r="W631" s="3">
        <f t="shared" si="102"/>
        <v>15215</v>
      </c>
      <c r="X631" s="5" t="str">
        <f t="shared" si="103"/>
        <v/>
      </c>
      <c r="Y631" s="5">
        <f>IF(U631="Open",Lookups!$B$2-B631,X631)</f>
        <v>451</v>
      </c>
      <c r="Z631" t="str">
        <f t="shared" si="104"/>
        <v>STALE</v>
      </c>
      <c r="AA631" t="str">
        <f t="shared" si="105"/>
        <v>2025-06</v>
      </c>
      <c r="AB631" t="str">
        <f t="shared" si="106"/>
        <v/>
      </c>
      <c r="AC631" t="str">
        <f t="shared" si="107"/>
        <v>Q2-2025</v>
      </c>
      <c r="AD631" s="5">
        <f t="shared" si="108"/>
        <v>54</v>
      </c>
      <c r="AE631" t="str">
        <f t="shared" si="109"/>
        <v>Commit</v>
      </c>
    </row>
    <row r="632" spans="1:31">
      <c r="A632" t="s">
        <v>734</v>
      </c>
      <c r="B632" s="1">
        <v>45910</v>
      </c>
      <c r="C632" t="s">
        <v>42</v>
      </c>
      <c r="D632" t="s">
        <v>43</v>
      </c>
      <c r="E632" t="s">
        <v>58</v>
      </c>
      <c r="F632" t="s">
        <v>71</v>
      </c>
      <c r="G632" t="s">
        <v>46</v>
      </c>
      <c r="H632" t="s">
        <v>84</v>
      </c>
      <c r="I632" t="s">
        <v>61</v>
      </c>
      <c r="J632" s="1">
        <v>45947</v>
      </c>
      <c r="K632" s="1">
        <v>45947</v>
      </c>
      <c r="L632" s="3">
        <v>44100</v>
      </c>
      <c r="M632" s="4">
        <v>0</v>
      </c>
      <c r="N632" s="4">
        <v>0</v>
      </c>
      <c r="O632" t="s">
        <v>116</v>
      </c>
      <c r="P632">
        <v>4</v>
      </c>
      <c r="Q632" t="str">
        <f>IFERROR(VLOOKUP(E632,Lookups!$A$5:$B$24,2,FALSE),"Other")</f>
        <v>Email</v>
      </c>
      <c r="R632" t="str">
        <f>IFERROR(VLOOKUP(F632,Lookups!$D$5:$F$10,2,FALSE),"Unknown Product")</f>
        <v>Marketing Automation</v>
      </c>
      <c r="S632" t="str">
        <f>IFERROR(VLOOKUP(F632,Lookups!$D$5:$F$10,3,FALSE),"Unknown")</f>
        <v>Marketing</v>
      </c>
      <c r="T632" t="str">
        <f t="shared" si="99"/>
        <v>Mid-Market</v>
      </c>
      <c r="U632" t="str">
        <f t="shared" si="100"/>
        <v>Lost</v>
      </c>
      <c r="V632" s="3">
        <f t="shared" si="101"/>
        <v>0</v>
      </c>
      <c r="W632" s="3">
        <f t="shared" si="102"/>
        <v>0</v>
      </c>
      <c r="X632" s="5">
        <f t="shared" si="103"/>
        <v>37</v>
      </c>
      <c r="Y632" s="5">
        <f>IF(U632="Open",Lookups!$B$2-B632,X632)</f>
        <v>37</v>
      </c>
      <c r="Z632" t="str">
        <f t="shared" si="104"/>
        <v>OK</v>
      </c>
      <c r="AA632" t="str">
        <f t="shared" si="105"/>
        <v>2025-09</v>
      </c>
      <c r="AB632" t="str">
        <f t="shared" si="106"/>
        <v>2025-10</v>
      </c>
      <c r="AC632" t="str">
        <f t="shared" si="107"/>
        <v>Q3-2025</v>
      </c>
      <c r="AD632" s="5">
        <f t="shared" si="108"/>
        <v>71</v>
      </c>
      <c r="AE632" t="str">
        <f t="shared" si="109"/>
        <v>Lost</v>
      </c>
    </row>
    <row r="633" spans="1:31">
      <c r="A633" t="s">
        <v>735</v>
      </c>
      <c r="B633" s="1">
        <v>45672</v>
      </c>
      <c r="C633" t="s">
        <v>148</v>
      </c>
      <c r="D633" t="s">
        <v>43</v>
      </c>
      <c r="E633" t="s">
        <v>65</v>
      </c>
      <c r="F633" t="s">
        <v>52</v>
      </c>
      <c r="G633" t="s">
        <v>112</v>
      </c>
      <c r="H633" t="s">
        <v>53</v>
      </c>
      <c r="I633" t="s">
        <v>61</v>
      </c>
      <c r="J633" s="1">
        <v>45703</v>
      </c>
      <c r="K633" s="1">
        <v>45703</v>
      </c>
      <c r="L633" s="3">
        <v>14500</v>
      </c>
      <c r="M633" s="4">
        <v>0</v>
      </c>
      <c r="N633" s="4">
        <v>0</v>
      </c>
      <c r="O633" t="s">
        <v>110</v>
      </c>
      <c r="P633">
        <v>3</v>
      </c>
      <c r="Q633" t="str">
        <f>IFERROR(VLOOKUP(E633,Lookups!$A$5:$B$24,2,FALSE),"Other")</f>
        <v>Paid Search</v>
      </c>
      <c r="R633" t="str">
        <f>IFERROR(VLOOKUP(F633,Lookups!$D$5:$F$10,2,FALSE),"Unknown Product")</f>
        <v>NexaCRM Core</v>
      </c>
      <c r="S633" t="str">
        <f>IFERROR(VLOOKUP(F633,Lookups!$D$5:$F$10,3,FALSE),"Unknown")</f>
        <v>CRM</v>
      </c>
      <c r="T633" t="str">
        <f t="shared" si="99"/>
        <v>SMB</v>
      </c>
      <c r="U633" t="str">
        <f t="shared" si="100"/>
        <v>Lost</v>
      </c>
      <c r="V633" s="3">
        <f t="shared" si="101"/>
        <v>0</v>
      </c>
      <c r="W633" s="3">
        <f t="shared" si="102"/>
        <v>0</v>
      </c>
      <c r="X633" s="5">
        <f t="shared" si="103"/>
        <v>31</v>
      </c>
      <c r="Y633" s="5">
        <f>IF(U633="Open",Lookups!$B$2-B633,X633)</f>
        <v>31</v>
      </c>
      <c r="Z633" t="str">
        <f t="shared" si="104"/>
        <v>OK</v>
      </c>
      <c r="AA633" t="str">
        <f t="shared" si="105"/>
        <v>2025-01</v>
      </c>
      <c r="AB633" t="str">
        <f t="shared" si="106"/>
        <v>2025-02</v>
      </c>
      <c r="AC633" t="str">
        <f t="shared" si="107"/>
        <v>Q1-2025</v>
      </c>
      <c r="AD633" s="5">
        <f t="shared" si="108"/>
        <v>56</v>
      </c>
      <c r="AE633" t="str">
        <f t="shared" si="109"/>
        <v>Lost</v>
      </c>
    </row>
    <row r="634" spans="1:31">
      <c r="A634" t="s">
        <v>736</v>
      </c>
      <c r="B634" s="1">
        <v>45933</v>
      </c>
      <c r="C634" t="s">
        <v>56</v>
      </c>
      <c r="D634" t="s">
        <v>57</v>
      </c>
      <c r="E634" t="s">
        <v>138</v>
      </c>
      <c r="F634" t="s">
        <v>45</v>
      </c>
      <c r="G634" t="s">
        <v>76</v>
      </c>
      <c r="H634" t="s">
        <v>53</v>
      </c>
      <c r="I634" t="s">
        <v>61</v>
      </c>
      <c r="J634" s="1">
        <v>45975</v>
      </c>
      <c r="K634" s="1">
        <v>45975</v>
      </c>
      <c r="L634" s="3">
        <v>21100</v>
      </c>
      <c r="M634" s="4">
        <v>0</v>
      </c>
      <c r="N634" s="4">
        <v>0</v>
      </c>
      <c r="O634" t="s">
        <v>81</v>
      </c>
      <c r="P634">
        <v>4</v>
      </c>
      <c r="Q634" t="str">
        <f>IFERROR(VLOOKUP(E634,Lookups!$A$5:$B$24,2,FALSE),"Other")</f>
        <v>Organic Search</v>
      </c>
      <c r="R634" t="str">
        <f>IFERROR(VLOOKUP(F634,Lookups!$D$5:$F$10,2,FALSE),"Unknown Product")</f>
        <v>Service Cloud</v>
      </c>
      <c r="S634" t="str">
        <f>IFERROR(VLOOKUP(F634,Lookups!$D$5:$F$10,3,FALSE),"Unknown")</f>
        <v>Customer Service</v>
      </c>
      <c r="T634" t="str">
        <f t="shared" si="99"/>
        <v>Mid-Market</v>
      </c>
      <c r="U634" t="str">
        <f t="shared" si="100"/>
        <v>Lost</v>
      </c>
      <c r="V634" s="3">
        <f t="shared" si="101"/>
        <v>0</v>
      </c>
      <c r="W634" s="3">
        <f t="shared" si="102"/>
        <v>0</v>
      </c>
      <c r="X634" s="5">
        <f t="shared" si="103"/>
        <v>42</v>
      </c>
      <c r="Y634" s="5">
        <f>IF(U634="Open",Lookups!$B$2-B634,X634)</f>
        <v>42</v>
      </c>
      <c r="Z634" t="str">
        <f t="shared" si="104"/>
        <v>OK</v>
      </c>
      <c r="AA634" t="str">
        <f t="shared" si="105"/>
        <v>2025-10</v>
      </c>
      <c r="AB634" t="str">
        <f t="shared" si="106"/>
        <v>2025-11</v>
      </c>
      <c r="AC634" t="str">
        <f t="shared" si="107"/>
        <v>Q4-2025</v>
      </c>
      <c r="AD634" s="5">
        <f t="shared" si="108"/>
        <v>65</v>
      </c>
      <c r="AE634" t="str">
        <f t="shared" si="109"/>
        <v>Lost</v>
      </c>
    </row>
    <row r="635" spans="1:31">
      <c r="A635" t="s">
        <v>737</v>
      </c>
      <c r="B635" s="1">
        <v>45771</v>
      </c>
      <c r="C635" t="s">
        <v>86</v>
      </c>
      <c r="D635" t="s">
        <v>87</v>
      </c>
      <c r="E635" t="s">
        <v>107</v>
      </c>
      <c r="F635" t="s">
        <v>67</v>
      </c>
      <c r="G635" t="s">
        <v>76</v>
      </c>
      <c r="H635" t="s">
        <v>53</v>
      </c>
      <c r="I635" t="s">
        <v>77</v>
      </c>
      <c r="J635" s="1">
        <v>45783</v>
      </c>
      <c r="K635" s="1">
        <v>45783</v>
      </c>
      <c r="L635" s="3">
        <v>39200</v>
      </c>
      <c r="M635" s="4">
        <v>0.03</v>
      </c>
      <c r="N635" s="4">
        <v>1</v>
      </c>
      <c r="P635">
        <v>6</v>
      </c>
      <c r="Q635" t="str">
        <f>IFERROR(VLOOKUP(E635,Lookups!$A$5:$B$24,2,FALSE),"Other")</f>
        <v>Referral</v>
      </c>
      <c r="R635" t="str">
        <f>IFERROR(VLOOKUP(F635,Lookups!$D$5:$F$10,2,FALSE),"Unknown Product")</f>
        <v>Revenue Operations Suite</v>
      </c>
      <c r="S635" t="str">
        <f>IFERROR(VLOOKUP(F635,Lookups!$D$5:$F$10,3,FALSE),"Unknown")</f>
        <v>Revenue Ops</v>
      </c>
      <c r="T635" t="str">
        <f t="shared" si="99"/>
        <v>Mid-Market</v>
      </c>
      <c r="U635" t="str">
        <f t="shared" si="100"/>
        <v>Won</v>
      </c>
      <c r="V635" s="3">
        <f t="shared" si="101"/>
        <v>38024</v>
      </c>
      <c r="W635" s="3">
        <f t="shared" si="102"/>
        <v>0</v>
      </c>
      <c r="X635" s="5">
        <f t="shared" si="103"/>
        <v>12</v>
      </c>
      <c r="Y635" s="5">
        <f>IF(U635="Open",Lookups!$B$2-B635,X635)</f>
        <v>12</v>
      </c>
      <c r="Z635" t="str">
        <f t="shared" si="104"/>
        <v>OK</v>
      </c>
      <c r="AA635" t="str">
        <f t="shared" si="105"/>
        <v>2025-04</v>
      </c>
      <c r="AB635" t="str">
        <f t="shared" si="106"/>
        <v>2025-05</v>
      </c>
      <c r="AC635" t="str">
        <f t="shared" si="107"/>
        <v>Q2-2025</v>
      </c>
      <c r="AD635" s="5">
        <f t="shared" si="108"/>
        <v>70</v>
      </c>
      <c r="AE635" t="str">
        <f t="shared" si="109"/>
        <v>Won</v>
      </c>
    </row>
    <row r="636" spans="1:31">
      <c r="A636" t="s">
        <v>738</v>
      </c>
      <c r="B636" s="1">
        <v>46012</v>
      </c>
      <c r="C636" t="s">
        <v>56</v>
      </c>
      <c r="D636" t="s">
        <v>57</v>
      </c>
      <c r="E636" t="s">
        <v>92</v>
      </c>
      <c r="F636" t="s">
        <v>59</v>
      </c>
      <c r="G636" t="s">
        <v>94</v>
      </c>
      <c r="H636" t="s">
        <v>47</v>
      </c>
      <c r="I636" t="s">
        <v>77</v>
      </c>
      <c r="J636" s="1">
        <v>46070</v>
      </c>
      <c r="K636" s="1">
        <v>46070</v>
      </c>
      <c r="L636" s="3">
        <v>16700</v>
      </c>
      <c r="M636" s="4">
        <v>0</v>
      </c>
      <c r="N636" s="4">
        <v>1</v>
      </c>
      <c r="P636">
        <v>6</v>
      </c>
      <c r="Q636" t="str">
        <f>IFERROR(VLOOKUP(E636,Lookups!$A$5:$B$24,2,FALSE),"Other")</f>
        <v>Webinar</v>
      </c>
      <c r="R636" t="str">
        <f>IFERROR(VLOOKUP(F636,Lookups!$D$5:$F$10,2,FALSE),"Unknown Product")</f>
        <v>NexaCRM Pro</v>
      </c>
      <c r="S636" t="str">
        <f>IFERROR(VLOOKUP(F636,Lookups!$D$5:$F$10,3,FALSE),"Unknown")</f>
        <v>CRM</v>
      </c>
      <c r="T636" t="str">
        <f t="shared" si="99"/>
        <v>SMB</v>
      </c>
      <c r="U636" t="str">
        <f t="shared" si="100"/>
        <v>Won</v>
      </c>
      <c r="V636" s="3">
        <f t="shared" si="101"/>
        <v>16700</v>
      </c>
      <c r="W636" s="3">
        <f t="shared" si="102"/>
        <v>0</v>
      </c>
      <c r="X636" s="5">
        <f t="shared" si="103"/>
        <v>58</v>
      </c>
      <c r="Y636" s="5">
        <f>IF(U636="Open",Lookups!$B$2-B636,X636)</f>
        <v>58</v>
      </c>
      <c r="Z636" t="str">
        <f t="shared" si="104"/>
        <v>OK</v>
      </c>
      <c r="AA636" t="str">
        <f t="shared" si="105"/>
        <v>2025-12</v>
      </c>
      <c r="AB636" t="str">
        <f t="shared" si="106"/>
        <v>2026-02</v>
      </c>
      <c r="AC636" t="str">
        <f t="shared" si="107"/>
        <v>Q4-2025</v>
      </c>
      <c r="AD636" s="5">
        <f t="shared" si="108"/>
        <v>43</v>
      </c>
      <c r="AE636" t="str">
        <f t="shared" si="109"/>
        <v>Won</v>
      </c>
    </row>
    <row r="637" spans="1:31">
      <c r="A637" t="s">
        <v>739</v>
      </c>
      <c r="B637" s="1">
        <v>46071</v>
      </c>
      <c r="C637" t="s">
        <v>56</v>
      </c>
      <c r="D637" t="s">
        <v>57</v>
      </c>
      <c r="E637" t="s">
        <v>75</v>
      </c>
      <c r="F637" t="s">
        <v>133</v>
      </c>
      <c r="G637" t="s">
        <v>60</v>
      </c>
      <c r="H637" t="s">
        <v>47</v>
      </c>
      <c r="I637" t="s">
        <v>61</v>
      </c>
      <c r="J637" s="1">
        <v>46123</v>
      </c>
      <c r="K637" s="1">
        <v>46123</v>
      </c>
      <c r="L637" s="3">
        <v>15300</v>
      </c>
      <c r="M637" s="4">
        <v>0</v>
      </c>
      <c r="N637" s="4">
        <v>0</v>
      </c>
      <c r="O637" t="s">
        <v>62</v>
      </c>
      <c r="P637">
        <v>4</v>
      </c>
      <c r="Q637" t="str">
        <f>IFERROR(VLOOKUP(E637,Lookups!$A$5:$B$24,2,FALSE),"Other")</f>
        <v>Webinar</v>
      </c>
      <c r="R637" t="str">
        <f>IFERROR(VLOOKUP(F637,Lookups!$D$5:$F$10,2,FALSE),"Unknown Product")</f>
        <v>Analytics Plus</v>
      </c>
      <c r="S637" t="str">
        <f>IFERROR(VLOOKUP(F637,Lookups!$D$5:$F$10,3,FALSE),"Unknown")</f>
        <v>Analytics</v>
      </c>
      <c r="T637" t="str">
        <f t="shared" si="99"/>
        <v>SMB</v>
      </c>
      <c r="U637" t="str">
        <f t="shared" si="100"/>
        <v>Lost</v>
      </c>
      <c r="V637" s="3">
        <f t="shared" si="101"/>
        <v>0</v>
      </c>
      <c r="W637" s="3">
        <f t="shared" si="102"/>
        <v>0</v>
      </c>
      <c r="X637" s="5">
        <f t="shared" si="103"/>
        <v>52</v>
      </c>
      <c r="Y637" s="5">
        <f>IF(U637="Open",Lookups!$B$2-B637,X637)</f>
        <v>52</v>
      </c>
      <c r="Z637" t="str">
        <f t="shared" si="104"/>
        <v>OK</v>
      </c>
      <c r="AA637" t="str">
        <f t="shared" si="105"/>
        <v>2026-02</v>
      </c>
      <c r="AB637" t="str">
        <f t="shared" si="106"/>
        <v>2026-04</v>
      </c>
      <c r="AC637" t="str">
        <f t="shared" si="107"/>
        <v>Q1-2026</v>
      </c>
      <c r="AD637" s="5">
        <f t="shared" si="108"/>
        <v>43</v>
      </c>
      <c r="AE637" t="str">
        <f t="shared" si="109"/>
        <v>Lost</v>
      </c>
    </row>
    <row r="638" spans="1:31">
      <c r="A638" t="s">
        <v>740</v>
      </c>
      <c r="B638" s="1">
        <v>45750</v>
      </c>
      <c r="C638" t="s">
        <v>148</v>
      </c>
      <c r="D638" t="s">
        <v>43</v>
      </c>
      <c r="E638" t="s">
        <v>146</v>
      </c>
      <c r="F638" t="s">
        <v>133</v>
      </c>
      <c r="G638" t="s">
        <v>99</v>
      </c>
      <c r="H638" t="s">
        <v>84</v>
      </c>
      <c r="I638" t="s">
        <v>61</v>
      </c>
      <c r="J638" s="1">
        <v>45758</v>
      </c>
      <c r="K638" s="1">
        <v>45758</v>
      </c>
      <c r="L638" s="3">
        <v>99800</v>
      </c>
      <c r="M638" s="4">
        <v>0</v>
      </c>
      <c r="N638" s="4">
        <v>0</v>
      </c>
      <c r="O638" t="s">
        <v>102</v>
      </c>
      <c r="P638">
        <v>5</v>
      </c>
      <c r="Q638" t="str">
        <f>IFERROR(VLOOKUP(E638,Lookups!$A$5:$B$24,2,FALSE),"Other")</f>
        <v>LinkedIn</v>
      </c>
      <c r="R638" t="str">
        <f>IFERROR(VLOOKUP(F638,Lookups!$D$5:$F$10,2,FALSE),"Unknown Product")</f>
        <v>Analytics Plus</v>
      </c>
      <c r="S638" t="str">
        <f>IFERROR(VLOOKUP(F638,Lookups!$D$5:$F$10,3,FALSE),"Unknown")</f>
        <v>Analytics</v>
      </c>
      <c r="T638" t="str">
        <f t="shared" si="99"/>
        <v>Enterprise</v>
      </c>
      <c r="U638" t="str">
        <f t="shared" si="100"/>
        <v>Lost</v>
      </c>
      <c r="V638" s="3">
        <f t="shared" si="101"/>
        <v>0</v>
      </c>
      <c r="W638" s="3">
        <f t="shared" si="102"/>
        <v>0</v>
      </c>
      <c r="X638" s="5">
        <f t="shared" si="103"/>
        <v>8</v>
      </c>
      <c r="Y638" s="5">
        <f>IF(U638="Open",Lookups!$B$2-B638,X638)</f>
        <v>8</v>
      </c>
      <c r="Z638" t="str">
        <f t="shared" si="104"/>
        <v>OK</v>
      </c>
      <c r="AA638" t="str">
        <f t="shared" si="105"/>
        <v>2025-04</v>
      </c>
      <c r="AB638" t="str">
        <f t="shared" si="106"/>
        <v>2025-04</v>
      </c>
      <c r="AC638" t="str">
        <f t="shared" si="107"/>
        <v>Q2-2025</v>
      </c>
      <c r="AD638" s="5">
        <f t="shared" si="108"/>
        <v>74</v>
      </c>
      <c r="AE638" t="str">
        <f t="shared" si="109"/>
        <v>Lost</v>
      </c>
    </row>
    <row r="639" spans="1:31">
      <c r="A639" t="s">
        <v>741</v>
      </c>
      <c r="B639" s="1">
        <v>45809</v>
      </c>
      <c r="C639" t="s">
        <v>56</v>
      </c>
      <c r="D639" t="s">
        <v>57</v>
      </c>
      <c r="E639" t="s">
        <v>51</v>
      </c>
      <c r="F639" t="s">
        <v>52</v>
      </c>
      <c r="G639" t="s">
        <v>112</v>
      </c>
      <c r="H639" t="s">
        <v>84</v>
      </c>
      <c r="I639" t="s">
        <v>48</v>
      </c>
      <c r="J639" s="1">
        <v>46048</v>
      </c>
      <c r="K639" s="1"/>
      <c r="L639" s="3">
        <v>17000</v>
      </c>
      <c r="M639" s="4">
        <v>0</v>
      </c>
      <c r="N639" s="4">
        <v>0.85</v>
      </c>
      <c r="P639">
        <v>5</v>
      </c>
      <c r="Q639" t="str">
        <f>IFERROR(VLOOKUP(E639,Lookups!$A$5:$B$24,2,FALSE),"Other")</f>
        <v>Paid Search</v>
      </c>
      <c r="R639" t="str">
        <f>IFERROR(VLOOKUP(F639,Lookups!$D$5:$F$10,2,FALSE),"Unknown Product")</f>
        <v>NexaCRM Core</v>
      </c>
      <c r="S639" t="str">
        <f>IFERROR(VLOOKUP(F639,Lookups!$D$5:$F$10,3,FALSE),"Unknown")</f>
        <v>CRM</v>
      </c>
      <c r="T639" t="str">
        <f t="shared" si="99"/>
        <v>SMB</v>
      </c>
      <c r="U639" t="str">
        <f t="shared" si="100"/>
        <v>Open</v>
      </c>
      <c r="V639" s="3">
        <f t="shared" si="101"/>
        <v>0</v>
      </c>
      <c r="W639" s="3">
        <f t="shared" si="102"/>
        <v>14450</v>
      </c>
      <c r="X639" s="5" t="str">
        <f t="shared" si="103"/>
        <v/>
      </c>
      <c r="Y639" s="5">
        <f>IF(U639="Open",Lookups!$B$2-B639,X639)</f>
        <v>457</v>
      </c>
      <c r="Z639" t="str">
        <f t="shared" si="104"/>
        <v>STALE</v>
      </c>
      <c r="AA639" t="str">
        <f t="shared" si="105"/>
        <v>2025-06</v>
      </c>
      <c r="AB639" t="str">
        <f t="shared" si="106"/>
        <v/>
      </c>
      <c r="AC639" t="str">
        <f t="shared" si="107"/>
        <v>Q2-2025</v>
      </c>
      <c r="AD639" s="5">
        <f t="shared" si="108"/>
        <v>64</v>
      </c>
      <c r="AE639" t="str">
        <f t="shared" si="109"/>
        <v>Commit</v>
      </c>
    </row>
    <row r="640" spans="1:31">
      <c r="A640" t="s">
        <v>742</v>
      </c>
      <c r="B640" s="1">
        <v>45914</v>
      </c>
      <c r="C640" t="s">
        <v>42</v>
      </c>
      <c r="D640" t="s">
        <v>43</v>
      </c>
      <c r="E640" t="s">
        <v>127</v>
      </c>
      <c r="F640" t="s">
        <v>133</v>
      </c>
      <c r="G640" t="s">
        <v>112</v>
      </c>
      <c r="H640" t="s">
        <v>47</v>
      </c>
      <c r="I640" t="s">
        <v>61</v>
      </c>
      <c r="J640" s="1">
        <v>45954</v>
      </c>
      <c r="K640" s="1">
        <v>45954</v>
      </c>
      <c r="L640" s="3">
        <v>30200</v>
      </c>
      <c r="M640" s="4">
        <v>0</v>
      </c>
      <c r="N640" s="4">
        <v>0</v>
      </c>
      <c r="O640" t="s">
        <v>81</v>
      </c>
      <c r="P640">
        <v>4</v>
      </c>
      <c r="Q640" t="str">
        <f>IFERROR(VLOOKUP(E640,Lookups!$A$5:$B$24,2,FALSE),"Other")</f>
        <v>Paid Search</v>
      </c>
      <c r="R640" t="str">
        <f>IFERROR(VLOOKUP(F640,Lookups!$D$5:$F$10,2,FALSE),"Unknown Product")</f>
        <v>Analytics Plus</v>
      </c>
      <c r="S640" t="str">
        <f>IFERROR(VLOOKUP(F640,Lookups!$D$5:$F$10,3,FALSE),"Unknown")</f>
        <v>Analytics</v>
      </c>
      <c r="T640" t="str">
        <f t="shared" si="99"/>
        <v>Mid-Market</v>
      </c>
      <c r="U640" t="str">
        <f t="shared" si="100"/>
        <v>Lost</v>
      </c>
      <c r="V640" s="3">
        <f t="shared" si="101"/>
        <v>0</v>
      </c>
      <c r="W640" s="3">
        <f t="shared" si="102"/>
        <v>0</v>
      </c>
      <c r="X640" s="5">
        <f t="shared" si="103"/>
        <v>40</v>
      </c>
      <c r="Y640" s="5">
        <f>IF(U640="Open",Lookups!$B$2-B640,X640)</f>
        <v>40</v>
      </c>
      <c r="Z640" t="str">
        <f t="shared" si="104"/>
        <v>OK</v>
      </c>
      <c r="AA640" t="str">
        <f t="shared" si="105"/>
        <v>2025-09</v>
      </c>
      <c r="AB640" t="str">
        <f t="shared" si="106"/>
        <v>2025-10</v>
      </c>
      <c r="AC640" t="str">
        <f t="shared" si="107"/>
        <v>Q3-2025</v>
      </c>
      <c r="AD640" s="5">
        <f t="shared" si="108"/>
        <v>56</v>
      </c>
      <c r="AE640" t="str">
        <f t="shared" si="109"/>
        <v>Lost</v>
      </c>
    </row>
    <row r="641" spans="1:31">
      <c r="A641" t="s">
        <v>743</v>
      </c>
      <c r="B641" s="1">
        <v>46036</v>
      </c>
      <c r="C641" t="s">
        <v>86</v>
      </c>
      <c r="D641" t="s">
        <v>87</v>
      </c>
      <c r="E641" t="s">
        <v>83</v>
      </c>
      <c r="F641" t="s">
        <v>59</v>
      </c>
      <c r="G641" t="s">
        <v>60</v>
      </c>
      <c r="H641" t="s">
        <v>53</v>
      </c>
      <c r="I641" t="s">
        <v>61</v>
      </c>
      <c r="J641" s="1">
        <v>46076</v>
      </c>
      <c r="K641" s="1">
        <v>46076</v>
      </c>
      <c r="L641" s="3">
        <v>35600</v>
      </c>
      <c r="M641" s="4">
        <v>0</v>
      </c>
      <c r="N641" s="4">
        <v>0</v>
      </c>
      <c r="O641" t="s">
        <v>79</v>
      </c>
      <c r="P641">
        <v>5</v>
      </c>
      <c r="Q641" t="str">
        <f>IFERROR(VLOOKUP(E641,Lookups!$A$5:$B$24,2,FALSE),"Other")</f>
        <v>Organic Search</v>
      </c>
      <c r="R641" t="str">
        <f>IFERROR(VLOOKUP(F641,Lookups!$D$5:$F$10,2,FALSE),"Unknown Product")</f>
        <v>NexaCRM Pro</v>
      </c>
      <c r="S641" t="str">
        <f>IFERROR(VLOOKUP(F641,Lookups!$D$5:$F$10,3,FALSE),"Unknown")</f>
        <v>CRM</v>
      </c>
      <c r="T641" t="str">
        <f t="shared" si="99"/>
        <v>Mid-Market</v>
      </c>
      <c r="U641" t="str">
        <f t="shared" si="100"/>
        <v>Lost</v>
      </c>
      <c r="V641" s="3">
        <f t="shared" si="101"/>
        <v>0</v>
      </c>
      <c r="W641" s="3">
        <f t="shared" si="102"/>
        <v>0</v>
      </c>
      <c r="X641" s="5">
        <f t="shared" si="103"/>
        <v>40</v>
      </c>
      <c r="Y641" s="5">
        <f>IF(U641="Open",Lookups!$B$2-B641,X641)</f>
        <v>40</v>
      </c>
      <c r="Z641" t="str">
        <f t="shared" si="104"/>
        <v>OK</v>
      </c>
      <c r="AA641" t="str">
        <f t="shared" si="105"/>
        <v>2026-01</v>
      </c>
      <c r="AB641" t="str">
        <f t="shared" si="106"/>
        <v>2026-02</v>
      </c>
      <c r="AC641" t="str">
        <f t="shared" si="107"/>
        <v>Q1-2026</v>
      </c>
      <c r="AD641" s="5">
        <f t="shared" si="108"/>
        <v>65</v>
      </c>
      <c r="AE641" t="str">
        <f t="shared" si="109"/>
        <v>Lost</v>
      </c>
    </row>
    <row r="642" spans="1:31">
      <c r="A642" t="s">
        <v>744</v>
      </c>
      <c r="B642" s="1">
        <v>45816</v>
      </c>
      <c r="C642" t="s">
        <v>50</v>
      </c>
      <c r="D642" t="s">
        <v>43</v>
      </c>
      <c r="E642" t="s">
        <v>127</v>
      </c>
      <c r="F642" t="s">
        <v>52</v>
      </c>
      <c r="G642" t="s">
        <v>60</v>
      </c>
      <c r="H642" t="s">
        <v>84</v>
      </c>
      <c r="I642" t="s">
        <v>61</v>
      </c>
      <c r="J642" s="1">
        <v>45869</v>
      </c>
      <c r="K642" s="1">
        <v>45869</v>
      </c>
      <c r="L642" s="3">
        <v>27700</v>
      </c>
      <c r="M642" s="4">
        <v>0</v>
      </c>
      <c r="N642" s="4">
        <v>0</v>
      </c>
      <c r="O642" t="s">
        <v>116</v>
      </c>
      <c r="P642">
        <v>4</v>
      </c>
      <c r="Q642" t="str">
        <f>IFERROR(VLOOKUP(E642,Lookups!$A$5:$B$24,2,FALSE),"Other")</f>
        <v>Paid Search</v>
      </c>
      <c r="R642" t="str">
        <f>IFERROR(VLOOKUP(F642,Lookups!$D$5:$F$10,2,FALSE),"Unknown Product")</f>
        <v>NexaCRM Core</v>
      </c>
      <c r="S642" t="str">
        <f>IFERROR(VLOOKUP(F642,Lookups!$D$5:$F$10,3,FALSE),"Unknown")</f>
        <v>CRM</v>
      </c>
      <c r="T642" t="str">
        <f t="shared" ref="T642:T705" si="110">IF(L642&gt;=50000,"Enterprise",IF(L642&gt;=20000,"Mid-Market","SMB"))</f>
        <v>Mid-Market</v>
      </c>
      <c r="U642" t="str">
        <f t="shared" ref="U642:U705" si="111">IF(I642="Closed Won","Won",IF(I642="Closed Lost","Lost","Open"))</f>
        <v>Lost</v>
      </c>
      <c r="V642" s="3">
        <f t="shared" ref="V642:V705" si="112">IF(U642="Won",L642*(1-M642),0)</f>
        <v>0</v>
      </c>
      <c r="W642" s="3">
        <f t="shared" ref="W642:W705" si="113">IF(U642="Open",L642*N642,0)</f>
        <v>0</v>
      </c>
      <c r="X642" s="5">
        <f t="shared" ref="X642:X705" si="114">IF(U642="Open","",IFERROR(K642-B642,""))</f>
        <v>53</v>
      </c>
      <c r="Y642" s="5">
        <f>IF(U642="Open",Lookups!$B$2-B642,X642)</f>
        <v>53</v>
      </c>
      <c r="Z642" t="str">
        <f t="shared" ref="Z642:Z705" si="115">IF(AND(U642="Open",Y642&gt;30),"STALE","OK")</f>
        <v>OK</v>
      </c>
      <c r="AA642" t="str">
        <f t="shared" ref="AA642:AA705" si="116">TEXT(B642,"yyyy-mm")</f>
        <v>2025-06</v>
      </c>
      <c r="AB642" t="str">
        <f t="shared" ref="AB642:AB705" si="117">IF(K642="","",TEXT(K642,"yyyy-mm"))</f>
        <v>2025-07</v>
      </c>
      <c r="AC642" t="str">
        <f t="shared" ref="AC642:AC705" si="118">"Q"&amp;ROUNDUP(MONTH(B642)/3,0)&amp;"-"&amp;YEAR(B642)</f>
        <v>Q2-2025</v>
      </c>
      <c r="AD642" s="5">
        <f t="shared" ref="AD642:AD705" si="119">MIN(100,IF(H642="Enterprise",30,IF(H642="Mid-Market",22,14))+IF(T642="Enterprise",25,IF(T642="Mid-Market",18,10))+IF(Q642="Referral",25,IF(Q642="Organic Search",20,IF(Q642="Email",18,14)))+IF(G642="Technology",10,5))</f>
        <v>67</v>
      </c>
      <c r="AE642" t="str">
        <f t="shared" ref="AE642:AE705" si="120">IF(U642&lt;&gt;"Open",U642,IF(N642&gt;=0.8,"Commit",IF(N642&gt;=0.5,"Best Case","Pipeline")))</f>
        <v>Lost</v>
      </c>
    </row>
    <row r="643" spans="1:31">
      <c r="A643" t="s">
        <v>745</v>
      </c>
      <c r="B643" s="1">
        <v>45669</v>
      </c>
      <c r="C643" t="s">
        <v>56</v>
      </c>
      <c r="D643" t="s">
        <v>57</v>
      </c>
      <c r="E643" t="s">
        <v>160</v>
      </c>
      <c r="F643" t="s">
        <v>67</v>
      </c>
      <c r="G643" t="s">
        <v>46</v>
      </c>
      <c r="H643" t="s">
        <v>53</v>
      </c>
      <c r="I643" t="s">
        <v>48</v>
      </c>
      <c r="J643" s="1">
        <v>46122</v>
      </c>
      <c r="K643" s="1"/>
      <c r="L643" s="3">
        <v>73300</v>
      </c>
      <c r="M643" s="4">
        <v>0.03</v>
      </c>
      <c r="N643" s="4">
        <v>0.85</v>
      </c>
      <c r="P643">
        <v>5</v>
      </c>
      <c r="Q643" t="str">
        <f>IFERROR(VLOOKUP(E643,Lookups!$A$5:$B$24,2,FALSE),"Other")</f>
        <v>Email</v>
      </c>
      <c r="R643" t="str">
        <f>IFERROR(VLOOKUP(F643,Lookups!$D$5:$F$10,2,FALSE),"Unknown Product")</f>
        <v>Revenue Operations Suite</v>
      </c>
      <c r="S643" t="str">
        <f>IFERROR(VLOOKUP(F643,Lookups!$D$5:$F$10,3,FALSE),"Unknown")</f>
        <v>Revenue Ops</v>
      </c>
      <c r="T643" t="str">
        <f t="shared" si="110"/>
        <v>Enterprise</v>
      </c>
      <c r="U643" t="str">
        <f t="shared" si="111"/>
        <v>Open</v>
      </c>
      <c r="V643" s="3">
        <f t="shared" si="112"/>
        <v>0</v>
      </c>
      <c r="W643" s="3">
        <f t="shared" si="113"/>
        <v>62305</v>
      </c>
      <c r="X643" s="5" t="str">
        <f t="shared" si="114"/>
        <v/>
      </c>
      <c r="Y643" s="5">
        <f>IF(U643="Open",Lookups!$B$2-B643,X643)</f>
        <v>597</v>
      </c>
      <c r="Z643" t="str">
        <f t="shared" si="115"/>
        <v>STALE</v>
      </c>
      <c r="AA643" t="str">
        <f t="shared" si="116"/>
        <v>2025-01</v>
      </c>
      <c r="AB643" t="str">
        <f t="shared" si="117"/>
        <v/>
      </c>
      <c r="AC643" t="str">
        <f t="shared" si="118"/>
        <v>Q1-2025</v>
      </c>
      <c r="AD643" s="5">
        <f t="shared" si="119"/>
        <v>70</v>
      </c>
      <c r="AE643" t="str">
        <f t="shared" si="120"/>
        <v>Commit</v>
      </c>
    </row>
    <row r="644" spans="1:31">
      <c r="A644" t="s">
        <v>746</v>
      </c>
      <c r="B644" s="1">
        <v>46110</v>
      </c>
      <c r="C644" t="s">
        <v>90</v>
      </c>
      <c r="D644" t="s">
        <v>57</v>
      </c>
      <c r="E644" t="s">
        <v>127</v>
      </c>
      <c r="F644" t="s">
        <v>52</v>
      </c>
      <c r="G644" t="s">
        <v>72</v>
      </c>
      <c r="H644" t="s">
        <v>47</v>
      </c>
      <c r="I644" t="s">
        <v>61</v>
      </c>
      <c r="J644" s="1">
        <v>46132</v>
      </c>
      <c r="K644" s="1">
        <v>46132</v>
      </c>
      <c r="L644" s="3">
        <v>8900</v>
      </c>
      <c r="M644" s="4">
        <v>0</v>
      </c>
      <c r="N644" s="4">
        <v>0</v>
      </c>
      <c r="O644" t="s">
        <v>81</v>
      </c>
      <c r="P644">
        <v>3</v>
      </c>
      <c r="Q644" t="str">
        <f>IFERROR(VLOOKUP(E644,Lookups!$A$5:$B$24,2,FALSE),"Other")</f>
        <v>Paid Search</v>
      </c>
      <c r="R644" t="str">
        <f>IFERROR(VLOOKUP(F644,Lookups!$D$5:$F$10,2,FALSE),"Unknown Product")</f>
        <v>NexaCRM Core</v>
      </c>
      <c r="S644" t="str">
        <f>IFERROR(VLOOKUP(F644,Lookups!$D$5:$F$10,3,FALSE),"Unknown")</f>
        <v>CRM</v>
      </c>
      <c r="T644" t="str">
        <f t="shared" si="110"/>
        <v>SMB</v>
      </c>
      <c r="U644" t="str">
        <f t="shared" si="111"/>
        <v>Lost</v>
      </c>
      <c r="V644" s="3">
        <f t="shared" si="112"/>
        <v>0</v>
      </c>
      <c r="W644" s="3">
        <f t="shared" si="113"/>
        <v>0</v>
      </c>
      <c r="X644" s="5">
        <f t="shared" si="114"/>
        <v>22</v>
      </c>
      <c r="Y644" s="5">
        <f>IF(U644="Open",Lookups!$B$2-B644,X644)</f>
        <v>22</v>
      </c>
      <c r="Z644" t="str">
        <f t="shared" si="115"/>
        <v>OK</v>
      </c>
      <c r="AA644" t="str">
        <f t="shared" si="116"/>
        <v>2026-03</v>
      </c>
      <c r="AB644" t="str">
        <f t="shared" si="117"/>
        <v>2026-04</v>
      </c>
      <c r="AC644" t="str">
        <f t="shared" si="118"/>
        <v>Q1-2026</v>
      </c>
      <c r="AD644" s="5">
        <f t="shared" si="119"/>
        <v>43</v>
      </c>
      <c r="AE644" t="str">
        <f t="shared" si="120"/>
        <v>Lost</v>
      </c>
    </row>
    <row r="645" spans="1:31">
      <c r="A645" t="s">
        <v>747</v>
      </c>
      <c r="B645" s="1">
        <v>45960</v>
      </c>
      <c r="C645" t="s">
        <v>148</v>
      </c>
      <c r="D645" t="s">
        <v>43</v>
      </c>
      <c r="E645" t="s">
        <v>98</v>
      </c>
      <c r="F645" t="s">
        <v>71</v>
      </c>
      <c r="G645" t="s">
        <v>76</v>
      </c>
      <c r="H645" t="s">
        <v>53</v>
      </c>
      <c r="I645" t="s">
        <v>61</v>
      </c>
      <c r="J645" s="1">
        <v>46005</v>
      </c>
      <c r="K645" s="1">
        <v>46005</v>
      </c>
      <c r="L645" s="3">
        <v>35400</v>
      </c>
      <c r="M645" s="4">
        <v>0</v>
      </c>
      <c r="N645" s="4">
        <v>0</v>
      </c>
      <c r="O645" t="s">
        <v>79</v>
      </c>
      <c r="P645">
        <v>4</v>
      </c>
      <c r="Q645" t="str">
        <f>IFERROR(VLOOKUP(E645,Lookups!$A$5:$B$24,2,FALSE),"Other")</f>
        <v>Outbound</v>
      </c>
      <c r="R645" t="str">
        <f>IFERROR(VLOOKUP(F645,Lookups!$D$5:$F$10,2,FALSE),"Unknown Product")</f>
        <v>Marketing Automation</v>
      </c>
      <c r="S645" t="str">
        <f>IFERROR(VLOOKUP(F645,Lookups!$D$5:$F$10,3,FALSE),"Unknown")</f>
        <v>Marketing</v>
      </c>
      <c r="T645" t="str">
        <f t="shared" si="110"/>
        <v>Mid-Market</v>
      </c>
      <c r="U645" t="str">
        <f t="shared" si="111"/>
        <v>Lost</v>
      </c>
      <c r="V645" s="3">
        <f t="shared" si="112"/>
        <v>0</v>
      </c>
      <c r="W645" s="3">
        <f t="shared" si="113"/>
        <v>0</v>
      </c>
      <c r="X645" s="5">
        <f t="shared" si="114"/>
        <v>45</v>
      </c>
      <c r="Y645" s="5">
        <f>IF(U645="Open",Lookups!$B$2-B645,X645)</f>
        <v>45</v>
      </c>
      <c r="Z645" t="str">
        <f t="shared" si="115"/>
        <v>OK</v>
      </c>
      <c r="AA645" t="str">
        <f t="shared" si="116"/>
        <v>2025-10</v>
      </c>
      <c r="AB645" t="str">
        <f t="shared" si="117"/>
        <v>2025-12</v>
      </c>
      <c r="AC645" t="str">
        <f t="shared" si="118"/>
        <v>Q4-2025</v>
      </c>
      <c r="AD645" s="5">
        <f t="shared" si="119"/>
        <v>59</v>
      </c>
      <c r="AE645" t="str">
        <f t="shared" si="120"/>
        <v>Lost</v>
      </c>
    </row>
    <row r="646" spans="1:31">
      <c r="A646" t="s">
        <v>748</v>
      </c>
      <c r="B646" s="1">
        <v>45957</v>
      </c>
      <c r="C646" t="s">
        <v>86</v>
      </c>
      <c r="D646" t="s">
        <v>87</v>
      </c>
      <c r="E646" t="s">
        <v>58</v>
      </c>
      <c r="F646" t="s">
        <v>59</v>
      </c>
      <c r="G646" t="s">
        <v>76</v>
      </c>
      <c r="H646" t="s">
        <v>47</v>
      </c>
      <c r="I646" t="s">
        <v>61</v>
      </c>
      <c r="J646" s="1">
        <v>46010</v>
      </c>
      <c r="K646" s="1">
        <v>46010</v>
      </c>
      <c r="L646" s="3">
        <v>20700</v>
      </c>
      <c r="M646" s="4">
        <v>0</v>
      </c>
      <c r="N646" s="4">
        <v>0</v>
      </c>
      <c r="O646" t="s">
        <v>110</v>
      </c>
      <c r="P646">
        <v>4</v>
      </c>
      <c r="Q646" t="str">
        <f>IFERROR(VLOOKUP(E646,Lookups!$A$5:$B$24,2,FALSE),"Other")</f>
        <v>Email</v>
      </c>
      <c r="R646" t="str">
        <f>IFERROR(VLOOKUP(F646,Lookups!$D$5:$F$10,2,FALSE),"Unknown Product")</f>
        <v>NexaCRM Pro</v>
      </c>
      <c r="S646" t="str">
        <f>IFERROR(VLOOKUP(F646,Lookups!$D$5:$F$10,3,FALSE),"Unknown")</f>
        <v>CRM</v>
      </c>
      <c r="T646" t="str">
        <f t="shared" si="110"/>
        <v>Mid-Market</v>
      </c>
      <c r="U646" t="str">
        <f t="shared" si="111"/>
        <v>Lost</v>
      </c>
      <c r="V646" s="3">
        <f t="shared" si="112"/>
        <v>0</v>
      </c>
      <c r="W646" s="3">
        <f t="shared" si="113"/>
        <v>0</v>
      </c>
      <c r="X646" s="5">
        <f t="shared" si="114"/>
        <v>53</v>
      </c>
      <c r="Y646" s="5">
        <f>IF(U646="Open",Lookups!$B$2-B646,X646)</f>
        <v>53</v>
      </c>
      <c r="Z646" t="str">
        <f t="shared" si="115"/>
        <v>OK</v>
      </c>
      <c r="AA646" t="str">
        <f t="shared" si="116"/>
        <v>2025-10</v>
      </c>
      <c r="AB646" t="str">
        <f t="shared" si="117"/>
        <v>2025-12</v>
      </c>
      <c r="AC646" t="str">
        <f t="shared" si="118"/>
        <v>Q4-2025</v>
      </c>
      <c r="AD646" s="5">
        <f t="shared" si="119"/>
        <v>55</v>
      </c>
      <c r="AE646" t="str">
        <f t="shared" si="120"/>
        <v>Lost</v>
      </c>
    </row>
    <row r="647" spans="1:31">
      <c r="A647" t="s">
        <v>749</v>
      </c>
      <c r="B647" s="1">
        <v>45743</v>
      </c>
      <c r="C647" t="s">
        <v>42</v>
      </c>
      <c r="D647" t="s">
        <v>43</v>
      </c>
      <c r="E647" t="s">
        <v>65</v>
      </c>
      <c r="F647" t="s">
        <v>52</v>
      </c>
      <c r="G647" t="s">
        <v>112</v>
      </c>
      <c r="H647" t="s">
        <v>53</v>
      </c>
      <c r="I647" t="s">
        <v>61</v>
      </c>
      <c r="J647" s="1">
        <v>45788</v>
      </c>
      <c r="K647" s="1">
        <v>45788</v>
      </c>
      <c r="L647" s="3">
        <v>10200</v>
      </c>
      <c r="M647" s="4">
        <v>0</v>
      </c>
      <c r="N647" s="4">
        <v>0</v>
      </c>
      <c r="O647" t="s">
        <v>81</v>
      </c>
      <c r="P647">
        <v>4</v>
      </c>
      <c r="Q647" t="str">
        <f>IFERROR(VLOOKUP(E647,Lookups!$A$5:$B$24,2,FALSE),"Other")</f>
        <v>Paid Search</v>
      </c>
      <c r="R647" t="str">
        <f>IFERROR(VLOOKUP(F647,Lookups!$D$5:$F$10,2,FALSE),"Unknown Product")</f>
        <v>NexaCRM Core</v>
      </c>
      <c r="S647" t="str">
        <f>IFERROR(VLOOKUP(F647,Lookups!$D$5:$F$10,3,FALSE),"Unknown")</f>
        <v>CRM</v>
      </c>
      <c r="T647" t="str">
        <f t="shared" si="110"/>
        <v>SMB</v>
      </c>
      <c r="U647" t="str">
        <f t="shared" si="111"/>
        <v>Lost</v>
      </c>
      <c r="V647" s="3">
        <f t="shared" si="112"/>
        <v>0</v>
      </c>
      <c r="W647" s="3">
        <f t="shared" si="113"/>
        <v>0</v>
      </c>
      <c r="X647" s="5">
        <f t="shared" si="114"/>
        <v>45</v>
      </c>
      <c r="Y647" s="5">
        <f>IF(U647="Open",Lookups!$B$2-B647,X647)</f>
        <v>45</v>
      </c>
      <c r="Z647" t="str">
        <f t="shared" si="115"/>
        <v>OK</v>
      </c>
      <c r="AA647" t="str">
        <f t="shared" si="116"/>
        <v>2025-03</v>
      </c>
      <c r="AB647" t="str">
        <f t="shared" si="117"/>
        <v>2025-05</v>
      </c>
      <c r="AC647" t="str">
        <f t="shared" si="118"/>
        <v>Q1-2025</v>
      </c>
      <c r="AD647" s="5">
        <f t="shared" si="119"/>
        <v>56</v>
      </c>
      <c r="AE647" t="str">
        <f t="shared" si="120"/>
        <v>Lost</v>
      </c>
    </row>
    <row r="648" spans="1:31">
      <c r="A648" t="s">
        <v>750</v>
      </c>
      <c r="B648" s="1">
        <v>45658</v>
      </c>
      <c r="C648" t="s">
        <v>64</v>
      </c>
      <c r="D648" t="s">
        <v>57</v>
      </c>
      <c r="E648" t="s">
        <v>115</v>
      </c>
      <c r="F648" t="s">
        <v>59</v>
      </c>
      <c r="G648" t="s">
        <v>60</v>
      </c>
      <c r="H648" t="s">
        <v>53</v>
      </c>
      <c r="I648" t="s">
        <v>77</v>
      </c>
      <c r="J648" s="1">
        <v>45728</v>
      </c>
      <c r="K648" s="1">
        <v>45728</v>
      </c>
      <c r="L648" s="3">
        <v>29500</v>
      </c>
      <c r="M648" s="4">
        <v>0.03</v>
      </c>
      <c r="N648" s="4">
        <v>1</v>
      </c>
      <c r="P648">
        <v>6</v>
      </c>
      <c r="Q648" t="str">
        <f>IFERROR(VLOOKUP(E648,Lookups!$A$5:$B$24,2,FALSE),"Other")</f>
        <v>Outbound</v>
      </c>
      <c r="R648" t="str">
        <f>IFERROR(VLOOKUP(F648,Lookups!$D$5:$F$10,2,FALSE),"Unknown Product")</f>
        <v>NexaCRM Pro</v>
      </c>
      <c r="S648" t="str">
        <f>IFERROR(VLOOKUP(F648,Lookups!$D$5:$F$10,3,FALSE),"Unknown")</f>
        <v>CRM</v>
      </c>
      <c r="T648" t="str">
        <f t="shared" si="110"/>
        <v>Mid-Market</v>
      </c>
      <c r="U648" t="str">
        <f t="shared" si="111"/>
        <v>Won</v>
      </c>
      <c r="V648" s="3">
        <f t="shared" si="112"/>
        <v>28615</v>
      </c>
      <c r="W648" s="3">
        <f t="shared" si="113"/>
        <v>0</v>
      </c>
      <c r="X648" s="5">
        <f t="shared" si="114"/>
        <v>70</v>
      </c>
      <c r="Y648" s="5">
        <f>IF(U648="Open",Lookups!$B$2-B648,X648)</f>
        <v>70</v>
      </c>
      <c r="Z648" t="str">
        <f t="shared" si="115"/>
        <v>OK</v>
      </c>
      <c r="AA648" t="str">
        <f t="shared" si="116"/>
        <v>2025-01</v>
      </c>
      <c r="AB648" t="str">
        <f t="shared" si="117"/>
        <v>2025-03</v>
      </c>
      <c r="AC648" t="str">
        <f t="shared" si="118"/>
        <v>Q1-2025</v>
      </c>
      <c r="AD648" s="5">
        <f t="shared" si="119"/>
        <v>59</v>
      </c>
      <c r="AE648" t="str">
        <f t="shared" si="120"/>
        <v>Won</v>
      </c>
    </row>
    <row r="649" spans="1:31">
      <c r="A649" t="s">
        <v>751</v>
      </c>
      <c r="B649" s="1">
        <v>45728</v>
      </c>
      <c r="C649" t="s">
        <v>50</v>
      </c>
      <c r="D649" t="s">
        <v>43</v>
      </c>
      <c r="E649" t="s">
        <v>119</v>
      </c>
      <c r="F649" t="s">
        <v>67</v>
      </c>
      <c r="G649" t="s">
        <v>72</v>
      </c>
      <c r="H649" t="s">
        <v>53</v>
      </c>
      <c r="I649" t="s">
        <v>61</v>
      </c>
      <c r="J649" s="1">
        <v>45780</v>
      </c>
      <c r="K649" s="1">
        <v>45780</v>
      </c>
      <c r="L649" s="3">
        <v>72200</v>
      </c>
      <c r="M649" s="4">
        <v>0</v>
      </c>
      <c r="N649" s="4">
        <v>0</v>
      </c>
      <c r="O649" t="s">
        <v>81</v>
      </c>
      <c r="P649">
        <v>3</v>
      </c>
      <c r="Q649" t="str">
        <f>IFERROR(VLOOKUP(E649,Lookups!$A$5:$B$24,2,FALSE),"Other")</f>
        <v>Referral</v>
      </c>
      <c r="R649" t="str">
        <f>IFERROR(VLOOKUP(F649,Lookups!$D$5:$F$10,2,FALSE),"Unknown Product")</f>
        <v>Revenue Operations Suite</v>
      </c>
      <c r="S649" t="str">
        <f>IFERROR(VLOOKUP(F649,Lookups!$D$5:$F$10,3,FALSE),"Unknown")</f>
        <v>Revenue Ops</v>
      </c>
      <c r="T649" t="str">
        <f t="shared" si="110"/>
        <v>Enterprise</v>
      </c>
      <c r="U649" t="str">
        <f t="shared" si="111"/>
        <v>Lost</v>
      </c>
      <c r="V649" s="3">
        <f t="shared" si="112"/>
        <v>0</v>
      </c>
      <c r="W649" s="3">
        <f t="shared" si="113"/>
        <v>0</v>
      </c>
      <c r="X649" s="5">
        <f t="shared" si="114"/>
        <v>52</v>
      </c>
      <c r="Y649" s="5">
        <f>IF(U649="Open",Lookups!$B$2-B649,X649)</f>
        <v>52</v>
      </c>
      <c r="Z649" t="str">
        <f t="shared" si="115"/>
        <v>OK</v>
      </c>
      <c r="AA649" t="str">
        <f t="shared" si="116"/>
        <v>2025-03</v>
      </c>
      <c r="AB649" t="str">
        <f t="shared" si="117"/>
        <v>2025-05</v>
      </c>
      <c r="AC649" t="str">
        <f t="shared" si="118"/>
        <v>Q1-2025</v>
      </c>
      <c r="AD649" s="5">
        <f t="shared" si="119"/>
        <v>77</v>
      </c>
      <c r="AE649" t="str">
        <f t="shared" si="120"/>
        <v>Lost</v>
      </c>
    </row>
    <row r="650" spans="1:31">
      <c r="A650" t="s">
        <v>752</v>
      </c>
      <c r="B650" s="1">
        <v>45795</v>
      </c>
      <c r="C650" t="s">
        <v>86</v>
      </c>
      <c r="D650" t="s">
        <v>87</v>
      </c>
      <c r="E650" t="s">
        <v>58</v>
      </c>
      <c r="F650" t="s">
        <v>52</v>
      </c>
      <c r="G650" t="s">
        <v>72</v>
      </c>
      <c r="H650" t="s">
        <v>47</v>
      </c>
      <c r="I650" t="s">
        <v>61</v>
      </c>
      <c r="J650" s="1">
        <v>45821</v>
      </c>
      <c r="K650" s="1">
        <v>45821</v>
      </c>
      <c r="L650" s="3">
        <v>5900</v>
      </c>
      <c r="M650" s="4">
        <v>0</v>
      </c>
      <c r="N650" s="4">
        <v>0</v>
      </c>
      <c r="O650" t="s">
        <v>116</v>
      </c>
      <c r="P650">
        <v>2</v>
      </c>
      <c r="Q650" t="str">
        <f>IFERROR(VLOOKUP(E650,Lookups!$A$5:$B$24,2,FALSE),"Other")</f>
        <v>Email</v>
      </c>
      <c r="R650" t="str">
        <f>IFERROR(VLOOKUP(F650,Lookups!$D$5:$F$10,2,FALSE),"Unknown Product")</f>
        <v>NexaCRM Core</v>
      </c>
      <c r="S650" t="str">
        <f>IFERROR(VLOOKUP(F650,Lookups!$D$5:$F$10,3,FALSE),"Unknown")</f>
        <v>CRM</v>
      </c>
      <c r="T650" t="str">
        <f t="shared" si="110"/>
        <v>SMB</v>
      </c>
      <c r="U650" t="str">
        <f t="shared" si="111"/>
        <v>Lost</v>
      </c>
      <c r="V650" s="3">
        <f t="shared" si="112"/>
        <v>0</v>
      </c>
      <c r="W650" s="3">
        <f t="shared" si="113"/>
        <v>0</v>
      </c>
      <c r="X650" s="5">
        <f t="shared" si="114"/>
        <v>26</v>
      </c>
      <c r="Y650" s="5">
        <f>IF(U650="Open",Lookups!$B$2-B650,X650)</f>
        <v>26</v>
      </c>
      <c r="Z650" t="str">
        <f t="shared" si="115"/>
        <v>OK</v>
      </c>
      <c r="AA650" t="str">
        <f t="shared" si="116"/>
        <v>2025-05</v>
      </c>
      <c r="AB650" t="str">
        <f t="shared" si="117"/>
        <v>2025-06</v>
      </c>
      <c r="AC650" t="str">
        <f t="shared" si="118"/>
        <v>Q2-2025</v>
      </c>
      <c r="AD650" s="5">
        <f t="shared" si="119"/>
        <v>47</v>
      </c>
      <c r="AE650" t="str">
        <f t="shared" si="120"/>
        <v>Lost</v>
      </c>
    </row>
    <row r="651" spans="1:31">
      <c r="A651" t="s">
        <v>753</v>
      </c>
      <c r="B651" s="1">
        <v>45749</v>
      </c>
      <c r="C651" t="s">
        <v>64</v>
      </c>
      <c r="D651" t="s">
        <v>57</v>
      </c>
      <c r="E651" t="s">
        <v>98</v>
      </c>
      <c r="F651" t="s">
        <v>71</v>
      </c>
      <c r="G651" t="s">
        <v>76</v>
      </c>
      <c r="H651" t="s">
        <v>84</v>
      </c>
      <c r="I651" t="s">
        <v>61</v>
      </c>
      <c r="J651" s="1">
        <v>45803</v>
      </c>
      <c r="K651" s="1">
        <v>45803</v>
      </c>
      <c r="L651" s="3">
        <v>69000</v>
      </c>
      <c r="M651" s="4">
        <v>0</v>
      </c>
      <c r="N651" s="4">
        <v>0</v>
      </c>
      <c r="O651" t="s">
        <v>81</v>
      </c>
      <c r="P651">
        <v>3</v>
      </c>
      <c r="Q651" t="str">
        <f>IFERROR(VLOOKUP(E651,Lookups!$A$5:$B$24,2,FALSE),"Other")</f>
        <v>Outbound</v>
      </c>
      <c r="R651" t="str">
        <f>IFERROR(VLOOKUP(F651,Lookups!$D$5:$F$10,2,FALSE),"Unknown Product")</f>
        <v>Marketing Automation</v>
      </c>
      <c r="S651" t="str">
        <f>IFERROR(VLOOKUP(F651,Lookups!$D$5:$F$10,3,FALSE),"Unknown")</f>
        <v>Marketing</v>
      </c>
      <c r="T651" t="str">
        <f t="shared" si="110"/>
        <v>Enterprise</v>
      </c>
      <c r="U651" t="str">
        <f t="shared" si="111"/>
        <v>Lost</v>
      </c>
      <c r="V651" s="3">
        <f t="shared" si="112"/>
        <v>0</v>
      </c>
      <c r="W651" s="3">
        <f t="shared" si="113"/>
        <v>0</v>
      </c>
      <c r="X651" s="5">
        <f t="shared" si="114"/>
        <v>54</v>
      </c>
      <c r="Y651" s="5">
        <f>IF(U651="Open",Lookups!$B$2-B651,X651)</f>
        <v>54</v>
      </c>
      <c r="Z651" t="str">
        <f t="shared" si="115"/>
        <v>OK</v>
      </c>
      <c r="AA651" t="str">
        <f t="shared" si="116"/>
        <v>2025-04</v>
      </c>
      <c r="AB651" t="str">
        <f t="shared" si="117"/>
        <v>2025-05</v>
      </c>
      <c r="AC651" t="str">
        <f t="shared" si="118"/>
        <v>Q2-2025</v>
      </c>
      <c r="AD651" s="5">
        <f t="shared" si="119"/>
        <v>74</v>
      </c>
      <c r="AE651" t="str">
        <f t="shared" si="120"/>
        <v>Lost</v>
      </c>
    </row>
    <row r="652" spans="1:31">
      <c r="A652" t="s">
        <v>754</v>
      </c>
      <c r="B652" s="1">
        <v>45840</v>
      </c>
      <c r="C652" t="s">
        <v>90</v>
      </c>
      <c r="D652" t="s">
        <v>57</v>
      </c>
      <c r="E652" t="s">
        <v>109</v>
      </c>
      <c r="F652" t="s">
        <v>71</v>
      </c>
      <c r="G652" t="s">
        <v>76</v>
      </c>
      <c r="H652" t="s">
        <v>84</v>
      </c>
      <c r="I652" t="s">
        <v>61</v>
      </c>
      <c r="J652" s="1">
        <v>45884</v>
      </c>
      <c r="K652" s="1">
        <v>45884</v>
      </c>
      <c r="L652" s="3">
        <v>70600</v>
      </c>
      <c r="M652" s="4">
        <v>0</v>
      </c>
      <c r="N652" s="4">
        <v>0</v>
      </c>
      <c r="O652" t="s">
        <v>81</v>
      </c>
      <c r="P652">
        <v>5</v>
      </c>
      <c r="Q652" t="str">
        <f>IFERROR(VLOOKUP(E652,Lookups!$A$5:$B$24,2,FALSE),"Other")</f>
        <v>Outbound</v>
      </c>
      <c r="R652" t="str">
        <f>IFERROR(VLOOKUP(F652,Lookups!$D$5:$F$10,2,FALSE),"Unknown Product")</f>
        <v>Marketing Automation</v>
      </c>
      <c r="S652" t="str">
        <f>IFERROR(VLOOKUP(F652,Lookups!$D$5:$F$10,3,FALSE),"Unknown")</f>
        <v>Marketing</v>
      </c>
      <c r="T652" t="str">
        <f t="shared" si="110"/>
        <v>Enterprise</v>
      </c>
      <c r="U652" t="str">
        <f t="shared" si="111"/>
        <v>Lost</v>
      </c>
      <c r="V652" s="3">
        <f t="shared" si="112"/>
        <v>0</v>
      </c>
      <c r="W652" s="3">
        <f t="shared" si="113"/>
        <v>0</v>
      </c>
      <c r="X652" s="5">
        <f t="shared" si="114"/>
        <v>44</v>
      </c>
      <c r="Y652" s="5">
        <f>IF(U652="Open",Lookups!$B$2-B652,X652)</f>
        <v>44</v>
      </c>
      <c r="Z652" t="str">
        <f t="shared" si="115"/>
        <v>OK</v>
      </c>
      <c r="AA652" t="str">
        <f t="shared" si="116"/>
        <v>2025-07</v>
      </c>
      <c r="AB652" t="str">
        <f t="shared" si="117"/>
        <v>2025-08</v>
      </c>
      <c r="AC652" t="str">
        <f t="shared" si="118"/>
        <v>Q3-2025</v>
      </c>
      <c r="AD652" s="5">
        <f t="shared" si="119"/>
        <v>74</v>
      </c>
      <c r="AE652" t="str">
        <f t="shared" si="120"/>
        <v>Lost</v>
      </c>
    </row>
    <row r="653" spans="1:31">
      <c r="A653" t="s">
        <v>755</v>
      </c>
      <c r="B653" s="1">
        <v>46189</v>
      </c>
      <c r="C653" t="s">
        <v>86</v>
      </c>
      <c r="D653" t="s">
        <v>87</v>
      </c>
      <c r="E653" t="s">
        <v>44</v>
      </c>
      <c r="F653" t="s">
        <v>45</v>
      </c>
      <c r="G653" t="s">
        <v>60</v>
      </c>
      <c r="H653" t="s">
        <v>53</v>
      </c>
      <c r="I653" t="s">
        <v>61</v>
      </c>
      <c r="J653" s="1">
        <v>46266</v>
      </c>
      <c r="K653" s="1">
        <v>46266</v>
      </c>
      <c r="L653" s="3">
        <v>50100</v>
      </c>
      <c r="M653" s="4">
        <v>0</v>
      </c>
      <c r="N653" s="4">
        <v>0</v>
      </c>
      <c r="O653" t="s">
        <v>116</v>
      </c>
      <c r="P653">
        <v>5</v>
      </c>
      <c r="Q653" t="str">
        <f>IFERROR(VLOOKUP(E653,Lookups!$A$5:$B$24,2,FALSE),"Other")</f>
        <v>Organic Search</v>
      </c>
      <c r="R653" t="str">
        <f>IFERROR(VLOOKUP(F653,Lookups!$D$5:$F$10,2,FALSE),"Unknown Product")</f>
        <v>Service Cloud</v>
      </c>
      <c r="S653" t="str">
        <f>IFERROR(VLOOKUP(F653,Lookups!$D$5:$F$10,3,FALSE),"Unknown")</f>
        <v>Customer Service</v>
      </c>
      <c r="T653" t="str">
        <f t="shared" si="110"/>
        <v>Enterprise</v>
      </c>
      <c r="U653" t="str">
        <f t="shared" si="111"/>
        <v>Lost</v>
      </c>
      <c r="V653" s="3">
        <f t="shared" si="112"/>
        <v>0</v>
      </c>
      <c r="W653" s="3">
        <f t="shared" si="113"/>
        <v>0</v>
      </c>
      <c r="X653" s="5">
        <f t="shared" si="114"/>
        <v>77</v>
      </c>
      <c r="Y653" s="5">
        <f>IF(U653="Open",Lookups!$B$2-B653,X653)</f>
        <v>77</v>
      </c>
      <c r="Z653" t="str">
        <f t="shared" si="115"/>
        <v>OK</v>
      </c>
      <c r="AA653" t="str">
        <f t="shared" si="116"/>
        <v>2026-06</v>
      </c>
      <c r="AB653" t="str">
        <f t="shared" si="117"/>
        <v>2026-09</v>
      </c>
      <c r="AC653" t="str">
        <f t="shared" si="118"/>
        <v>Q2-2026</v>
      </c>
      <c r="AD653" s="5">
        <f t="shared" si="119"/>
        <v>72</v>
      </c>
      <c r="AE653" t="str">
        <f t="shared" si="120"/>
        <v>Lost</v>
      </c>
    </row>
    <row r="654" spans="1:31">
      <c r="A654" t="s">
        <v>756</v>
      </c>
      <c r="B654" s="1">
        <v>46146</v>
      </c>
      <c r="C654" t="s">
        <v>64</v>
      </c>
      <c r="D654" t="s">
        <v>57</v>
      </c>
      <c r="E654" t="s">
        <v>146</v>
      </c>
      <c r="F654" t="s">
        <v>133</v>
      </c>
      <c r="G654" t="s">
        <v>76</v>
      </c>
      <c r="H654" t="s">
        <v>47</v>
      </c>
      <c r="I654" t="s">
        <v>54</v>
      </c>
      <c r="J654" s="1">
        <v>46217</v>
      </c>
      <c r="K654" s="1"/>
      <c r="L654" s="3">
        <v>22200</v>
      </c>
      <c r="M654" s="4">
        <v>0.05</v>
      </c>
      <c r="N654" s="4">
        <v>0.65</v>
      </c>
      <c r="P654">
        <v>4</v>
      </c>
      <c r="Q654" t="str">
        <f>IFERROR(VLOOKUP(E654,Lookups!$A$5:$B$24,2,FALSE),"Other")</f>
        <v>LinkedIn</v>
      </c>
      <c r="R654" t="str">
        <f>IFERROR(VLOOKUP(F654,Lookups!$D$5:$F$10,2,FALSE),"Unknown Product")</f>
        <v>Analytics Plus</v>
      </c>
      <c r="S654" t="str">
        <f>IFERROR(VLOOKUP(F654,Lookups!$D$5:$F$10,3,FALSE),"Unknown")</f>
        <v>Analytics</v>
      </c>
      <c r="T654" t="str">
        <f t="shared" si="110"/>
        <v>Mid-Market</v>
      </c>
      <c r="U654" t="str">
        <f t="shared" si="111"/>
        <v>Open</v>
      </c>
      <c r="V654" s="3">
        <f t="shared" si="112"/>
        <v>0</v>
      </c>
      <c r="W654" s="3">
        <f t="shared" si="113"/>
        <v>14430</v>
      </c>
      <c r="X654" s="5" t="str">
        <f t="shared" si="114"/>
        <v/>
      </c>
      <c r="Y654" s="5">
        <f>IF(U654="Open",Lookups!$B$2-B654,X654)</f>
        <v>120</v>
      </c>
      <c r="Z654" t="str">
        <f t="shared" si="115"/>
        <v>STALE</v>
      </c>
      <c r="AA654" t="str">
        <f t="shared" si="116"/>
        <v>2026-05</v>
      </c>
      <c r="AB654" t="str">
        <f t="shared" si="117"/>
        <v/>
      </c>
      <c r="AC654" t="str">
        <f t="shared" si="118"/>
        <v>Q2-2026</v>
      </c>
      <c r="AD654" s="5">
        <f t="shared" si="119"/>
        <v>51</v>
      </c>
      <c r="AE654" t="str">
        <f t="shared" si="120"/>
        <v>Best Case</v>
      </c>
    </row>
    <row r="655" spans="1:31">
      <c r="A655" t="s">
        <v>757</v>
      </c>
      <c r="B655" s="1">
        <v>45703</v>
      </c>
      <c r="C655" t="s">
        <v>64</v>
      </c>
      <c r="D655" t="s">
        <v>57</v>
      </c>
      <c r="E655" t="s">
        <v>65</v>
      </c>
      <c r="F655" t="s">
        <v>71</v>
      </c>
      <c r="G655" t="s">
        <v>112</v>
      </c>
      <c r="H655" t="s">
        <v>84</v>
      </c>
      <c r="I655" t="s">
        <v>61</v>
      </c>
      <c r="J655" s="1">
        <v>45754</v>
      </c>
      <c r="K655" s="1">
        <v>45754</v>
      </c>
      <c r="L655" s="3">
        <v>48000</v>
      </c>
      <c r="M655" s="4">
        <v>0</v>
      </c>
      <c r="N655" s="4">
        <v>0</v>
      </c>
      <c r="O655" t="s">
        <v>79</v>
      </c>
      <c r="P655">
        <v>4</v>
      </c>
      <c r="Q655" t="str">
        <f>IFERROR(VLOOKUP(E655,Lookups!$A$5:$B$24,2,FALSE),"Other")</f>
        <v>Paid Search</v>
      </c>
      <c r="R655" t="str">
        <f>IFERROR(VLOOKUP(F655,Lookups!$D$5:$F$10,2,FALSE),"Unknown Product")</f>
        <v>Marketing Automation</v>
      </c>
      <c r="S655" t="str">
        <f>IFERROR(VLOOKUP(F655,Lookups!$D$5:$F$10,3,FALSE),"Unknown")</f>
        <v>Marketing</v>
      </c>
      <c r="T655" t="str">
        <f t="shared" si="110"/>
        <v>Mid-Market</v>
      </c>
      <c r="U655" t="str">
        <f t="shared" si="111"/>
        <v>Lost</v>
      </c>
      <c r="V655" s="3">
        <f t="shared" si="112"/>
        <v>0</v>
      </c>
      <c r="W655" s="3">
        <f t="shared" si="113"/>
        <v>0</v>
      </c>
      <c r="X655" s="5">
        <f t="shared" si="114"/>
        <v>51</v>
      </c>
      <c r="Y655" s="5">
        <f>IF(U655="Open",Lookups!$B$2-B655,X655)</f>
        <v>51</v>
      </c>
      <c r="Z655" t="str">
        <f t="shared" si="115"/>
        <v>OK</v>
      </c>
      <c r="AA655" t="str">
        <f t="shared" si="116"/>
        <v>2025-02</v>
      </c>
      <c r="AB655" t="str">
        <f t="shared" si="117"/>
        <v>2025-04</v>
      </c>
      <c r="AC655" t="str">
        <f t="shared" si="118"/>
        <v>Q1-2025</v>
      </c>
      <c r="AD655" s="5">
        <f t="shared" si="119"/>
        <v>72</v>
      </c>
      <c r="AE655" t="str">
        <f t="shared" si="120"/>
        <v>Lost</v>
      </c>
    </row>
    <row r="656" spans="1:31">
      <c r="A656" t="s">
        <v>758</v>
      </c>
      <c r="B656" s="1">
        <v>45926</v>
      </c>
      <c r="C656" t="s">
        <v>148</v>
      </c>
      <c r="D656" t="s">
        <v>43</v>
      </c>
      <c r="E656" t="s">
        <v>70</v>
      </c>
      <c r="F656" t="s">
        <v>52</v>
      </c>
      <c r="G656" t="s">
        <v>99</v>
      </c>
      <c r="H656" t="s">
        <v>53</v>
      </c>
      <c r="I656" t="s">
        <v>77</v>
      </c>
      <c r="J656" s="1">
        <v>46019</v>
      </c>
      <c r="K656" s="1">
        <v>46019</v>
      </c>
      <c r="L656" s="3">
        <v>14600</v>
      </c>
      <c r="M656" s="4">
        <v>0.05</v>
      </c>
      <c r="N656" s="4">
        <v>1</v>
      </c>
      <c r="P656">
        <v>6</v>
      </c>
      <c r="Q656" t="str">
        <f>IFERROR(VLOOKUP(E656,Lookups!$A$5:$B$24,2,FALSE),"Other")</f>
        <v>LinkedIn</v>
      </c>
      <c r="R656" t="str">
        <f>IFERROR(VLOOKUP(F656,Lookups!$D$5:$F$10,2,FALSE),"Unknown Product")</f>
        <v>NexaCRM Core</v>
      </c>
      <c r="S656" t="str">
        <f>IFERROR(VLOOKUP(F656,Lookups!$D$5:$F$10,3,FALSE),"Unknown")</f>
        <v>CRM</v>
      </c>
      <c r="T656" t="str">
        <f t="shared" si="110"/>
        <v>SMB</v>
      </c>
      <c r="U656" t="str">
        <f t="shared" si="111"/>
        <v>Won</v>
      </c>
      <c r="V656" s="3">
        <f t="shared" si="112"/>
        <v>13870</v>
      </c>
      <c r="W656" s="3">
        <f t="shared" si="113"/>
        <v>0</v>
      </c>
      <c r="X656" s="5">
        <f t="shared" si="114"/>
        <v>93</v>
      </c>
      <c r="Y656" s="5">
        <f>IF(U656="Open",Lookups!$B$2-B656,X656)</f>
        <v>93</v>
      </c>
      <c r="Z656" t="str">
        <f t="shared" si="115"/>
        <v>OK</v>
      </c>
      <c r="AA656" t="str">
        <f t="shared" si="116"/>
        <v>2025-09</v>
      </c>
      <c r="AB656" t="str">
        <f t="shared" si="117"/>
        <v>2025-12</v>
      </c>
      <c r="AC656" t="str">
        <f t="shared" si="118"/>
        <v>Q3-2025</v>
      </c>
      <c r="AD656" s="5">
        <f t="shared" si="119"/>
        <v>51</v>
      </c>
      <c r="AE656" t="str">
        <f t="shared" si="120"/>
        <v>Won</v>
      </c>
    </row>
    <row r="657" spans="1:31">
      <c r="A657" t="s">
        <v>759</v>
      </c>
      <c r="B657" s="1">
        <v>46187</v>
      </c>
      <c r="C657" t="s">
        <v>86</v>
      </c>
      <c r="D657" t="s">
        <v>87</v>
      </c>
      <c r="E657" t="s">
        <v>98</v>
      </c>
      <c r="F657" t="s">
        <v>59</v>
      </c>
      <c r="G657" t="s">
        <v>46</v>
      </c>
      <c r="H657" t="s">
        <v>47</v>
      </c>
      <c r="I657" t="s">
        <v>77</v>
      </c>
      <c r="J657" s="1">
        <v>46235</v>
      </c>
      <c r="K657" s="1">
        <v>46235</v>
      </c>
      <c r="L657" s="3">
        <v>13400</v>
      </c>
      <c r="M657" s="4">
        <v>0.05</v>
      </c>
      <c r="N657" s="4">
        <v>1</v>
      </c>
      <c r="P657">
        <v>6</v>
      </c>
      <c r="Q657" t="str">
        <f>IFERROR(VLOOKUP(E657,Lookups!$A$5:$B$24,2,FALSE),"Other")</f>
        <v>Outbound</v>
      </c>
      <c r="R657" t="str">
        <f>IFERROR(VLOOKUP(F657,Lookups!$D$5:$F$10,2,FALSE),"Unknown Product")</f>
        <v>NexaCRM Pro</v>
      </c>
      <c r="S657" t="str">
        <f>IFERROR(VLOOKUP(F657,Lookups!$D$5:$F$10,3,FALSE),"Unknown")</f>
        <v>CRM</v>
      </c>
      <c r="T657" t="str">
        <f t="shared" si="110"/>
        <v>SMB</v>
      </c>
      <c r="U657" t="str">
        <f t="shared" si="111"/>
        <v>Won</v>
      </c>
      <c r="V657" s="3">
        <f t="shared" si="112"/>
        <v>12730</v>
      </c>
      <c r="W657" s="3">
        <f t="shared" si="113"/>
        <v>0</v>
      </c>
      <c r="X657" s="5">
        <f t="shared" si="114"/>
        <v>48</v>
      </c>
      <c r="Y657" s="5">
        <f>IF(U657="Open",Lookups!$B$2-B657,X657)</f>
        <v>48</v>
      </c>
      <c r="Z657" t="str">
        <f t="shared" si="115"/>
        <v>OK</v>
      </c>
      <c r="AA657" t="str">
        <f t="shared" si="116"/>
        <v>2026-06</v>
      </c>
      <c r="AB657" t="str">
        <f t="shared" si="117"/>
        <v>2026-08</v>
      </c>
      <c r="AC657" t="str">
        <f t="shared" si="118"/>
        <v>Q2-2026</v>
      </c>
      <c r="AD657" s="5">
        <f t="shared" si="119"/>
        <v>43</v>
      </c>
      <c r="AE657" t="str">
        <f t="shared" si="120"/>
        <v>Won</v>
      </c>
    </row>
    <row r="658" spans="1:31">
      <c r="A658" t="s">
        <v>760</v>
      </c>
      <c r="B658" s="1">
        <v>45884</v>
      </c>
      <c r="C658" t="s">
        <v>86</v>
      </c>
      <c r="D658" t="s">
        <v>87</v>
      </c>
      <c r="E658" t="s">
        <v>65</v>
      </c>
      <c r="F658" t="s">
        <v>71</v>
      </c>
      <c r="G658" t="s">
        <v>72</v>
      </c>
      <c r="H658" t="s">
        <v>47</v>
      </c>
      <c r="I658" t="s">
        <v>77</v>
      </c>
      <c r="J658" s="1">
        <v>45927</v>
      </c>
      <c r="K658" s="1">
        <v>45927</v>
      </c>
      <c r="L658" s="3">
        <v>16100</v>
      </c>
      <c r="M658" s="4">
        <v>0.12</v>
      </c>
      <c r="N658" s="4">
        <v>1</v>
      </c>
      <c r="P658">
        <v>6</v>
      </c>
      <c r="Q658" t="str">
        <f>IFERROR(VLOOKUP(E658,Lookups!$A$5:$B$24,2,FALSE),"Other")</f>
        <v>Paid Search</v>
      </c>
      <c r="R658" t="str">
        <f>IFERROR(VLOOKUP(F658,Lookups!$D$5:$F$10,2,FALSE),"Unknown Product")</f>
        <v>Marketing Automation</v>
      </c>
      <c r="S658" t="str">
        <f>IFERROR(VLOOKUP(F658,Lookups!$D$5:$F$10,3,FALSE),"Unknown")</f>
        <v>Marketing</v>
      </c>
      <c r="T658" t="str">
        <f t="shared" si="110"/>
        <v>SMB</v>
      </c>
      <c r="U658" t="str">
        <f t="shared" si="111"/>
        <v>Won</v>
      </c>
      <c r="V658" s="3">
        <f t="shared" si="112"/>
        <v>14168</v>
      </c>
      <c r="W658" s="3">
        <f t="shared" si="113"/>
        <v>0</v>
      </c>
      <c r="X658" s="5">
        <f t="shared" si="114"/>
        <v>43</v>
      </c>
      <c r="Y658" s="5">
        <f>IF(U658="Open",Lookups!$B$2-B658,X658)</f>
        <v>43</v>
      </c>
      <c r="Z658" t="str">
        <f t="shared" si="115"/>
        <v>OK</v>
      </c>
      <c r="AA658" t="str">
        <f t="shared" si="116"/>
        <v>2025-08</v>
      </c>
      <c r="AB658" t="str">
        <f t="shared" si="117"/>
        <v>2025-09</v>
      </c>
      <c r="AC658" t="str">
        <f t="shared" si="118"/>
        <v>Q3-2025</v>
      </c>
      <c r="AD658" s="5">
        <f t="shared" si="119"/>
        <v>43</v>
      </c>
      <c r="AE658" t="str">
        <f t="shared" si="120"/>
        <v>Won</v>
      </c>
    </row>
    <row r="659" spans="1:31">
      <c r="A659" t="s">
        <v>761</v>
      </c>
      <c r="B659" s="1">
        <v>46037</v>
      </c>
      <c r="C659" t="s">
        <v>50</v>
      </c>
      <c r="D659" t="s">
        <v>43</v>
      </c>
      <c r="E659" t="s">
        <v>127</v>
      </c>
      <c r="F659" t="s">
        <v>59</v>
      </c>
      <c r="G659" t="s">
        <v>94</v>
      </c>
      <c r="H659" t="s">
        <v>47</v>
      </c>
      <c r="I659" t="s">
        <v>77</v>
      </c>
      <c r="J659" s="1">
        <v>46115</v>
      </c>
      <c r="K659" s="1">
        <v>46115</v>
      </c>
      <c r="L659" s="3">
        <v>21400</v>
      </c>
      <c r="M659" s="4">
        <v>0.03</v>
      </c>
      <c r="N659" s="4">
        <v>1</v>
      </c>
      <c r="P659">
        <v>6</v>
      </c>
      <c r="Q659" t="str">
        <f>IFERROR(VLOOKUP(E659,Lookups!$A$5:$B$24,2,FALSE),"Other")</f>
        <v>Paid Search</v>
      </c>
      <c r="R659" t="str">
        <f>IFERROR(VLOOKUP(F659,Lookups!$D$5:$F$10,2,FALSE),"Unknown Product")</f>
        <v>NexaCRM Pro</v>
      </c>
      <c r="S659" t="str">
        <f>IFERROR(VLOOKUP(F659,Lookups!$D$5:$F$10,3,FALSE),"Unknown")</f>
        <v>CRM</v>
      </c>
      <c r="T659" t="str">
        <f t="shared" si="110"/>
        <v>Mid-Market</v>
      </c>
      <c r="U659" t="str">
        <f t="shared" si="111"/>
        <v>Won</v>
      </c>
      <c r="V659" s="3">
        <f t="shared" si="112"/>
        <v>20758</v>
      </c>
      <c r="W659" s="3">
        <f t="shared" si="113"/>
        <v>0</v>
      </c>
      <c r="X659" s="5">
        <f t="shared" si="114"/>
        <v>78</v>
      </c>
      <c r="Y659" s="5">
        <f>IF(U659="Open",Lookups!$B$2-B659,X659)</f>
        <v>78</v>
      </c>
      <c r="Z659" t="str">
        <f t="shared" si="115"/>
        <v>OK</v>
      </c>
      <c r="AA659" t="str">
        <f t="shared" si="116"/>
        <v>2026-01</v>
      </c>
      <c r="AB659" t="str">
        <f t="shared" si="117"/>
        <v>2026-04</v>
      </c>
      <c r="AC659" t="str">
        <f t="shared" si="118"/>
        <v>Q1-2026</v>
      </c>
      <c r="AD659" s="5">
        <f t="shared" si="119"/>
        <v>51</v>
      </c>
      <c r="AE659" t="str">
        <f t="shared" si="120"/>
        <v>Won</v>
      </c>
    </row>
    <row r="660" spans="1:31">
      <c r="A660" t="s">
        <v>762</v>
      </c>
      <c r="B660" s="1">
        <v>46087</v>
      </c>
      <c r="C660" t="s">
        <v>86</v>
      </c>
      <c r="D660" t="s">
        <v>87</v>
      </c>
      <c r="E660" t="s">
        <v>92</v>
      </c>
      <c r="F660" t="s">
        <v>71</v>
      </c>
      <c r="G660" t="s">
        <v>72</v>
      </c>
      <c r="H660" t="s">
        <v>84</v>
      </c>
      <c r="I660" t="s">
        <v>61</v>
      </c>
      <c r="J660" s="1">
        <v>46123</v>
      </c>
      <c r="K660" s="1">
        <v>46123</v>
      </c>
      <c r="L660" s="3">
        <v>41000</v>
      </c>
      <c r="M660" s="4">
        <v>0</v>
      </c>
      <c r="N660" s="4">
        <v>0</v>
      </c>
      <c r="O660" t="s">
        <v>81</v>
      </c>
      <c r="P660">
        <v>3</v>
      </c>
      <c r="Q660" t="str">
        <f>IFERROR(VLOOKUP(E660,Lookups!$A$5:$B$24,2,FALSE),"Other")</f>
        <v>Webinar</v>
      </c>
      <c r="R660" t="str">
        <f>IFERROR(VLOOKUP(F660,Lookups!$D$5:$F$10,2,FALSE),"Unknown Product")</f>
        <v>Marketing Automation</v>
      </c>
      <c r="S660" t="str">
        <f>IFERROR(VLOOKUP(F660,Lookups!$D$5:$F$10,3,FALSE),"Unknown")</f>
        <v>Marketing</v>
      </c>
      <c r="T660" t="str">
        <f t="shared" si="110"/>
        <v>Mid-Market</v>
      </c>
      <c r="U660" t="str">
        <f t="shared" si="111"/>
        <v>Lost</v>
      </c>
      <c r="V660" s="3">
        <f t="shared" si="112"/>
        <v>0</v>
      </c>
      <c r="W660" s="3">
        <f t="shared" si="113"/>
        <v>0</v>
      </c>
      <c r="X660" s="5">
        <f t="shared" si="114"/>
        <v>36</v>
      </c>
      <c r="Y660" s="5">
        <f>IF(U660="Open",Lookups!$B$2-B660,X660)</f>
        <v>36</v>
      </c>
      <c r="Z660" t="str">
        <f t="shared" si="115"/>
        <v>OK</v>
      </c>
      <c r="AA660" t="str">
        <f t="shared" si="116"/>
        <v>2026-03</v>
      </c>
      <c r="AB660" t="str">
        <f t="shared" si="117"/>
        <v>2026-04</v>
      </c>
      <c r="AC660" t="str">
        <f t="shared" si="118"/>
        <v>Q1-2026</v>
      </c>
      <c r="AD660" s="5">
        <f t="shared" si="119"/>
        <v>67</v>
      </c>
      <c r="AE660" t="str">
        <f t="shared" si="120"/>
        <v>Lost</v>
      </c>
    </row>
    <row r="661" spans="1:31">
      <c r="A661" t="s">
        <v>763</v>
      </c>
      <c r="B661" s="1">
        <v>46034</v>
      </c>
      <c r="C661" t="s">
        <v>64</v>
      </c>
      <c r="D661" t="s">
        <v>57</v>
      </c>
      <c r="E661" t="s">
        <v>132</v>
      </c>
      <c r="F661" t="s">
        <v>133</v>
      </c>
      <c r="G661" t="s">
        <v>94</v>
      </c>
      <c r="H661" t="s">
        <v>47</v>
      </c>
      <c r="I661" t="s">
        <v>48</v>
      </c>
      <c r="J661" s="1">
        <v>46156</v>
      </c>
      <c r="K661" s="1"/>
      <c r="L661" s="3">
        <v>30100</v>
      </c>
      <c r="M661" s="4">
        <v>0</v>
      </c>
      <c r="N661" s="4">
        <v>0.85</v>
      </c>
      <c r="P661">
        <v>5</v>
      </c>
      <c r="Q661" t="str">
        <f>IFERROR(VLOOKUP(E661,Lookups!$A$5:$B$24,2,FALSE),"Other")</f>
        <v>Other</v>
      </c>
      <c r="R661" t="str">
        <f>IFERROR(VLOOKUP(F661,Lookups!$D$5:$F$10,2,FALSE),"Unknown Product")</f>
        <v>Analytics Plus</v>
      </c>
      <c r="S661" t="str">
        <f>IFERROR(VLOOKUP(F661,Lookups!$D$5:$F$10,3,FALSE),"Unknown")</f>
        <v>Analytics</v>
      </c>
      <c r="T661" t="str">
        <f t="shared" si="110"/>
        <v>Mid-Market</v>
      </c>
      <c r="U661" t="str">
        <f t="shared" si="111"/>
        <v>Open</v>
      </c>
      <c r="V661" s="3">
        <f t="shared" si="112"/>
        <v>0</v>
      </c>
      <c r="W661" s="3">
        <f t="shared" si="113"/>
        <v>25585</v>
      </c>
      <c r="X661" s="5" t="str">
        <f t="shared" si="114"/>
        <v/>
      </c>
      <c r="Y661" s="5">
        <f>IF(U661="Open",Lookups!$B$2-B661,X661)</f>
        <v>232</v>
      </c>
      <c r="Z661" t="str">
        <f t="shared" si="115"/>
        <v>STALE</v>
      </c>
      <c r="AA661" t="str">
        <f t="shared" si="116"/>
        <v>2026-01</v>
      </c>
      <c r="AB661" t="str">
        <f t="shared" si="117"/>
        <v/>
      </c>
      <c r="AC661" t="str">
        <f t="shared" si="118"/>
        <v>Q1-2026</v>
      </c>
      <c r="AD661" s="5">
        <f t="shared" si="119"/>
        <v>51</v>
      </c>
      <c r="AE661" t="str">
        <f t="shared" si="120"/>
        <v>Commit</v>
      </c>
    </row>
    <row r="662" spans="1:31">
      <c r="A662" t="s">
        <v>764</v>
      </c>
      <c r="B662" s="1">
        <v>46053</v>
      </c>
      <c r="C662" t="s">
        <v>69</v>
      </c>
      <c r="D662" t="s">
        <v>57</v>
      </c>
      <c r="E662" t="s">
        <v>83</v>
      </c>
      <c r="F662" t="s">
        <v>59</v>
      </c>
      <c r="G662" t="s">
        <v>60</v>
      </c>
      <c r="H662" t="s">
        <v>47</v>
      </c>
      <c r="I662" t="s">
        <v>77</v>
      </c>
      <c r="J662" s="1">
        <v>46103</v>
      </c>
      <c r="K662" s="1">
        <v>46103</v>
      </c>
      <c r="L662" s="3">
        <v>12600</v>
      </c>
      <c r="M662" s="4">
        <v>0.12</v>
      </c>
      <c r="N662" s="4">
        <v>1</v>
      </c>
      <c r="P662">
        <v>6</v>
      </c>
      <c r="Q662" t="str">
        <f>IFERROR(VLOOKUP(E662,Lookups!$A$5:$B$24,2,FALSE),"Other")</f>
        <v>Organic Search</v>
      </c>
      <c r="R662" t="str">
        <f>IFERROR(VLOOKUP(F662,Lookups!$D$5:$F$10,2,FALSE),"Unknown Product")</f>
        <v>NexaCRM Pro</v>
      </c>
      <c r="S662" t="str">
        <f>IFERROR(VLOOKUP(F662,Lookups!$D$5:$F$10,3,FALSE),"Unknown")</f>
        <v>CRM</v>
      </c>
      <c r="T662" t="str">
        <f t="shared" si="110"/>
        <v>SMB</v>
      </c>
      <c r="U662" t="str">
        <f t="shared" si="111"/>
        <v>Won</v>
      </c>
      <c r="V662" s="3">
        <f t="shared" si="112"/>
        <v>11088</v>
      </c>
      <c r="W662" s="3">
        <f t="shared" si="113"/>
        <v>0</v>
      </c>
      <c r="X662" s="5">
        <f t="shared" si="114"/>
        <v>50</v>
      </c>
      <c r="Y662" s="5">
        <f>IF(U662="Open",Lookups!$B$2-B662,X662)</f>
        <v>50</v>
      </c>
      <c r="Z662" t="str">
        <f t="shared" si="115"/>
        <v>OK</v>
      </c>
      <c r="AA662" t="str">
        <f t="shared" si="116"/>
        <v>2026-01</v>
      </c>
      <c r="AB662" t="str">
        <f t="shared" si="117"/>
        <v>2026-03</v>
      </c>
      <c r="AC662" t="str">
        <f t="shared" si="118"/>
        <v>Q1-2026</v>
      </c>
      <c r="AD662" s="5">
        <f t="shared" si="119"/>
        <v>49</v>
      </c>
      <c r="AE662" t="str">
        <f t="shared" si="120"/>
        <v>Won</v>
      </c>
    </row>
    <row r="663" spans="1:31">
      <c r="A663" t="s">
        <v>765</v>
      </c>
      <c r="B663" s="1">
        <v>46190</v>
      </c>
      <c r="C663" t="s">
        <v>90</v>
      </c>
      <c r="D663" t="s">
        <v>57</v>
      </c>
      <c r="E663" t="s">
        <v>123</v>
      </c>
      <c r="F663" t="s">
        <v>71</v>
      </c>
      <c r="G663" t="s">
        <v>99</v>
      </c>
      <c r="H663" t="s">
        <v>84</v>
      </c>
      <c r="I663" t="s">
        <v>105</v>
      </c>
      <c r="J663" s="1">
        <v>46230</v>
      </c>
      <c r="K663" s="1"/>
      <c r="L663" s="3">
        <v>67800</v>
      </c>
      <c r="M663" s="4">
        <v>0.05</v>
      </c>
      <c r="N663" s="4">
        <v>0.4</v>
      </c>
      <c r="P663">
        <v>3</v>
      </c>
      <c r="Q663" t="str">
        <f>IFERROR(VLOOKUP(E663,Lookups!$A$5:$B$24,2,FALSE),"Other")</f>
        <v>Email</v>
      </c>
      <c r="R663" t="str">
        <f>IFERROR(VLOOKUP(F663,Lookups!$D$5:$F$10,2,FALSE),"Unknown Product")</f>
        <v>Marketing Automation</v>
      </c>
      <c r="S663" t="str">
        <f>IFERROR(VLOOKUP(F663,Lookups!$D$5:$F$10,3,FALSE),"Unknown")</f>
        <v>Marketing</v>
      </c>
      <c r="T663" t="str">
        <f t="shared" si="110"/>
        <v>Enterprise</v>
      </c>
      <c r="U663" t="str">
        <f t="shared" si="111"/>
        <v>Open</v>
      </c>
      <c r="V663" s="3">
        <f t="shared" si="112"/>
        <v>0</v>
      </c>
      <c r="W663" s="3">
        <f t="shared" si="113"/>
        <v>27120</v>
      </c>
      <c r="X663" s="5" t="str">
        <f t="shared" si="114"/>
        <v/>
      </c>
      <c r="Y663" s="5">
        <f>IF(U663="Open",Lookups!$B$2-B663,X663)</f>
        <v>76</v>
      </c>
      <c r="Z663" t="str">
        <f t="shared" si="115"/>
        <v>STALE</v>
      </c>
      <c r="AA663" t="str">
        <f t="shared" si="116"/>
        <v>2026-06</v>
      </c>
      <c r="AB663" t="str">
        <f t="shared" si="117"/>
        <v/>
      </c>
      <c r="AC663" t="str">
        <f t="shared" si="118"/>
        <v>Q2-2026</v>
      </c>
      <c r="AD663" s="5">
        <f t="shared" si="119"/>
        <v>78</v>
      </c>
      <c r="AE663" t="str">
        <f t="shared" si="120"/>
        <v>Pipeline</v>
      </c>
    </row>
    <row r="664" spans="1:31">
      <c r="A664" t="s">
        <v>766</v>
      </c>
      <c r="B664" s="1">
        <v>45834</v>
      </c>
      <c r="C664" t="s">
        <v>50</v>
      </c>
      <c r="D664" t="s">
        <v>43</v>
      </c>
      <c r="E664" t="s">
        <v>132</v>
      </c>
      <c r="F664" t="s">
        <v>71</v>
      </c>
      <c r="G664" t="s">
        <v>94</v>
      </c>
      <c r="H664" t="s">
        <v>53</v>
      </c>
      <c r="I664" t="s">
        <v>77</v>
      </c>
      <c r="J664" s="1">
        <v>45869</v>
      </c>
      <c r="K664" s="1">
        <v>45869</v>
      </c>
      <c r="L664" s="3">
        <v>33000</v>
      </c>
      <c r="M664" s="4">
        <v>0</v>
      </c>
      <c r="N664" s="4">
        <v>1</v>
      </c>
      <c r="P664">
        <v>6</v>
      </c>
      <c r="Q664" t="str">
        <f>IFERROR(VLOOKUP(E664,Lookups!$A$5:$B$24,2,FALSE),"Other")</f>
        <v>Other</v>
      </c>
      <c r="R664" t="str">
        <f>IFERROR(VLOOKUP(F664,Lookups!$D$5:$F$10,2,FALSE),"Unknown Product")</f>
        <v>Marketing Automation</v>
      </c>
      <c r="S664" t="str">
        <f>IFERROR(VLOOKUP(F664,Lookups!$D$5:$F$10,3,FALSE),"Unknown")</f>
        <v>Marketing</v>
      </c>
      <c r="T664" t="str">
        <f t="shared" si="110"/>
        <v>Mid-Market</v>
      </c>
      <c r="U664" t="str">
        <f t="shared" si="111"/>
        <v>Won</v>
      </c>
      <c r="V664" s="3">
        <f t="shared" si="112"/>
        <v>33000</v>
      </c>
      <c r="W664" s="3">
        <f t="shared" si="113"/>
        <v>0</v>
      </c>
      <c r="X664" s="5">
        <f t="shared" si="114"/>
        <v>35</v>
      </c>
      <c r="Y664" s="5">
        <f>IF(U664="Open",Lookups!$B$2-B664,X664)</f>
        <v>35</v>
      </c>
      <c r="Z664" t="str">
        <f t="shared" si="115"/>
        <v>OK</v>
      </c>
      <c r="AA664" t="str">
        <f t="shared" si="116"/>
        <v>2025-06</v>
      </c>
      <c r="AB664" t="str">
        <f t="shared" si="117"/>
        <v>2025-07</v>
      </c>
      <c r="AC664" t="str">
        <f t="shared" si="118"/>
        <v>Q2-2025</v>
      </c>
      <c r="AD664" s="5">
        <f t="shared" si="119"/>
        <v>59</v>
      </c>
      <c r="AE664" t="str">
        <f t="shared" si="120"/>
        <v>Won</v>
      </c>
    </row>
    <row r="665" spans="1:31">
      <c r="A665" t="s">
        <v>767</v>
      </c>
      <c r="B665" s="1">
        <v>45671</v>
      </c>
      <c r="C665" t="s">
        <v>56</v>
      </c>
      <c r="D665" t="s">
        <v>57</v>
      </c>
      <c r="E665" t="s">
        <v>138</v>
      </c>
      <c r="F665" t="s">
        <v>59</v>
      </c>
      <c r="G665" t="s">
        <v>99</v>
      </c>
      <c r="H665" t="s">
        <v>47</v>
      </c>
      <c r="I665" t="s">
        <v>61</v>
      </c>
      <c r="J665" s="1">
        <v>45722</v>
      </c>
      <c r="K665" s="1">
        <v>45722</v>
      </c>
      <c r="L665" s="3">
        <v>24700</v>
      </c>
      <c r="M665" s="4">
        <v>0</v>
      </c>
      <c r="N665" s="4">
        <v>0</v>
      </c>
      <c r="O665" t="s">
        <v>62</v>
      </c>
      <c r="P665">
        <v>4</v>
      </c>
      <c r="Q665" t="str">
        <f>IFERROR(VLOOKUP(E665,Lookups!$A$5:$B$24,2,FALSE),"Other")</f>
        <v>Organic Search</v>
      </c>
      <c r="R665" t="str">
        <f>IFERROR(VLOOKUP(F665,Lookups!$D$5:$F$10,2,FALSE),"Unknown Product")</f>
        <v>NexaCRM Pro</v>
      </c>
      <c r="S665" t="str">
        <f>IFERROR(VLOOKUP(F665,Lookups!$D$5:$F$10,3,FALSE),"Unknown")</f>
        <v>CRM</v>
      </c>
      <c r="T665" t="str">
        <f t="shared" si="110"/>
        <v>Mid-Market</v>
      </c>
      <c r="U665" t="str">
        <f t="shared" si="111"/>
        <v>Lost</v>
      </c>
      <c r="V665" s="3">
        <f t="shared" si="112"/>
        <v>0</v>
      </c>
      <c r="W665" s="3">
        <f t="shared" si="113"/>
        <v>0</v>
      </c>
      <c r="X665" s="5">
        <f t="shared" si="114"/>
        <v>51</v>
      </c>
      <c r="Y665" s="5">
        <f>IF(U665="Open",Lookups!$B$2-B665,X665)</f>
        <v>51</v>
      </c>
      <c r="Z665" t="str">
        <f t="shared" si="115"/>
        <v>OK</v>
      </c>
      <c r="AA665" t="str">
        <f t="shared" si="116"/>
        <v>2025-01</v>
      </c>
      <c r="AB665" t="str">
        <f t="shared" si="117"/>
        <v>2025-03</v>
      </c>
      <c r="AC665" t="str">
        <f t="shared" si="118"/>
        <v>Q1-2025</v>
      </c>
      <c r="AD665" s="5">
        <f t="shared" si="119"/>
        <v>57</v>
      </c>
      <c r="AE665" t="str">
        <f t="shared" si="120"/>
        <v>Lost</v>
      </c>
    </row>
    <row r="666" spans="1:31">
      <c r="A666" t="s">
        <v>768</v>
      </c>
      <c r="B666" s="1">
        <v>45751</v>
      </c>
      <c r="C666" t="s">
        <v>148</v>
      </c>
      <c r="D666" t="s">
        <v>43</v>
      </c>
      <c r="E666" t="s">
        <v>96</v>
      </c>
      <c r="F666" t="s">
        <v>67</v>
      </c>
      <c r="G666" t="s">
        <v>76</v>
      </c>
      <c r="H666" t="s">
        <v>53</v>
      </c>
      <c r="I666" t="s">
        <v>61</v>
      </c>
      <c r="J666" s="1">
        <v>45801</v>
      </c>
      <c r="K666" s="1">
        <v>45801</v>
      </c>
      <c r="L666" s="3">
        <v>67800</v>
      </c>
      <c r="M666" s="4">
        <v>0</v>
      </c>
      <c r="N666" s="4">
        <v>0</v>
      </c>
      <c r="O666" t="s">
        <v>79</v>
      </c>
      <c r="P666">
        <v>5</v>
      </c>
      <c r="Q666" t="str">
        <f>IFERROR(VLOOKUP(E666,Lookups!$A$5:$B$24,2,FALSE),"Other")</f>
        <v>LinkedIn</v>
      </c>
      <c r="R666" t="str">
        <f>IFERROR(VLOOKUP(F666,Lookups!$D$5:$F$10,2,FALSE),"Unknown Product")</f>
        <v>Revenue Operations Suite</v>
      </c>
      <c r="S666" t="str">
        <f>IFERROR(VLOOKUP(F666,Lookups!$D$5:$F$10,3,FALSE),"Unknown")</f>
        <v>Revenue Ops</v>
      </c>
      <c r="T666" t="str">
        <f t="shared" si="110"/>
        <v>Enterprise</v>
      </c>
      <c r="U666" t="str">
        <f t="shared" si="111"/>
        <v>Lost</v>
      </c>
      <c r="V666" s="3">
        <f t="shared" si="112"/>
        <v>0</v>
      </c>
      <c r="W666" s="3">
        <f t="shared" si="113"/>
        <v>0</v>
      </c>
      <c r="X666" s="5">
        <f t="shared" si="114"/>
        <v>50</v>
      </c>
      <c r="Y666" s="5">
        <f>IF(U666="Open",Lookups!$B$2-B666,X666)</f>
        <v>50</v>
      </c>
      <c r="Z666" t="str">
        <f t="shared" si="115"/>
        <v>OK</v>
      </c>
      <c r="AA666" t="str">
        <f t="shared" si="116"/>
        <v>2025-04</v>
      </c>
      <c r="AB666" t="str">
        <f t="shared" si="117"/>
        <v>2025-05</v>
      </c>
      <c r="AC666" t="str">
        <f t="shared" si="118"/>
        <v>Q2-2025</v>
      </c>
      <c r="AD666" s="5">
        <f t="shared" si="119"/>
        <v>66</v>
      </c>
      <c r="AE666" t="str">
        <f t="shared" si="120"/>
        <v>Lost</v>
      </c>
    </row>
    <row r="667" spans="1:31">
      <c r="A667" t="s">
        <v>769</v>
      </c>
      <c r="B667" s="1">
        <v>45675</v>
      </c>
      <c r="C667" t="s">
        <v>90</v>
      </c>
      <c r="D667" t="s">
        <v>57</v>
      </c>
      <c r="E667" t="s">
        <v>109</v>
      </c>
      <c r="F667" t="s">
        <v>59</v>
      </c>
      <c r="G667" t="s">
        <v>76</v>
      </c>
      <c r="H667" t="s">
        <v>47</v>
      </c>
      <c r="I667" t="s">
        <v>61</v>
      </c>
      <c r="J667" s="1">
        <v>45697</v>
      </c>
      <c r="K667" s="1">
        <v>45697</v>
      </c>
      <c r="L667" s="3">
        <v>14800</v>
      </c>
      <c r="M667" s="4">
        <v>0</v>
      </c>
      <c r="N667" s="4">
        <v>0</v>
      </c>
      <c r="O667" t="s">
        <v>116</v>
      </c>
      <c r="P667">
        <v>5</v>
      </c>
      <c r="Q667" t="str">
        <f>IFERROR(VLOOKUP(E667,Lookups!$A$5:$B$24,2,FALSE),"Other")</f>
        <v>Outbound</v>
      </c>
      <c r="R667" t="str">
        <f>IFERROR(VLOOKUP(F667,Lookups!$D$5:$F$10,2,FALSE),"Unknown Product")</f>
        <v>NexaCRM Pro</v>
      </c>
      <c r="S667" t="str">
        <f>IFERROR(VLOOKUP(F667,Lookups!$D$5:$F$10,3,FALSE),"Unknown")</f>
        <v>CRM</v>
      </c>
      <c r="T667" t="str">
        <f t="shared" si="110"/>
        <v>SMB</v>
      </c>
      <c r="U667" t="str">
        <f t="shared" si="111"/>
        <v>Lost</v>
      </c>
      <c r="V667" s="3">
        <f t="shared" si="112"/>
        <v>0</v>
      </c>
      <c r="W667" s="3">
        <f t="shared" si="113"/>
        <v>0</v>
      </c>
      <c r="X667" s="5">
        <f t="shared" si="114"/>
        <v>22</v>
      </c>
      <c r="Y667" s="5">
        <f>IF(U667="Open",Lookups!$B$2-B667,X667)</f>
        <v>22</v>
      </c>
      <c r="Z667" t="str">
        <f t="shared" si="115"/>
        <v>OK</v>
      </c>
      <c r="AA667" t="str">
        <f t="shared" si="116"/>
        <v>2025-01</v>
      </c>
      <c r="AB667" t="str">
        <f t="shared" si="117"/>
        <v>2025-02</v>
      </c>
      <c r="AC667" t="str">
        <f t="shared" si="118"/>
        <v>Q1-2025</v>
      </c>
      <c r="AD667" s="5">
        <f t="shared" si="119"/>
        <v>43</v>
      </c>
      <c r="AE667" t="str">
        <f t="shared" si="120"/>
        <v>Lost</v>
      </c>
    </row>
    <row r="668" spans="1:31">
      <c r="A668" t="s">
        <v>770</v>
      </c>
      <c r="B668" s="1">
        <v>45726</v>
      </c>
      <c r="C668" t="s">
        <v>56</v>
      </c>
      <c r="D668" t="s">
        <v>57</v>
      </c>
      <c r="E668" t="s">
        <v>58</v>
      </c>
      <c r="F668" t="s">
        <v>67</v>
      </c>
      <c r="G668" t="s">
        <v>46</v>
      </c>
      <c r="H668" t="s">
        <v>53</v>
      </c>
      <c r="I668" t="s">
        <v>48</v>
      </c>
      <c r="J668" s="1">
        <v>45979</v>
      </c>
      <c r="K668" s="1"/>
      <c r="L668" s="3">
        <v>55400</v>
      </c>
      <c r="M668" s="4">
        <v>0.03</v>
      </c>
      <c r="N668" s="4">
        <v>0.85</v>
      </c>
      <c r="P668">
        <v>5</v>
      </c>
      <c r="Q668" t="str">
        <f>IFERROR(VLOOKUP(E668,Lookups!$A$5:$B$24,2,FALSE),"Other")</f>
        <v>Email</v>
      </c>
      <c r="R668" t="str">
        <f>IFERROR(VLOOKUP(F668,Lookups!$D$5:$F$10,2,FALSE),"Unknown Product")</f>
        <v>Revenue Operations Suite</v>
      </c>
      <c r="S668" t="str">
        <f>IFERROR(VLOOKUP(F668,Lookups!$D$5:$F$10,3,FALSE),"Unknown")</f>
        <v>Revenue Ops</v>
      </c>
      <c r="T668" t="str">
        <f t="shared" si="110"/>
        <v>Enterprise</v>
      </c>
      <c r="U668" t="str">
        <f t="shared" si="111"/>
        <v>Open</v>
      </c>
      <c r="V668" s="3">
        <f t="shared" si="112"/>
        <v>0</v>
      </c>
      <c r="W668" s="3">
        <f t="shared" si="113"/>
        <v>47090</v>
      </c>
      <c r="X668" s="5" t="str">
        <f t="shared" si="114"/>
        <v/>
      </c>
      <c r="Y668" s="5">
        <f>IF(U668="Open",Lookups!$B$2-B668,X668)</f>
        <v>540</v>
      </c>
      <c r="Z668" t="str">
        <f t="shared" si="115"/>
        <v>STALE</v>
      </c>
      <c r="AA668" t="str">
        <f t="shared" si="116"/>
        <v>2025-03</v>
      </c>
      <c r="AB668" t="str">
        <f t="shared" si="117"/>
        <v/>
      </c>
      <c r="AC668" t="str">
        <f t="shared" si="118"/>
        <v>Q1-2025</v>
      </c>
      <c r="AD668" s="5">
        <f t="shared" si="119"/>
        <v>70</v>
      </c>
      <c r="AE668" t="str">
        <f t="shared" si="120"/>
        <v>Commit</v>
      </c>
    </row>
    <row r="669" spans="1:31">
      <c r="A669" t="s">
        <v>771</v>
      </c>
      <c r="B669" s="1">
        <v>46174</v>
      </c>
      <c r="C669" t="s">
        <v>56</v>
      </c>
      <c r="D669" t="s">
        <v>57</v>
      </c>
      <c r="E669" t="s">
        <v>98</v>
      </c>
      <c r="F669" t="s">
        <v>133</v>
      </c>
      <c r="G669" t="s">
        <v>60</v>
      </c>
      <c r="H669" t="s">
        <v>53</v>
      </c>
      <c r="I669" t="s">
        <v>61</v>
      </c>
      <c r="J669" s="1">
        <v>46228</v>
      </c>
      <c r="K669" s="1">
        <v>46228</v>
      </c>
      <c r="L669" s="3">
        <v>47900</v>
      </c>
      <c r="M669" s="4">
        <v>0</v>
      </c>
      <c r="N669" s="4">
        <v>0</v>
      </c>
      <c r="O669" t="s">
        <v>102</v>
      </c>
      <c r="P669">
        <v>2</v>
      </c>
      <c r="Q669" t="str">
        <f>IFERROR(VLOOKUP(E669,Lookups!$A$5:$B$24,2,FALSE),"Other")</f>
        <v>Outbound</v>
      </c>
      <c r="R669" t="str">
        <f>IFERROR(VLOOKUP(F669,Lookups!$D$5:$F$10,2,FALSE),"Unknown Product")</f>
        <v>Analytics Plus</v>
      </c>
      <c r="S669" t="str">
        <f>IFERROR(VLOOKUP(F669,Lookups!$D$5:$F$10,3,FALSE),"Unknown")</f>
        <v>Analytics</v>
      </c>
      <c r="T669" t="str">
        <f t="shared" si="110"/>
        <v>Mid-Market</v>
      </c>
      <c r="U669" t="str">
        <f t="shared" si="111"/>
        <v>Lost</v>
      </c>
      <c r="V669" s="3">
        <f t="shared" si="112"/>
        <v>0</v>
      </c>
      <c r="W669" s="3">
        <f t="shared" si="113"/>
        <v>0</v>
      </c>
      <c r="X669" s="5">
        <f t="shared" si="114"/>
        <v>54</v>
      </c>
      <c r="Y669" s="5">
        <f>IF(U669="Open",Lookups!$B$2-B669,X669)</f>
        <v>54</v>
      </c>
      <c r="Z669" t="str">
        <f t="shared" si="115"/>
        <v>OK</v>
      </c>
      <c r="AA669" t="str">
        <f t="shared" si="116"/>
        <v>2026-06</v>
      </c>
      <c r="AB669" t="str">
        <f t="shared" si="117"/>
        <v>2026-07</v>
      </c>
      <c r="AC669" t="str">
        <f t="shared" si="118"/>
        <v>Q2-2026</v>
      </c>
      <c r="AD669" s="5">
        <f t="shared" si="119"/>
        <v>59</v>
      </c>
      <c r="AE669" t="str">
        <f t="shared" si="120"/>
        <v>Lost</v>
      </c>
    </row>
    <row r="670" spans="1:31">
      <c r="A670" t="s">
        <v>772</v>
      </c>
      <c r="B670" s="1">
        <v>45810</v>
      </c>
      <c r="C670" t="s">
        <v>42</v>
      </c>
      <c r="D670" t="s">
        <v>43</v>
      </c>
      <c r="E670" t="s">
        <v>109</v>
      </c>
      <c r="F670" t="s">
        <v>45</v>
      </c>
      <c r="G670" t="s">
        <v>112</v>
      </c>
      <c r="H670" t="s">
        <v>53</v>
      </c>
      <c r="I670" t="s">
        <v>61</v>
      </c>
      <c r="J670" s="1">
        <v>45835</v>
      </c>
      <c r="K670" s="1">
        <v>45835</v>
      </c>
      <c r="L670" s="3">
        <v>47400</v>
      </c>
      <c r="M670" s="4">
        <v>0</v>
      </c>
      <c r="N670" s="4">
        <v>0</v>
      </c>
      <c r="O670" t="s">
        <v>116</v>
      </c>
      <c r="P670">
        <v>3</v>
      </c>
      <c r="Q670" t="str">
        <f>IFERROR(VLOOKUP(E670,Lookups!$A$5:$B$24,2,FALSE),"Other")</f>
        <v>Outbound</v>
      </c>
      <c r="R670" t="str">
        <f>IFERROR(VLOOKUP(F670,Lookups!$D$5:$F$10,2,FALSE),"Unknown Product")</f>
        <v>Service Cloud</v>
      </c>
      <c r="S670" t="str">
        <f>IFERROR(VLOOKUP(F670,Lookups!$D$5:$F$10,3,FALSE),"Unknown")</f>
        <v>Customer Service</v>
      </c>
      <c r="T670" t="str">
        <f t="shared" si="110"/>
        <v>Mid-Market</v>
      </c>
      <c r="U670" t="str">
        <f t="shared" si="111"/>
        <v>Lost</v>
      </c>
      <c r="V670" s="3">
        <f t="shared" si="112"/>
        <v>0</v>
      </c>
      <c r="W670" s="3">
        <f t="shared" si="113"/>
        <v>0</v>
      </c>
      <c r="X670" s="5">
        <f t="shared" si="114"/>
        <v>25</v>
      </c>
      <c r="Y670" s="5">
        <f>IF(U670="Open",Lookups!$B$2-B670,X670)</f>
        <v>25</v>
      </c>
      <c r="Z670" t="str">
        <f t="shared" si="115"/>
        <v>OK</v>
      </c>
      <c r="AA670" t="str">
        <f t="shared" si="116"/>
        <v>2025-06</v>
      </c>
      <c r="AB670" t="str">
        <f t="shared" si="117"/>
        <v>2025-06</v>
      </c>
      <c r="AC670" t="str">
        <f t="shared" si="118"/>
        <v>Q2-2025</v>
      </c>
      <c r="AD670" s="5">
        <f t="shared" si="119"/>
        <v>64</v>
      </c>
      <c r="AE670" t="str">
        <f t="shared" si="120"/>
        <v>Lost</v>
      </c>
    </row>
    <row r="671" spans="1:31">
      <c r="A671" t="s">
        <v>773</v>
      </c>
      <c r="B671" s="1">
        <v>45693</v>
      </c>
      <c r="C671" t="s">
        <v>42</v>
      </c>
      <c r="D671" t="s">
        <v>43</v>
      </c>
      <c r="E671" t="s">
        <v>83</v>
      </c>
      <c r="F671" t="s">
        <v>59</v>
      </c>
      <c r="G671" t="s">
        <v>60</v>
      </c>
      <c r="H671" t="s">
        <v>53</v>
      </c>
      <c r="I671" t="s">
        <v>61</v>
      </c>
      <c r="J671" s="1">
        <v>45714</v>
      </c>
      <c r="K671" s="1">
        <v>45714</v>
      </c>
      <c r="L671" s="3">
        <v>43200</v>
      </c>
      <c r="M671" s="4">
        <v>0</v>
      </c>
      <c r="N671" s="4">
        <v>0</v>
      </c>
      <c r="O671" t="s">
        <v>62</v>
      </c>
      <c r="P671">
        <v>4</v>
      </c>
      <c r="Q671" t="str">
        <f>IFERROR(VLOOKUP(E671,Lookups!$A$5:$B$24,2,FALSE),"Other")</f>
        <v>Organic Search</v>
      </c>
      <c r="R671" t="str">
        <f>IFERROR(VLOOKUP(F671,Lookups!$D$5:$F$10,2,FALSE),"Unknown Product")</f>
        <v>NexaCRM Pro</v>
      </c>
      <c r="S671" t="str">
        <f>IFERROR(VLOOKUP(F671,Lookups!$D$5:$F$10,3,FALSE),"Unknown")</f>
        <v>CRM</v>
      </c>
      <c r="T671" t="str">
        <f t="shared" si="110"/>
        <v>Mid-Market</v>
      </c>
      <c r="U671" t="str">
        <f t="shared" si="111"/>
        <v>Lost</v>
      </c>
      <c r="V671" s="3">
        <f t="shared" si="112"/>
        <v>0</v>
      </c>
      <c r="W671" s="3">
        <f t="shared" si="113"/>
        <v>0</v>
      </c>
      <c r="X671" s="5">
        <f t="shared" si="114"/>
        <v>21</v>
      </c>
      <c r="Y671" s="5">
        <f>IF(U671="Open",Lookups!$B$2-B671,X671)</f>
        <v>21</v>
      </c>
      <c r="Z671" t="str">
        <f t="shared" si="115"/>
        <v>OK</v>
      </c>
      <c r="AA671" t="str">
        <f t="shared" si="116"/>
        <v>2025-02</v>
      </c>
      <c r="AB671" t="str">
        <f t="shared" si="117"/>
        <v>2025-02</v>
      </c>
      <c r="AC671" t="str">
        <f t="shared" si="118"/>
        <v>Q1-2025</v>
      </c>
      <c r="AD671" s="5">
        <f t="shared" si="119"/>
        <v>65</v>
      </c>
      <c r="AE671" t="str">
        <f t="shared" si="120"/>
        <v>Lost</v>
      </c>
    </row>
    <row r="672" spans="1:31">
      <c r="A672" t="s">
        <v>774</v>
      </c>
      <c r="B672" s="1">
        <v>45957</v>
      </c>
      <c r="C672" t="s">
        <v>86</v>
      </c>
      <c r="D672" t="s">
        <v>87</v>
      </c>
      <c r="E672" t="s">
        <v>92</v>
      </c>
      <c r="F672" t="s">
        <v>45</v>
      </c>
      <c r="G672" t="s">
        <v>60</v>
      </c>
      <c r="H672" t="s">
        <v>47</v>
      </c>
      <c r="I672" t="s">
        <v>61</v>
      </c>
      <c r="J672" s="1">
        <v>46008</v>
      </c>
      <c r="K672" s="1">
        <v>46008</v>
      </c>
      <c r="L672" s="3">
        <v>17700</v>
      </c>
      <c r="M672" s="4">
        <v>0</v>
      </c>
      <c r="N672" s="4">
        <v>0</v>
      </c>
      <c r="O672" t="s">
        <v>79</v>
      </c>
      <c r="P672">
        <v>3</v>
      </c>
      <c r="Q672" t="str">
        <f>IFERROR(VLOOKUP(E672,Lookups!$A$5:$B$24,2,FALSE),"Other")</f>
        <v>Webinar</v>
      </c>
      <c r="R672" t="str">
        <f>IFERROR(VLOOKUP(F672,Lookups!$D$5:$F$10,2,FALSE),"Unknown Product")</f>
        <v>Service Cloud</v>
      </c>
      <c r="S672" t="str">
        <f>IFERROR(VLOOKUP(F672,Lookups!$D$5:$F$10,3,FALSE),"Unknown")</f>
        <v>Customer Service</v>
      </c>
      <c r="T672" t="str">
        <f t="shared" si="110"/>
        <v>SMB</v>
      </c>
      <c r="U672" t="str">
        <f t="shared" si="111"/>
        <v>Lost</v>
      </c>
      <c r="V672" s="3">
        <f t="shared" si="112"/>
        <v>0</v>
      </c>
      <c r="W672" s="3">
        <f t="shared" si="113"/>
        <v>0</v>
      </c>
      <c r="X672" s="5">
        <f t="shared" si="114"/>
        <v>51</v>
      </c>
      <c r="Y672" s="5">
        <f>IF(U672="Open",Lookups!$B$2-B672,X672)</f>
        <v>51</v>
      </c>
      <c r="Z672" t="str">
        <f t="shared" si="115"/>
        <v>OK</v>
      </c>
      <c r="AA672" t="str">
        <f t="shared" si="116"/>
        <v>2025-10</v>
      </c>
      <c r="AB672" t="str">
        <f t="shared" si="117"/>
        <v>2025-12</v>
      </c>
      <c r="AC672" t="str">
        <f t="shared" si="118"/>
        <v>Q4-2025</v>
      </c>
      <c r="AD672" s="5">
        <f t="shared" si="119"/>
        <v>43</v>
      </c>
      <c r="AE672" t="str">
        <f t="shared" si="120"/>
        <v>Lost</v>
      </c>
    </row>
    <row r="673" spans="1:31">
      <c r="A673" t="s">
        <v>775</v>
      </c>
      <c r="B673" s="1">
        <v>45906</v>
      </c>
      <c r="C673" t="s">
        <v>86</v>
      </c>
      <c r="D673" t="s">
        <v>87</v>
      </c>
      <c r="E673" t="s">
        <v>44</v>
      </c>
      <c r="F673" t="s">
        <v>133</v>
      </c>
      <c r="G673" t="s">
        <v>76</v>
      </c>
      <c r="H673" t="s">
        <v>53</v>
      </c>
      <c r="I673" t="s">
        <v>77</v>
      </c>
      <c r="J673" s="1">
        <v>45950</v>
      </c>
      <c r="K673" s="1">
        <v>45950</v>
      </c>
      <c r="L673" s="3">
        <v>39900</v>
      </c>
      <c r="M673" s="4">
        <v>0.05</v>
      </c>
      <c r="N673" s="4">
        <v>1</v>
      </c>
      <c r="P673">
        <v>6</v>
      </c>
      <c r="Q673" t="str">
        <f>IFERROR(VLOOKUP(E673,Lookups!$A$5:$B$24,2,FALSE),"Other")</f>
        <v>Organic Search</v>
      </c>
      <c r="R673" t="str">
        <f>IFERROR(VLOOKUP(F673,Lookups!$D$5:$F$10,2,FALSE),"Unknown Product")</f>
        <v>Analytics Plus</v>
      </c>
      <c r="S673" t="str">
        <f>IFERROR(VLOOKUP(F673,Lookups!$D$5:$F$10,3,FALSE),"Unknown")</f>
        <v>Analytics</v>
      </c>
      <c r="T673" t="str">
        <f t="shared" si="110"/>
        <v>Mid-Market</v>
      </c>
      <c r="U673" t="str">
        <f t="shared" si="111"/>
        <v>Won</v>
      </c>
      <c r="V673" s="3">
        <f t="shared" si="112"/>
        <v>37905</v>
      </c>
      <c r="W673" s="3">
        <f t="shared" si="113"/>
        <v>0</v>
      </c>
      <c r="X673" s="5">
        <f t="shared" si="114"/>
        <v>44</v>
      </c>
      <c r="Y673" s="5">
        <f>IF(U673="Open",Lookups!$B$2-B673,X673)</f>
        <v>44</v>
      </c>
      <c r="Z673" t="str">
        <f t="shared" si="115"/>
        <v>OK</v>
      </c>
      <c r="AA673" t="str">
        <f t="shared" si="116"/>
        <v>2025-09</v>
      </c>
      <c r="AB673" t="str">
        <f t="shared" si="117"/>
        <v>2025-10</v>
      </c>
      <c r="AC673" t="str">
        <f t="shared" si="118"/>
        <v>Q3-2025</v>
      </c>
      <c r="AD673" s="5">
        <f t="shared" si="119"/>
        <v>65</v>
      </c>
      <c r="AE673" t="str">
        <f t="shared" si="120"/>
        <v>Won</v>
      </c>
    </row>
    <row r="674" spans="1:31">
      <c r="A674" t="s">
        <v>776</v>
      </c>
      <c r="B674" s="1">
        <v>45859</v>
      </c>
      <c r="C674" t="s">
        <v>86</v>
      </c>
      <c r="D674" t="s">
        <v>87</v>
      </c>
      <c r="E674" t="s">
        <v>132</v>
      </c>
      <c r="F674" t="s">
        <v>133</v>
      </c>
      <c r="G674" t="s">
        <v>46</v>
      </c>
      <c r="H674" t="s">
        <v>53</v>
      </c>
      <c r="I674" t="s">
        <v>61</v>
      </c>
      <c r="J674" s="1">
        <v>45916</v>
      </c>
      <c r="K674" s="1">
        <v>45916</v>
      </c>
      <c r="L674" s="3">
        <v>46200</v>
      </c>
      <c r="M674" s="4">
        <v>0</v>
      </c>
      <c r="N674" s="4">
        <v>0</v>
      </c>
      <c r="O674" t="s">
        <v>102</v>
      </c>
      <c r="P674">
        <v>5</v>
      </c>
      <c r="Q674" t="str">
        <f>IFERROR(VLOOKUP(E674,Lookups!$A$5:$B$24,2,FALSE),"Other")</f>
        <v>Other</v>
      </c>
      <c r="R674" t="str">
        <f>IFERROR(VLOOKUP(F674,Lookups!$D$5:$F$10,2,FALSE),"Unknown Product")</f>
        <v>Analytics Plus</v>
      </c>
      <c r="S674" t="str">
        <f>IFERROR(VLOOKUP(F674,Lookups!$D$5:$F$10,3,FALSE),"Unknown")</f>
        <v>Analytics</v>
      </c>
      <c r="T674" t="str">
        <f t="shared" si="110"/>
        <v>Mid-Market</v>
      </c>
      <c r="U674" t="str">
        <f t="shared" si="111"/>
        <v>Lost</v>
      </c>
      <c r="V674" s="3">
        <f t="shared" si="112"/>
        <v>0</v>
      </c>
      <c r="W674" s="3">
        <f t="shared" si="113"/>
        <v>0</v>
      </c>
      <c r="X674" s="5">
        <f t="shared" si="114"/>
        <v>57</v>
      </c>
      <c r="Y674" s="5">
        <f>IF(U674="Open",Lookups!$B$2-B674,X674)</f>
        <v>57</v>
      </c>
      <c r="Z674" t="str">
        <f t="shared" si="115"/>
        <v>OK</v>
      </c>
      <c r="AA674" t="str">
        <f t="shared" si="116"/>
        <v>2025-07</v>
      </c>
      <c r="AB674" t="str">
        <f t="shared" si="117"/>
        <v>2025-09</v>
      </c>
      <c r="AC674" t="str">
        <f t="shared" si="118"/>
        <v>Q3-2025</v>
      </c>
      <c r="AD674" s="5">
        <f t="shared" si="119"/>
        <v>59</v>
      </c>
      <c r="AE674" t="str">
        <f t="shared" si="120"/>
        <v>Lost</v>
      </c>
    </row>
    <row r="675" spans="1:31">
      <c r="A675" t="s">
        <v>777</v>
      </c>
      <c r="B675" s="1">
        <v>45762</v>
      </c>
      <c r="C675" t="s">
        <v>69</v>
      </c>
      <c r="D675" t="s">
        <v>57</v>
      </c>
      <c r="E675" t="s">
        <v>138</v>
      </c>
      <c r="F675" t="s">
        <v>45</v>
      </c>
      <c r="G675" t="s">
        <v>60</v>
      </c>
      <c r="H675" t="s">
        <v>47</v>
      </c>
      <c r="I675" t="s">
        <v>48</v>
      </c>
      <c r="J675" s="1">
        <v>46026</v>
      </c>
      <c r="K675" s="1"/>
      <c r="L675" s="3">
        <v>19500</v>
      </c>
      <c r="M675" s="4">
        <v>0.03</v>
      </c>
      <c r="N675" s="4">
        <v>0.85</v>
      </c>
      <c r="P675">
        <v>5</v>
      </c>
      <c r="Q675" t="str">
        <f>IFERROR(VLOOKUP(E675,Lookups!$A$5:$B$24,2,FALSE),"Other")</f>
        <v>Organic Search</v>
      </c>
      <c r="R675" t="str">
        <f>IFERROR(VLOOKUP(F675,Lookups!$D$5:$F$10,2,FALSE),"Unknown Product")</f>
        <v>Service Cloud</v>
      </c>
      <c r="S675" t="str">
        <f>IFERROR(VLOOKUP(F675,Lookups!$D$5:$F$10,3,FALSE),"Unknown")</f>
        <v>Customer Service</v>
      </c>
      <c r="T675" t="str">
        <f t="shared" si="110"/>
        <v>SMB</v>
      </c>
      <c r="U675" t="str">
        <f t="shared" si="111"/>
        <v>Open</v>
      </c>
      <c r="V675" s="3">
        <f t="shared" si="112"/>
        <v>0</v>
      </c>
      <c r="W675" s="3">
        <f t="shared" si="113"/>
        <v>16575</v>
      </c>
      <c r="X675" s="5" t="str">
        <f t="shared" si="114"/>
        <v/>
      </c>
      <c r="Y675" s="5">
        <f>IF(U675="Open",Lookups!$B$2-B675,X675)</f>
        <v>504</v>
      </c>
      <c r="Z675" t="str">
        <f t="shared" si="115"/>
        <v>STALE</v>
      </c>
      <c r="AA675" t="str">
        <f t="shared" si="116"/>
        <v>2025-04</v>
      </c>
      <c r="AB675" t="str">
        <f t="shared" si="117"/>
        <v/>
      </c>
      <c r="AC675" t="str">
        <f t="shared" si="118"/>
        <v>Q2-2025</v>
      </c>
      <c r="AD675" s="5">
        <f t="shared" si="119"/>
        <v>49</v>
      </c>
      <c r="AE675" t="str">
        <f t="shared" si="120"/>
        <v>Commit</v>
      </c>
    </row>
    <row r="676" spans="1:31">
      <c r="A676" t="s">
        <v>778</v>
      </c>
      <c r="B676" s="1">
        <v>46084</v>
      </c>
      <c r="C676" t="s">
        <v>42</v>
      </c>
      <c r="D676" t="s">
        <v>43</v>
      </c>
      <c r="E676" t="s">
        <v>160</v>
      </c>
      <c r="F676" t="s">
        <v>52</v>
      </c>
      <c r="G676" t="s">
        <v>46</v>
      </c>
      <c r="H676" t="s">
        <v>47</v>
      </c>
      <c r="I676" t="s">
        <v>77</v>
      </c>
      <c r="J676" s="1">
        <v>46138</v>
      </c>
      <c r="K676" s="1">
        <v>46138</v>
      </c>
      <c r="L676" s="3">
        <v>7000</v>
      </c>
      <c r="M676" s="4">
        <v>0.08</v>
      </c>
      <c r="N676" s="4">
        <v>1</v>
      </c>
      <c r="P676">
        <v>6</v>
      </c>
      <c r="Q676" t="str">
        <f>IFERROR(VLOOKUP(E676,Lookups!$A$5:$B$24,2,FALSE),"Other")</f>
        <v>Email</v>
      </c>
      <c r="R676" t="str">
        <f>IFERROR(VLOOKUP(F676,Lookups!$D$5:$F$10,2,FALSE),"Unknown Product")</f>
        <v>NexaCRM Core</v>
      </c>
      <c r="S676" t="str">
        <f>IFERROR(VLOOKUP(F676,Lookups!$D$5:$F$10,3,FALSE),"Unknown")</f>
        <v>CRM</v>
      </c>
      <c r="T676" t="str">
        <f t="shared" si="110"/>
        <v>SMB</v>
      </c>
      <c r="U676" t="str">
        <f t="shared" si="111"/>
        <v>Won</v>
      </c>
      <c r="V676" s="3">
        <f t="shared" si="112"/>
        <v>6440</v>
      </c>
      <c r="W676" s="3">
        <f t="shared" si="113"/>
        <v>0</v>
      </c>
      <c r="X676" s="5">
        <f t="shared" si="114"/>
        <v>54</v>
      </c>
      <c r="Y676" s="5">
        <f>IF(U676="Open",Lookups!$B$2-B676,X676)</f>
        <v>54</v>
      </c>
      <c r="Z676" t="str">
        <f t="shared" si="115"/>
        <v>OK</v>
      </c>
      <c r="AA676" t="str">
        <f t="shared" si="116"/>
        <v>2026-03</v>
      </c>
      <c r="AB676" t="str">
        <f t="shared" si="117"/>
        <v>2026-04</v>
      </c>
      <c r="AC676" t="str">
        <f t="shared" si="118"/>
        <v>Q1-2026</v>
      </c>
      <c r="AD676" s="5">
        <f t="shared" si="119"/>
        <v>47</v>
      </c>
      <c r="AE676" t="str">
        <f t="shared" si="120"/>
        <v>Won</v>
      </c>
    </row>
    <row r="677" spans="1:31">
      <c r="A677" t="s">
        <v>779</v>
      </c>
      <c r="B677" s="1">
        <v>45899</v>
      </c>
      <c r="C677" t="s">
        <v>56</v>
      </c>
      <c r="D677" t="s">
        <v>57</v>
      </c>
      <c r="E677" t="s">
        <v>138</v>
      </c>
      <c r="F677" t="s">
        <v>52</v>
      </c>
      <c r="G677" t="s">
        <v>112</v>
      </c>
      <c r="H677" t="s">
        <v>47</v>
      </c>
      <c r="I677" t="s">
        <v>61</v>
      </c>
      <c r="J677" s="1">
        <v>45943</v>
      </c>
      <c r="K677" s="1">
        <v>45943</v>
      </c>
      <c r="L677" s="3">
        <v>9400</v>
      </c>
      <c r="M677" s="4">
        <v>0</v>
      </c>
      <c r="N677" s="4">
        <v>0</v>
      </c>
      <c r="O677" t="s">
        <v>81</v>
      </c>
      <c r="P677">
        <v>4</v>
      </c>
      <c r="Q677" t="str">
        <f>IFERROR(VLOOKUP(E677,Lookups!$A$5:$B$24,2,FALSE),"Other")</f>
        <v>Organic Search</v>
      </c>
      <c r="R677" t="str">
        <f>IFERROR(VLOOKUP(F677,Lookups!$D$5:$F$10,2,FALSE),"Unknown Product")</f>
        <v>NexaCRM Core</v>
      </c>
      <c r="S677" t="str">
        <f>IFERROR(VLOOKUP(F677,Lookups!$D$5:$F$10,3,FALSE),"Unknown")</f>
        <v>CRM</v>
      </c>
      <c r="T677" t="str">
        <f t="shared" si="110"/>
        <v>SMB</v>
      </c>
      <c r="U677" t="str">
        <f t="shared" si="111"/>
        <v>Lost</v>
      </c>
      <c r="V677" s="3">
        <f t="shared" si="112"/>
        <v>0</v>
      </c>
      <c r="W677" s="3">
        <f t="shared" si="113"/>
        <v>0</v>
      </c>
      <c r="X677" s="5">
        <f t="shared" si="114"/>
        <v>44</v>
      </c>
      <c r="Y677" s="5">
        <f>IF(U677="Open",Lookups!$B$2-B677,X677)</f>
        <v>44</v>
      </c>
      <c r="Z677" t="str">
        <f t="shared" si="115"/>
        <v>OK</v>
      </c>
      <c r="AA677" t="str">
        <f t="shared" si="116"/>
        <v>2025-08</v>
      </c>
      <c r="AB677" t="str">
        <f t="shared" si="117"/>
        <v>2025-10</v>
      </c>
      <c r="AC677" t="str">
        <f t="shared" si="118"/>
        <v>Q3-2025</v>
      </c>
      <c r="AD677" s="5">
        <f t="shared" si="119"/>
        <v>54</v>
      </c>
      <c r="AE677" t="str">
        <f t="shared" si="120"/>
        <v>Lost</v>
      </c>
    </row>
    <row r="678" spans="1:31">
      <c r="A678" t="s">
        <v>780</v>
      </c>
      <c r="B678" s="1">
        <v>46192</v>
      </c>
      <c r="C678" t="s">
        <v>148</v>
      </c>
      <c r="D678" t="s">
        <v>43</v>
      </c>
      <c r="E678" t="s">
        <v>132</v>
      </c>
      <c r="F678" t="s">
        <v>59</v>
      </c>
      <c r="G678" t="s">
        <v>60</v>
      </c>
      <c r="H678" t="s">
        <v>53</v>
      </c>
      <c r="I678" t="s">
        <v>61</v>
      </c>
      <c r="J678" s="1">
        <v>46266</v>
      </c>
      <c r="K678" s="1">
        <v>46266</v>
      </c>
      <c r="L678" s="3">
        <v>20500</v>
      </c>
      <c r="M678" s="4">
        <v>0</v>
      </c>
      <c r="N678" s="4">
        <v>0</v>
      </c>
      <c r="O678" t="s">
        <v>62</v>
      </c>
      <c r="P678">
        <v>3</v>
      </c>
      <c r="Q678" t="str">
        <f>IFERROR(VLOOKUP(E678,Lookups!$A$5:$B$24,2,FALSE),"Other")</f>
        <v>Other</v>
      </c>
      <c r="R678" t="str">
        <f>IFERROR(VLOOKUP(F678,Lookups!$D$5:$F$10,2,FALSE),"Unknown Product")</f>
        <v>NexaCRM Pro</v>
      </c>
      <c r="S678" t="str">
        <f>IFERROR(VLOOKUP(F678,Lookups!$D$5:$F$10,3,FALSE),"Unknown")</f>
        <v>CRM</v>
      </c>
      <c r="T678" t="str">
        <f t="shared" si="110"/>
        <v>Mid-Market</v>
      </c>
      <c r="U678" t="str">
        <f t="shared" si="111"/>
        <v>Lost</v>
      </c>
      <c r="V678" s="3">
        <f t="shared" si="112"/>
        <v>0</v>
      </c>
      <c r="W678" s="3">
        <f t="shared" si="113"/>
        <v>0</v>
      </c>
      <c r="X678" s="5">
        <f t="shared" si="114"/>
        <v>74</v>
      </c>
      <c r="Y678" s="5">
        <f>IF(U678="Open",Lookups!$B$2-B678,X678)</f>
        <v>74</v>
      </c>
      <c r="Z678" t="str">
        <f t="shared" si="115"/>
        <v>OK</v>
      </c>
      <c r="AA678" t="str">
        <f t="shared" si="116"/>
        <v>2026-06</v>
      </c>
      <c r="AB678" t="str">
        <f t="shared" si="117"/>
        <v>2026-09</v>
      </c>
      <c r="AC678" t="str">
        <f t="shared" si="118"/>
        <v>Q2-2026</v>
      </c>
      <c r="AD678" s="5">
        <f t="shared" si="119"/>
        <v>59</v>
      </c>
      <c r="AE678" t="str">
        <f t="shared" si="120"/>
        <v>Lost</v>
      </c>
    </row>
    <row r="679" spans="1:31">
      <c r="A679" t="s">
        <v>781</v>
      </c>
      <c r="B679" s="1">
        <v>46166</v>
      </c>
      <c r="C679" t="s">
        <v>148</v>
      </c>
      <c r="D679" t="s">
        <v>43</v>
      </c>
      <c r="E679" t="s">
        <v>138</v>
      </c>
      <c r="F679" t="s">
        <v>45</v>
      </c>
      <c r="G679" t="s">
        <v>46</v>
      </c>
      <c r="H679" t="s">
        <v>84</v>
      </c>
      <c r="I679" t="s">
        <v>54</v>
      </c>
      <c r="J679" s="1">
        <v>46223</v>
      </c>
      <c r="K679" s="1"/>
      <c r="L679" s="3">
        <v>42400</v>
      </c>
      <c r="M679" s="4">
        <v>0.03</v>
      </c>
      <c r="N679" s="4">
        <v>0.65</v>
      </c>
      <c r="P679">
        <v>4</v>
      </c>
      <c r="Q679" t="str">
        <f>IFERROR(VLOOKUP(E679,Lookups!$A$5:$B$24,2,FALSE),"Other")</f>
        <v>Organic Search</v>
      </c>
      <c r="R679" t="str">
        <f>IFERROR(VLOOKUP(F679,Lookups!$D$5:$F$10,2,FALSE),"Unknown Product")</f>
        <v>Service Cloud</v>
      </c>
      <c r="S679" t="str">
        <f>IFERROR(VLOOKUP(F679,Lookups!$D$5:$F$10,3,FALSE),"Unknown")</f>
        <v>Customer Service</v>
      </c>
      <c r="T679" t="str">
        <f t="shared" si="110"/>
        <v>Mid-Market</v>
      </c>
      <c r="U679" t="str">
        <f t="shared" si="111"/>
        <v>Open</v>
      </c>
      <c r="V679" s="3">
        <f t="shared" si="112"/>
        <v>0</v>
      </c>
      <c r="W679" s="3">
        <f t="shared" si="113"/>
        <v>27560</v>
      </c>
      <c r="X679" s="5" t="str">
        <f t="shared" si="114"/>
        <v/>
      </c>
      <c r="Y679" s="5">
        <f>IF(U679="Open",Lookups!$B$2-B679,X679)</f>
        <v>100</v>
      </c>
      <c r="Z679" t="str">
        <f t="shared" si="115"/>
        <v>STALE</v>
      </c>
      <c r="AA679" t="str">
        <f t="shared" si="116"/>
        <v>2026-05</v>
      </c>
      <c r="AB679" t="str">
        <f t="shared" si="117"/>
        <v/>
      </c>
      <c r="AC679" t="str">
        <f t="shared" si="118"/>
        <v>Q2-2026</v>
      </c>
      <c r="AD679" s="5">
        <f t="shared" si="119"/>
        <v>73</v>
      </c>
      <c r="AE679" t="str">
        <f t="shared" si="120"/>
        <v>Best Case</v>
      </c>
    </row>
    <row r="680" spans="1:31">
      <c r="A680" t="s">
        <v>782</v>
      </c>
      <c r="B680" s="1">
        <v>45859</v>
      </c>
      <c r="C680" t="s">
        <v>50</v>
      </c>
      <c r="D680" t="s">
        <v>43</v>
      </c>
      <c r="E680" t="s">
        <v>123</v>
      </c>
      <c r="F680" t="s">
        <v>71</v>
      </c>
      <c r="G680" t="s">
        <v>99</v>
      </c>
      <c r="H680" t="s">
        <v>47</v>
      </c>
      <c r="I680" t="s">
        <v>61</v>
      </c>
      <c r="J680" s="1">
        <v>45907</v>
      </c>
      <c r="K680" s="1">
        <v>45907</v>
      </c>
      <c r="L680" s="3">
        <v>11800</v>
      </c>
      <c r="M680" s="4">
        <v>0</v>
      </c>
      <c r="N680" s="4">
        <v>0</v>
      </c>
      <c r="O680" t="s">
        <v>116</v>
      </c>
      <c r="P680">
        <v>3</v>
      </c>
      <c r="Q680" t="str">
        <f>IFERROR(VLOOKUP(E680,Lookups!$A$5:$B$24,2,FALSE),"Other")</f>
        <v>Email</v>
      </c>
      <c r="R680" t="str">
        <f>IFERROR(VLOOKUP(F680,Lookups!$D$5:$F$10,2,FALSE),"Unknown Product")</f>
        <v>Marketing Automation</v>
      </c>
      <c r="S680" t="str">
        <f>IFERROR(VLOOKUP(F680,Lookups!$D$5:$F$10,3,FALSE),"Unknown")</f>
        <v>Marketing</v>
      </c>
      <c r="T680" t="str">
        <f t="shared" si="110"/>
        <v>SMB</v>
      </c>
      <c r="U680" t="str">
        <f t="shared" si="111"/>
        <v>Lost</v>
      </c>
      <c r="V680" s="3">
        <f t="shared" si="112"/>
        <v>0</v>
      </c>
      <c r="W680" s="3">
        <f t="shared" si="113"/>
        <v>0</v>
      </c>
      <c r="X680" s="5">
        <f t="shared" si="114"/>
        <v>48</v>
      </c>
      <c r="Y680" s="5">
        <f>IF(U680="Open",Lookups!$B$2-B680,X680)</f>
        <v>48</v>
      </c>
      <c r="Z680" t="str">
        <f t="shared" si="115"/>
        <v>OK</v>
      </c>
      <c r="AA680" t="str">
        <f t="shared" si="116"/>
        <v>2025-07</v>
      </c>
      <c r="AB680" t="str">
        <f t="shared" si="117"/>
        <v>2025-09</v>
      </c>
      <c r="AC680" t="str">
        <f t="shared" si="118"/>
        <v>Q3-2025</v>
      </c>
      <c r="AD680" s="5">
        <f t="shared" si="119"/>
        <v>47</v>
      </c>
      <c r="AE680" t="str">
        <f t="shared" si="120"/>
        <v>Lost</v>
      </c>
    </row>
    <row r="681" spans="1:31">
      <c r="A681" t="s">
        <v>783</v>
      </c>
      <c r="B681" s="1">
        <v>46006</v>
      </c>
      <c r="C681" t="s">
        <v>148</v>
      </c>
      <c r="D681" t="s">
        <v>43</v>
      </c>
      <c r="E681" t="s">
        <v>83</v>
      </c>
      <c r="F681" t="s">
        <v>133</v>
      </c>
      <c r="G681" t="s">
        <v>60</v>
      </c>
      <c r="H681" t="s">
        <v>47</v>
      </c>
      <c r="I681" t="s">
        <v>61</v>
      </c>
      <c r="J681" s="1">
        <v>46060</v>
      </c>
      <c r="K681" s="1">
        <v>46060</v>
      </c>
      <c r="L681" s="3">
        <v>13000</v>
      </c>
      <c r="M681" s="4">
        <v>0</v>
      </c>
      <c r="N681" s="4">
        <v>0</v>
      </c>
      <c r="O681" t="s">
        <v>81</v>
      </c>
      <c r="P681">
        <v>4</v>
      </c>
      <c r="Q681" t="str">
        <f>IFERROR(VLOOKUP(E681,Lookups!$A$5:$B$24,2,FALSE),"Other")</f>
        <v>Organic Search</v>
      </c>
      <c r="R681" t="str">
        <f>IFERROR(VLOOKUP(F681,Lookups!$D$5:$F$10,2,FALSE),"Unknown Product")</f>
        <v>Analytics Plus</v>
      </c>
      <c r="S681" t="str">
        <f>IFERROR(VLOOKUP(F681,Lookups!$D$5:$F$10,3,FALSE),"Unknown")</f>
        <v>Analytics</v>
      </c>
      <c r="T681" t="str">
        <f t="shared" si="110"/>
        <v>SMB</v>
      </c>
      <c r="U681" t="str">
        <f t="shared" si="111"/>
        <v>Lost</v>
      </c>
      <c r="V681" s="3">
        <f t="shared" si="112"/>
        <v>0</v>
      </c>
      <c r="W681" s="3">
        <f t="shared" si="113"/>
        <v>0</v>
      </c>
      <c r="X681" s="5">
        <f t="shared" si="114"/>
        <v>54</v>
      </c>
      <c r="Y681" s="5">
        <f>IF(U681="Open",Lookups!$B$2-B681,X681)</f>
        <v>54</v>
      </c>
      <c r="Z681" t="str">
        <f t="shared" si="115"/>
        <v>OK</v>
      </c>
      <c r="AA681" t="str">
        <f t="shared" si="116"/>
        <v>2025-12</v>
      </c>
      <c r="AB681" t="str">
        <f t="shared" si="117"/>
        <v>2026-02</v>
      </c>
      <c r="AC681" t="str">
        <f t="shared" si="118"/>
        <v>Q4-2025</v>
      </c>
      <c r="AD681" s="5">
        <f t="shared" si="119"/>
        <v>49</v>
      </c>
      <c r="AE681" t="str">
        <f t="shared" si="120"/>
        <v>Lost</v>
      </c>
    </row>
    <row r="682" spans="1:31">
      <c r="A682" t="s">
        <v>784</v>
      </c>
      <c r="B682" s="1">
        <v>46183</v>
      </c>
      <c r="C682" t="s">
        <v>69</v>
      </c>
      <c r="D682" t="s">
        <v>57</v>
      </c>
      <c r="E682" t="s">
        <v>65</v>
      </c>
      <c r="F682" t="s">
        <v>133</v>
      </c>
      <c r="G682" t="s">
        <v>112</v>
      </c>
      <c r="H682" t="s">
        <v>53</v>
      </c>
      <c r="I682" t="s">
        <v>77</v>
      </c>
      <c r="J682" s="1">
        <v>46222</v>
      </c>
      <c r="K682" s="1">
        <v>46222</v>
      </c>
      <c r="L682" s="3">
        <v>39500</v>
      </c>
      <c r="M682" s="4">
        <v>0.05</v>
      </c>
      <c r="N682" s="4">
        <v>1</v>
      </c>
      <c r="P682">
        <v>6</v>
      </c>
      <c r="Q682" t="str">
        <f>IFERROR(VLOOKUP(E682,Lookups!$A$5:$B$24,2,FALSE),"Other")</f>
        <v>Paid Search</v>
      </c>
      <c r="R682" t="str">
        <f>IFERROR(VLOOKUP(F682,Lookups!$D$5:$F$10,2,FALSE),"Unknown Product")</f>
        <v>Analytics Plus</v>
      </c>
      <c r="S682" t="str">
        <f>IFERROR(VLOOKUP(F682,Lookups!$D$5:$F$10,3,FALSE),"Unknown")</f>
        <v>Analytics</v>
      </c>
      <c r="T682" t="str">
        <f t="shared" si="110"/>
        <v>Mid-Market</v>
      </c>
      <c r="U682" t="str">
        <f t="shared" si="111"/>
        <v>Won</v>
      </c>
      <c r="V682" s="3">
        <f t="shared" si="112"/>
        <v>37525</v>
      </c>
      <c r="W682" s="3">
        <f t="shared" si="113"/>
        <v>0</v>
      </c>
      <c r="X682" s="5">
        <f t="shared" si="114"/>
        <v>39</v>
      </c>
      <c r="Y682" s="5">
        <f>IF(U682="Open",Lookups!$B$2-B682,X682)</f>
        <v>39</v>
      </c>
      <c r="Z682" t="str">
        <f t="shared" si="115"/>
        <v>OK</v>
      </c>
      <c r="AA682" t="str">
        <f t="shared" si="116"/>
        <v>2026-06</v>
      </c>
      <c r="AB682" t="str">
        <f t="shared" si="117"/>
        <v>2026-07</v>
      </c>
      <c r="AC682" t="str">
        <f t="shared" si="118"/>
        <v>Q2-2026</v>
      </c>
      <c r="AD682" s="5">
        <f t="shared" si="119"/>
        <v>64</v>
      </c>
      <c r="AE682" t="str">
        <f t="shared" si="120"/>
        <v>Won</v>
      </c>
    </row>
    <row r="683" spans="1:31">
      <c r="A683" t="s">
        <v>785</v>
      </c>
      <c r="B683" s="1">
        <v>46125</v>
      </c>
      <c r="C683" t="s">
        <v>90</v>
      </c>
      <c r="D683" t="s">
        <v>57</v>
      </c>
      <c r="E683" t="s">
        <v>92</v>
      </c>
      <c r="F683" t="s">
        <v>71</v>
      </c>
      <c r="G683" t="s">
        <v>99</v>
      </c>
      <c r="H683" t="s">
        <v>53</v>
      </c>
      <c r="I683" t="s">
        <v>61</v>
      </c>
      <c r="J683" s="1">
        <v>46156</v>
      </c>
      <c r="K683" s="1">
        <v>46156</v>
      </c>
      <c r="L683" s="3">
        <v>34000</v>
      </c>
      <c r="M683" s="4">
        <v>0</v>
      </c>
      <c r="N683" s="4">
        <v>0</v>
      </c>
      <c r="O683" t="s">
        <v>79</v>
      </c>
      <c r="P683">
        <v>4</v>
      </c>
      <c r="Q683" t="str">
        <f>IFERROR(VLOOKUP(E683,Lookups!$A$5:$B$24,2,FALSE),"Other")</f>
        <v>Webinar</v>
      </c>
      <c r="R683" t="str">
        <f>IFERROR(VLOOKUP(F683,Lookups!$D$5:$F$10,2,FALSE),"Unknown Product")</f>
        <v>Marketing Automation</v>
      </c>
      <c r="S683" t="str">
        <f>IFERROR(VLOOKUP(F683,Lookups!$D$5:$F$10,3,FALSE),"Unknown")</f>
        <v>Marketing</v>
      </c>
      <c r="T683" t="str">
        <f t="shared" si="110"/>
        <v>Mid-Market</v>
      </c>
      <c r="U683" t="str">
        <f t="shared" si="111"/>
        <v>Lost</v>
      </c>
      <c r="V683" s="3">
        <f t="shared" si="112"/>
        <v>0</v>
      </c>
      <c r="W683" s="3">
        <f t="shared" si="113"/>
        <v>0</v>
      </c>
      <c r="X683" s="5">
        <f t="shared" si="114"/>
        <v>31</v>
      </c>
      <c r="Y683" s="5">
        <f>IF(U683="Open",Lookups!$B$2-B683,X683)</f>
        <v>31</v>
      </c>
      <c r="Z683" t="str">
        <f t="shared" si="115"/>
        <v>OK</v>
      </c>
      <c r="AA683" t="str">
        <f t="shared" si="116"/>
        <v>2026-04</v>
      </c>
      <c r="AB683" t="str">
        <f t="shared" si="117"/>
        <v>2026-05</v>
      </c>
      <c r="AC683" t="str">
        <f t="shared" si="118"/>
        <v>Q2-2026</v>
      </c>
      <c r="AD683" s="5">
        <f t="shared" si="119"/>
        <v>59</v>
      </c>
      <c r="AE683" t="str">
        <f t="shared" si="120"/>
        <v>Lost</v>
      </c>
    </row>
    <row r="684" spans="1:31">
      <c r="A684" t="s">
        <v>786</v>
      </c>
      <c r="B684" s="1">
        <v>45720</v>
      </c>
      <c r="C684" t="s">
        <v>56</v>
      </c>
      <c r="D684" t="s">
        <v>57</v>
      </c>
      <c r="E684" t="s">
        <v>107</v>
      </c>
      <c r="F684" t="s">
        <v>133</v>
      </c>
      <c r="G684" t="s">
        <v>46</v>
      </c>
      <c r="H684" t="s">
        <v>47</v>
      </c>
      <c r="I684" t="s">
        <v>61</v>
      </c>
      <c r="J684" s="1">
        <v>45769</v>
      </c>
      <c r="K684" s="1">
        <v>45769</v>
      </c>
      <c r="L684" s="3">
        <v>13000</v>
      </c>
      <c r="M684" s="4">
        <v>0</v>
      </c>
      <c r="N684" s="4">
        <v>0</v>
      </c>
      <c r="O684" t="s">
        <v>116</v>
      </c>
      <c r="P684">
        <v>4</v>
      </c>
      <c r="Q684" t="str">
        <f>IFERROR(VLOOKUP(E684,Lookups!$A$5:$B$24,2,FALSE),"Other")</f>
        <v>Referral</v>
      </c>
      <c r="R684" t="str">
        <f>IFERROR(VLOOKUP(F684,Lookups!$D$5:$F$10,2,FALSE),"Unknown Product")</f>
        <v>Analytics Plus</v>
      </c>
      <c r="S684" t="str">
        <f>IFERROR(VLOOKUP(F684,Lookups!$D$5:$F$10,3,FALSE),"Unknown")</f>
        <v>Analytics</v>
      </c>
      <c r="T684" t="str">
        <f t="shared" si="110"/>
        <v>SMB</v>
      </c>
      <c r="U684" t="str">
        <f t="shared" si="111"/>
        <v>Lost</v>
      </c>
      <c r="V684" s="3">
        <f t="shared" si="112"/>
        <v>0</v>
      </c>
      <c r="W684" s="3">
        <f t="shared" si="113"/>
        <v>0</v>
      </c>
      <c r="X684" s="5">
        <f t="shared" si="114"/>
        <v>49</v>
      </c>
      <c r="Y684" s="5">
        <f>IF(U684="Open",Lookups!$B$2-B684,X684)</f>
        <v>49</v>
      </c>
      <c r="Z684" t="str">
        <f t="shared" si="115"/>
        <v>OK</v>
      </c>
      <c r="AA684" t="str">
        <f t="shared" si="116"/>
        <v>2025-03</v>
      </c>
      <c r="AB684" t="str">
        <f t="shared" si="117"/>
        <v>2025-04</v>
      </c>
      <c r="AC684" t="str">
        <f t="shared" si="118"/>
        <v>Q1-2025</v>
      </c>
      <c r="AD684" s="5">
        <f t="shared" si="119"/>
        <v>54</v>
      </c>
      <c r="AE684" t="str">
        <f t="shared" si="120"/>
        <v>Lost</v>
      </c>
    </row>
    <row r="685" spans="1:31">
      <c r="A685" t="s">
        <v>787</v>
      </c>
      <c r="B685" s="1">
        <v>46080</v>
      </c>
      <c r="C685" t="s">
        <v>50</v>
      </c>
      <c r="D685" t="s">
        <v>43</v>
      </c>
      <c r="E685" t="s">
        <v>138</v>
      </c>
      <c r="F685" t="s">
        <v>52</v>
      </c>
      <c r="G685" t="s">
        <v>94</v>
      </c>
      <c r="H685" t="s">
        <v>84</v>
      </c>
      <c r="I685" t="s">
        <v>61</v>
      </c>
      <c r="J685" s="1">
        <v>46113</v>
      </c>
      <c r="K685" s="1">
        <v>46113</v>
      </c>
      <c r="L685" s="3">
        <v>29400</v>
      </c>
      <c r="M685" s="4">
        <v>0</v>
      </c>
      <c r="N685" s="4">
        <v>0</v>
      </c>
      <c r="O685" t="s">
        <v>116</v>
      </c>
      <c r="P685">
        <v>4</v>
      </c>
      <c r="Q685" t="str">
        <f>IFERROR(VLOOKUP(E685,Lookups!$A$5:$B$24,2,FALSE),"Other")</f>
        <v>Organic Search</v>
      </c>
      <c r="R685" t="str">
        <f>IFERROR(VLOOKUP(F685,Lookups!$D$5:$F$10,2,FALSE),"Unknown Product")</f>
        <v>NexaCRM Core</v>
      </c>
      <c r="S685" t="str">
        <f>IFERROR(VLOOKUP(F685,Lookups!$D$5:$F$10,3,FALSE),"Unknown")</f>
        <v>CRM</v>
      </c>
      <c r="T685" t="str">
        <f t="shared" si="110"/>
        <v>Mid-Market</v>
      </c>
      <c r="U685" t="str">
        <f t="shared" si="111"/>
        <v>Lost</v>
      </c>
      <c r="V685" s="3">
        <f t="shared" si="112"/>
        <v>0</v>
      </c>
      <c r="W685" s="3">
        <f t="shared" si="113"/>
        <v>0</v>
      </c>
      <c r="X685" s="5">
        <f t="shared" si="114"/>
        <v>33</v>
      </c>
      <c r="Y685" s="5">
        <f>IF(U685="Open",Lookups!$B$2-B685,X685)</f>
        <v>33</v>
      </c>
      <c r="Z685" t="str">
        <f t="shared" si="115"/>
        <v>OK</v>
      </c>
      <c r="AA685" t="str">
        <f t="shared" si="116"/>
        <v>2026-02</v>
      </c>
      <c r="AB685" t="str">
        <f t="shared" si="117"/>
        <v>2026-04</v>
      </c>
      <c r="AC685" t="str">
        <f t="shared" si="118"/>
        <v>Q1-2026</v>
      </c>
      <c r="AD685" s="5">
        <f t="shared" si="119"/>
        <v>73</v>
      </c>
      <c r="AE685" t="str">
        <f t="shared" si="120"/>
        <v>Lost</v>
      </c>
    </row>
    <row r="686" spans="1:31">
      <c r="A686" t="s">
        <v>788</v>
      </c>
      <c r="B686" s="1">
        <v>46227</v>
      </c>
      <c r="C686" t="s">
        <v>42</v>
      </c>
      <c r="D686" t="s">
        <v>43</v>
      </c>
      <c r="E686" t="s">
        <v>51</v>
      </c>
      <c r="F686" t="s">
        <v>52</v>
      </c>
      <c r="G686" t="s">
        <v>99</v>
      </c>
      <c r="H686" t="s">
        <v>53</v>
      </c>
      <c r="I686" t="s">
        <v>61</v>
      </c>
      <c r="J686" s="1">
        <v>46266</v>
      </c>
      <c r="K686" s="1">
        <v>46266</v>
      </c>
      <c r="L686" s="3">
        <v>17700</v>
      </c>
      <c r="M686" s="4">
        <v>0</v>
      </c>
      <c r="N686" s="4">
        <v>0</v>
      </c>
      <c r="O686" t="s">
        <v>116</v>
      </c>
      <c r="P686">
        <v>2</v>
      </c>
      <c r="Q686" t="str">
        <f>IFERROR(VLOOKUP(E686,Lookups!$A$5:$B$24,2,FALSE),"Other")</f>
        <v>Paid Search</v>
      </c>
      <c r="R686" t="str">
        <f>IFERROR(VLOOKUP(F686,Lookups!$D$5:$F$10,2,FALSE),"Unknown Product")</f>
        <v>NexaCRM Core</v>
      </c>
      <c r="S686" t="str">
        <f>IFERROR(VLOOKUP(F686,Lookups!$D$5:$F$10,3,FALSE),"Unknown")</f>
        <v>CRM</v>
      </c>
      <c r="T686" t="str">
        <f t="shared" si="110"/>
        <v>SMB</v>
      </c>
      <c r="U686" t="str">
        <f t="shared" si="111"/>
        <v>Lost</v>
      </c>
      <c r="V686" s="3">
        <f t="shared" si="112"/>
        <v>0</v>
      </c>
      <c r="W686" s="3">
        <f t="shared" si="113"/>
        <v>0</v>
      </c>
      <c r="X686" s="5">
        <f t="shared" si="114"/>
        <v>39</v>
      </c>
      <c r="Y686" s="5">
        <f>IF(U686="Open",Lookups!$B$2-B686,X686)</f>
        <v>39</v>
      </c>
      <c r="Z686" t="str">
        <f t="shared" si="115"/>
        <v>OK</v>
      </c>
      <c r="AA686" t="str">
        <f t="shared" si="116"/>
        <v>2026-07</v>
      </c>
      <c r="AB686" t="str">
        <f t="shared" si="117"/>
        <v>2026-09</v>
      </c>
      <c r="AC686" t="str">
        <f t="shared" si="118"/>
        <v>Q3-2026</v>
      </c>
      <c r="AD686" s="5">
        <f t="shared" si="119"/>
        <v>51</v>
      </c>
      <c r="AE686" t="str">
        <f t="shared" si="120"/>
        <v>Lost</v>
      </c>
    </row>
    <row r="687" spans="1:31">
      <c r="A687" t="s">
        <v>789</v>
      </c>
      <c r="B687" s="1">
        <v>45821</v>
      </c>
      <c r="C687" t="s">
        <v>56</v>
      </c>
      <c r="D687" t="s">
        <v>57</v>
      </c>
      <c r="E687" t="s">
        <v>70</v>
      </c>
      <c r="F687" t="s">
        <v>133</v>
      </c>
      <c r="G687" t="s">
        <v>72</v>
      </c>
      <c r="H687" t="s">
        <v>47</v>
      </c>
      <c r="I687" t="s">
        <v>48</v>
      </c>
      <c r="J687" s="1">
        <v>46148</v>
      </c>
      <c r="K687" s="1"/>
      <c r="L687" s="3">
        <v>15600</v>
      </c>
      <c r="M687" s="4">
        <v>0.03</v>
      </c>
      <c r="N687" s="4">
        <v>0.85</v>
      </c>
      <c r="P687">
        <v>5</v>
      </c>
      <c r="Q687" t="str">
        <f>IFERROR(VLOOKUP(E687,Lookups!$A$5:$B$24,2,FALSE),"Other")</f>
        <v>LinkedIn</v>
      </c>
      <c r="R687" t="str">
        <f>IFERROR(VLOOKUP(F687,Lookups!$D$5:$F$10,2,FALSE),"Unknown Product")</f>
        <v>Analytics Plus</v>
      </c>
      <c r="S687" t="str">
        <f>IFERROR(VLOOKUP(F687,Lookups!$D$5:$F$10,3,FALSE),"Unknown")</f>
        <v>Analytics</v>
      </c>
      <c r="T687" t="str">
        <f t="shared" si="110"/>
        <v>SMB</v>
      </c>
      <c r="U687" t="str">
        <f t="shared" si="111"/>
        <v>Open</v>
      </c>
      <c r="V687" s="3">
        <f t="shared" si="112"/>
        <v>0</v>
      </c>
      <c r="W687" s="3">
        <f t="shared" si="113"/>
        <v>13260</v>
      </c>
      <c r="X687" s="5" t="str">
        <f t="shared" si="114"/>
        <v/>
      </c>
      <c r="Y687" s="5">
        <f>IF(U687="Open",Lookups!$B$2-B687,X687)</f>
        <v>445</v>
      </c>
      <c r="Z687" t="str">
        <f t="shared" si="115"/>
        <v>STALE</v>
      </c>
      <c r="AA687" t="str">
        <f t="shared" si="116"/>
        <v>2025-06</v>
      </c>
      <c r="AB687" t="str">
        <f t="shared" si="117"/>
        <v/>
      </c>
      <c r="AC687" t="str">
        <f t="shared" si="118"/>
        <v>Q2-2025</v>
      </c>
      <c r="AD687" s="5">
        <f t="shared" si="119"/>
        <v>43</v>
      </c>
      <c r="AE687" t="str">
        <f t="shared" si="120"/>
        <v>Commit</v>
      </c>
    </row>
    <row r="688" spans="1:31">
      <c r="A688" t="s">
        <v>790</v>
      </c>
      <c r="B688" s="1">
        <v>45759</v>
      </c>
      <c r="C688" t="s">
        <v>148</v>
      </c>
      <c r="D688" t="s">
        <v>43</v>
      </c>
      <c r="E688" t="s">
        <v>127</v>
      </c>
      <c r="F688" t="s">
        <v>71</v>
      </c>
      <c r="G688" t="s">
        <v>94</v>
      </c>
      <c r="H688" t="s">
        <v>53</v>
      </c>
      <c r="I688" t="s">
        <v>48</v>
      </c>
      <c r="J688" s="1">
        <v>45987</v>
      </c>
      <c r="K688" s="1"/>
      <c r="L688" s="3">
        <v>31100</v>
      </c>
      <c r="M688" s="4">
        <v>0</v>
      </c>
      <c r="N688" s="4">
        <v>0.85</v>
      </c>
      <c r="P688">
        <v>5</v>
      </c>
      <c r="Q688" t="str">
        <f>IFERROR(VLOOKUP(E688,Lookups!$A$5:$B$24,2,FALSE),"Other")</f>
        <v>Paid Search</v>
      </c>
      <c r="R688" t="str">
        <f>IFERROR(VLOOKUP(F688,Lookups!$D$5:$F$10,2,FALSE),"Unknown Product")</f>
        <v>Marketing Automation</v>
      </c>
      <c r="S688" t="str">
        <f>IFERROR(VLOOKUP(F688,Lookups!$D$5:$F$10,3,FALSE),"Unknown")</f>
        <v>Marketing</v>
      </c>
      <c r="T688" t="str">
        <f t="shared" si="110"/>
        <v>Mid-Market</v>
      </c>
      <c r="U688" t="str">
        <f t="shared" si="111"/>
        <v>Open</v>
      </c>
      <c r="V688" s="3">
        <f t="shared" si="112"/>
        <v>0</v>
      </c>
      <c r="W688" s="3">
        <f t="shared" si="113"/>
        <v>26435</v>
      </c>
      <c r="X688" s="5" t="str">
        <f t="shared" si="114"/>
        <v/>
      </c>
      <c r="Y688" s="5">
        <f>IF(U688="Open",Lookups!$B$2-B688,X688)</f>
        <v>507</v>
      </c>
      <c r="Z688" t="str">
        <f t="shared" si="115"/>
        <v>STALE</v>
      </c>
      <c r="AA688" t="str">
        <f t="shared" si="116"/>
        <v>2025-04</v>
      </c>
      <c r="AB688" t="str">
        <f t="shared" si="117"/>
        <v/>
      </c>
      <c r="AC688" t="str">
        <f t="shared" si="118"/>
        <v>Q2-2025</v>
      </c>
      <c r="AD688" s="5">
        <f t="shared" si="119"/>
        <v>59</v>
      </c>
      <c r="AE688" t="str">
        <f t="shared" si="120"/>
        <v>Commit</v>
      </c>
    </row>
    <row r="689" spans="1:31">
      <c r="A689" t="s">
        <v>791</v>
      </c>
      <c r="B689" s="1">
        <v>45943</v>
      </c>
      <c r="C689" t="s">
        <v>64</v>
      </c>
      <c r="D689" t="s">
        <v>57</v>
      </c>
      <c r="E689" t="s">
        <v>51</v>
      </c>
      <c r="F689" t="s">
        <v>67</v>
      </c>
      <c r="G689" t="s">
        <v>99</v>
      </c>
      <c r="H689" t="s">
        <v>47</v>
      </c>
      <c r="I689" t="s">
        <v>61</v>
      </c>
      <c r="J689" s="1">
        <v>45973</v>
      </c>
      <c r="K689" s="1">
        <v>45973</v>
      </c>
      <c r="L689" s="3">
        <v>34200</v>
      </c>
      <c r="M689" s="4">
        <v>0</v>
      </c>
      <c r="N689" s="4">
        <v>0</v>
      </c>
      <c r="O689" t="s">
        <v>81</v>
      </c>
      <c r="P689">
        <v>3</v>
      </c>
      <c r="Q689" t="str">
        <f>IFERROR(VLOOKUP(E689,Lookups!$A$5:$B$24,2,FALSE),"Other")</f>
        <v>Paid Search</v>
      </c>
      <c r="R689" t="str">
        <f>IFERROR(VLOOKUP(F689,Lookups!$D$5:$F$10,2,FALSE),"Unknown Product")</f>
        <v>Revenue Operations Suite</v>
      </c>
      <c r="S689" t="str">
        <f>IFERROR(VLOOKUP(F689,Lookups!$D$5:$F$10,3,FALSE),"Unknown")</f>
        <v>Revenue Ops</v>
      </c>
      <c r="T689" t="str">
        <f t="shared" si="110"/>
        <v>Mid-Market</v>
      </c>
      <c r="U689" t="str">
        <f t="shared" si="111"/>
        <v>Lost</v>
      </c>
      <c r="V689" s="3">
        <f t="shared" si="112"/>
        <v>0</v>
      </c>
      <c r="W689" s="3">
        <f t="shared" si="113"/>
        <v>0</v>
      </c>
      <c r="X689" s="5">
        <f t="shared" si="114"/>
        <v>30</v>
      </c>
      <c r="Y689" s="5">
        <f>IF(U689="Open",Lookups!$B$2-B689,X689)</f>
        <v>30</v>
      </c>
      <c r="Z689" t="str">
        <f t="shared" si="115"/>
        <v>OK</v>
      </c>
      <c r="AA689" t="str">
        <f t="shared" si="116"/>
        <v>2025-10</v>
      </c>
      <c r="AB689" t="str">
        <f t="shared" si="117"/>
        <v>2025-11</v>
      </c>
      <c r="AC689" t="str">
        <f t="shared" si="118"/>
        <v>Q4-2025</v>
      </c>
      <c r="AD689" s="5">
        <f t="shared" si="119"/>
        <v>51</v>
      </c>
      <c r="AE689" t="str">
        <f t="shared" si="120"/>
        <v>Lost</v>
      </c>
    </row>
    <row r="690" spans="1:31">
      <c r="A690" t="s">
        <v>792</v>
      </c>
      <c r="B690" s="1">
        <v>45740</v>
      </c>
      <c r="C690" t="s">
        <v>42</v>
      </c>
      <c r="D690" t="s">
        <v>43</v>
      </c>
      <c r="E690" t="s">
        <v>58</v>
      </c>
      <c r="F690" t="s">
        <v>45</v>
      </c>
      <c r="G690" t="s">
        <v>99</v>
      </c>
      <c r="H690" t="s">
        <v>53</v>
      </c>
      <c r="I690" t="s">
        <v>48</v>
      </c>
      <c r="J690" s="1">
        <v>46166</v>
      </c>
      <c r="K690" s="1"/>
      <c r="L690" s="3">
        <v>26300</v>
      </c>
      <c r="M690" s="4">
        <v>0.03</v>
      </c>
      <c r="N690" s="4">
        <v>0.85</v>
      </c>
      <c r="P690">
        <v>5</v>
      </c>
      <c r="Q690" t="str">
        <f>IFERROR(VLOOKUP(E690,Lookups!$A$5:$B$24,2,FALSE),"Other")</f>
        <v>Email</v>
      </c>
      <c r="R690" t="str">
        <f>IFERROR(VLOOKUP(F690,Lookups!$D$5:$F$10,2,FALSE),"Unknown Product")</f>
        <v>Service Cloud</v>
      </c>
      <c r="S690" t="str">
        <f>IFERROR(VLOOKUP(F690,Lookups!$D$5:$F$10,3,FALSE),"Unknown")</f>
        <v>Customer Service</v>
      </c>
      <c r="T690" t="str">
        <f t="shared" si="110"/>
        <v>Mid-Market</v>
      </c>
      <c r="U690" t="str">
        <f t="shared" si="111"/>
        <v>Open</v>
      </c>
      <c r="V690" s="3">
        <f t="shared" si="112"/>
        <v>0</v>
      </c>
      <c r="W690" s="3">
        <f t="shared" si="113"/>
        <v>22355</v>
      </c>
      <c r="X690" s="5" t="str">
        <f t="shared" si="114"/>
        <v/>
      </c>
      <c r="Y690" s="5">
        <f>IF(U690="Open",Lookups!$B$2-B690,X690)</f>
        <v>526</v>
      </c>
      <c r="Z690" t="str">
        <f t="shared" si="115"/>
        <v>STALE</v>
      </c>
      <c r="AA690" t="str">
        <f t="shared" si="116"/>
        <v>2025-03</v>
      </c>
      <c r="AB690" t="str">
        <f t="shared" si="117"/>
        <v/>
      </c>
      <c r="AC690" t="str">
        <f t="shared" si="118"/>
        <v>Q1-2025</v>
      </c>
      <c r="AD690" s="5">
        <f t="shared" si="119"/>
        <v>63</v>
      </c>
      <c r="AE690" t="str">
        <f t="shared" si="120"/>
        <v>Commit</v>
      </c>
    </row>
    <row r="691" spans="1:31">
      <c r="A691" t="s">
        <v>793</v>
      </c>
      <c r="B691" s="1">
        <v>46120</v>
      </c>
      <c r="C691" t="s">
        <v>42</v>
      </c>
      <c r="D691" t="s">
        <v>43</v>
      </c>
      <c r="E691" t="s">
        <v>65</v>
      </c>
      <c r="F691" t="s">
        <v>52</v>
      </c>
      <c r="G691" t="s">
        <v>112</v>
      </c>
      <c r="H691" t="s">
        <v>47</v>
      </c>
      <c r="I691" t="s">
        <v>77</v>
      </c>
      <c r="J691" s="1">
        <v>46155</v>
      </c>
      <c r="K691" s="1">
        <v>46155</v>
      </c>
      <c r="L691" s="3">
        <v>6400</v>
      </c>
      <c r="M691" s="4">
        <v>0</v>
      </c>
      <c r="N691" s="4">
        <v>1</v>
      </c>
      <c r="P691">
        <v>6</v>
      </c>
      <c r="Q691" t="str">
        <f>IFERROR(VLOOKUP(E691,Lookups!$A$5:$B$24,2,FALSE),"Other")</f>
        <v>Paid Search</v>
      </c>
      <c r="R691" t="str">
        <f>IFERROR(VLOOKUP(F691,Lookups!$D$5:$F$10,2,FALSE),"Unknown Product")</f>
        <v>NexaCRM Core</v>
      </c>
      <c r="S691" t="str">
        <f>IFERROR(VLOOKUP(F691,Lookups!$D$5:$F$10,3,FALSE),"Unknown")</f>
        <v>CRM</v>
      </c>
      <c r="T691" t="str">
        <f t="shared" si="110"/>
        <v>SMB</v>
      </c>
      <c r="U691" t="str">
        <f t="shared" si="111"/>
        <v>Won</v>
      </c>
      <c r="V691" s="3">
        <f t="shared" si="112"/>
        <v>6400</v>
      </c>
      <c r="W691" s="3">
        <f t="shared" si="113"/>
        <v>0</v>
      </c>
      <c r="X691" s="5">
        <f t="shared" si="114"/>
        <v>35</v>
      </c>
      <c r="Y691" s="5">
        <f>IF(U691="Open",Lookups!$B$2-B691,X691)</f>
        <v>35</v>
      </c>
      <c r="Z691" t="str">
        <f t="shared" si="115"/>
        <v>OK</v>
      </c>
      <c r="AA691" t="str">
        <f t="shared" si="116"/>
        <v>2026-04</v>
      </c>
      <c r="AB691" t="str">
        <f t="shared" si="117"/>
        <v>2026-05</v>
      </c>
      <c r="AC691" t="str">
        <f t="shared" si="118"/>
        <v>Q2-2026</v>
      </c>
      <c r="AD691" s="5">
        <f t="shared" si="119"/>
        <v>48</v>
      </c>
      <c r="AE691" t="str">
        <f t="shared" si="120"/>
        <v>Won</v>
      </c>
    </row>
    <row r="692" spans="1:31">
      <c r="A692" t="s">
        <v>794</v>
      </c>
      <c r="B692" s="1">
        <v>46096</v>
      </c>
      <c r="C692" t="s">
        <v>86</v>
      </c>
      <c r="D692" t="s">
        <v>87</v>
      </c>
      <c r="E692" t="s">
        <v>70</v>
      </c>
      <c r="F692" t="s">
        <v>52</v>
      </c>
      <c r="G692" t="s">
        <v>60</v>
      </c>
      <c r="H692" t="s">
        <v>47</v>
      </c>
      <c r="I692" t="s">
        <v>61</v>
      </c>
      <c r="J692" s="1">
        <v>46161</v>
      </c>
      <c r="K692" s="1">
        <v>46161</v>
      </c>
      <c r="L692" s="3">
        <v>8900</v>
      </c>
      <c r="M692" s="4">
        <v>0</v>
      </c>
      <c r="N692" s="4">
        <v>0</v>
      </c>
      <c r="O692" t="s">
        <v>62</v>
      </c>
      <c r="P692">
        <v>4</v>
      </c>
      <c r="Q692" t="str">
        <f>IFERROR(VLOOKUP(E692,Lookups!$A$5:$B$24,2,FALSE),"Other")</f>
        <v>LinkedIn</v>
      </c>
      <c r="R692" t="str">
        <f>IFERROR(VLOOKUP(F692,Lookups!$D$5:$F$10,2,FALSE),"Unknown Product")</f>
        <v>NexaCRM Core</v>
      </c>
      <c r="S692" t="str">
        <f>IFERROR(VLOOKUP(F692,Lookups!$D$5:$F$10,3,FALSE),"Unknown")</f>
        <v>CRM</v>
      </c>
      <c r="T692" t="str">
        <f t="shared" si="110"/>
        <v>SMB</v>
      </c>
      <c r="U692" t="str">
        <f t="shared" si="111"/>
        <v>Lost</v>
      </c>
      <c r="V692" s="3">
        <f t="shared" si="112"/>
        <v>0</v>
      </c>
      <c r="W692" s="3">
        <f t="shared" si="113"/>
        <v>0</v>
      </c>
      <c r="X692" s="5">
        <f t="shared" si="114"/>
        <v>65</v>
      </c>
      <c r="Y692" s="5">
        <f>IF(U692="Open",Lookups!$B$2-B692,X692)</f>
        <v>65</v>
      </c>
      <c r="Z692" t="str">
        <f t="shared" si="115"/>
        <v>OK</v>
      </c>
      <c r="AA692" t="str">
        <f t="shared" si="116"/>
        <v>2026-03</v>
      </c>
      <c r="AB692" t="str">
        <f t="shared" si="117"/>
        <v>2026-05</v>
      </c>
      <c r="AC692" t="str">
        <f t="shared" si="118"/>
        <v>Q1-2026</v>
      </c>
      <c r="AD692" s="5">
        <f t="shared" si="119"/>
        <v>43</v>
      </c>
      <c r="AE692" t="str">
        <f t="shared" si="120"/>
        <v>Lost</v>
      </c>
    </row>
    <row r="693" spans="1:31">
      <c r="A693" t="s">
        <v>795</v>
      </c>
      <c r="B693" s="1">
        <v>46022</v>
      </c>
      <c r="C693" t="s">
        <v>148</v>
      </c>
      <c r="D693" t="s">
        <v>43</v>
      </c>
      <c r="E693" t="s">
        <v>166</v>
      </c>
      <c r="F693" t="s">
        <v>133</v>
      </c>
      <c r="G693" t="s">
        <v>94</v>
      </c>
      <c r="H693" t="s">
        <v>53</v>
      </c>
      <c r="I693" t="s">
        <v>77</v>
      </c>
      <c r="J693" s="1">
        <v>46096</v>
      </c>
      <c r="K693" s="1">
        <v>46096</v>
      </c>
      <c r="L693" s="3">
        <v>43300</v>
      </c>
      <c r="M693" s="4">
        <v>0.1</v>
      </c>
      <c r="N693" s="4">
        <v>1</v>
      </c>
      <c r="P693">
        <v>6</v>
      </c>
      <c r="Q693" t="str">
        <f>IFERROR(VLOOKUP(E693,Lookups!$A$5:$B$24,2,FALSE),"Other")</f>
        <v>Referral</v>
      </c>
      <c r="R693" t="str">
        <f>IFERROR(VLOOKUP(F693,Lookups!$D$5:$F$10,2,FALSE),"Unknown Product")</f>
        <v>Analytics Plus</v>
      </c>
      <c r="S693" t="str">
        <f>IFERROR(VLOOKUP(F693,Lookups!$D$5:$F$10,3,FALSE),"Unknown")</f>
        <v>Analytics</v>
      </c>
      <c r="T693" t="str">
        <f t="shared" si="110"/>
        <v>Mid-Market</v>
      </c>
      <c r="U693" t="str">
        <f t="shared" si="111"/>
        <v>Won</v>
      </c>
      <c r="V693" s="3">
        <f t="shared" si="112"/>
        <v>38970</v>
      </c>
      <c r="W693" s="3">
        <f t="shared" si="113"/>
        <v>0</v>
      </c>
      <c r="X693" s="5">
        <f t="shared" si="114"/>
        <v>74</v>
      </c>
      <c r="Y693" s="5">
        <f>IF(U693="Open",Lookups!$B$2-B693,X693)</f>
        <v>74</v>
      </c>
      <c r="Z693" t="str">
        <f t="shared" si="115"/>
        <v>OK</v>
      </c>
      <c r="AA693" t="str">
        <f t="shared" si="116"/>
        <v>2025-12</v>
      </c>
      <c r="AB693" t="str">
        <f t="shared" si="117"/>
        <v>2026-03</v>
      </c>
      <c r="AC693" t="str">
        <f t="shared" si="118"/>
        <v>Q4-2025</v>
      </c>
      <c r="AD693" s="5">
        <f t="shared" si="119"/>
        <v>70</v>
      </c>
      <c r="AE693" t="str">
        <f t="shared" si="120"/>
        <v>Won</v>
      </c>
    </row>
    <row r="694" spans="1:31">
      <c r="A694" t="s">
        <v>796</v>
      </c>
      <c r="B694" s="1">
        <v>45729</v>
      </c>
      <c r="C694" t="s">
        <v>148</v>
      </c>
      <c r="D694" t="s">
        <v>43</v>
      </c>
      <c r="E694" t="s">
        <v>138</v>
      </c>
      <c r="F694" t="s">
        <v>45</v>
      </c>
      <c r="G694" t="s">
        <v>76</v>
      </c>
      <c r="H694" t="s">
        <v>47</v>
      </c>
      <c r="I694" t="s">
        <v>61</v>
      </c>
      <c r="J694" s="1">
        <v>45757</v>
      </c>
      <c r="K694" s="1">
        <v>45757</v>
      </c>
      <c r="L694" s="3">
        <v>24700</v>
      </c>
      <c r="M694" s="4">
        <v>0</v>
      </c>
      <c r="N694" s="4">
        <v>0</v>
      </c>
      <c r="O694" t="s">
        <v>62</v>
      </c>
      <c r="P694">
        <v>4</v>
      </c>
      <c r="Q694" t="str">
        <f>IFERROR(VLOOKUP(E694,Lookups!$A$5:$B$24,2,FALSE),"Other")</f>
        <v>Organic Search</v>
      </c>
      <c r="R694" t="str">
        <f>IFERROR(VLOOKUP(F694,Lookups!$D$5:$F$10,2,FALSE),"Unknown Product")</f>
        <v>Service Cloud</v>
      </c>
      <c r="S694" t="str">
        <f>IFERROR(VLOOKUP(F694,Lookups!$D$5:$F$10,3,FALSE),"Unknown")</f>
        <v>Customer Service</v>
      </c>
      <c r="T694" t="str">
        <f t="shared" si="110"/>
        <v>Mid-Market</v>
      </c>
      <c r="U694" t="str">
        <f t="shared" si="111"/>
        <v>Lost</v>
      </c>
      <c r="V694" s="3">
        <f t="shared" si="112"/>
        <v>0</v>
      </c>
      <c r="W694" s="3">
        <f t="shared" si="113"/>
        <v>0</v>
      </c>
      <c r="X694" s="5">
        <f t="shared" si="114"/>
        <v>28</v>
      </c>
      <c r="Y694" s="5">
        <f>IF(U694="Open",Lookups!$B$2-B694,X694)</f>
        <v>28</v>
      </c>
      <c r="Z694" t="str">
        <f t="shared" si="115"/>
        <v>OK</v>
      </c>
      <c r="AA694" t="str">
        <f t="shared" si="116"/>
        <v>2025-03</v>
      </c>
      <c r="AB694" t="str">
        <f t="shared" si="117"/>
        <v>2025-04</v>
      </c>
      <c r="AC694" t="str">
        <f t="shared" si="118"/>
        <v>Q1-2025</v>
      </c>
      <c r="AD694" s="5">
        <f t="shared" si="119"/>
        <v>57</v>
      </c>
      <c r="AE694" t="str">
        <f t="shared" si="120"/>
        <v>Lost</v>
      </c>
    </row>
    <row r="695" spans="1:31">
      <c r="A695" t="s">
        <v>797</v>
      </c>
      <c r="B695" s="1">
        <v>46120</v>
      </c>
      <c r="C695" t="s">
        <v>86</v>
      </c>
      <c r="D695" t="s">
        <v>87</v>
      </c>
      <c r="E695" t="s">
        <v>119</v>
      </c>
      <c r="F695" t="s">
        <v>45</v>
      </c>
      <c r="G695" t="s">
        <v>76</v>
      </c>
      <c r="H695" t="s">
        <v>47</v>
      </c>
      <c r="I695" t="s">
        <v>61</v>
      </c>
      <c r="J695" s="1">
        <v>46157</v>
      </c>
      <c r="K695" s="1">
        <v>46157</v>
      </c>
      <c r="L695" s="3">
        <v>23600</v>
      </c>
      <c r="M695" s="4">
        <v>0</v>
      </c>
      <c r="N695" s="4">
        <v>0</v>
      </c>
      <c r="O695" t="s">
        <v>79</v>
      </c>
      <c r="P695">
        <v>3</v>
      </c>
      <c r="Q695" t="str">
        <f>IFERROR(VLOOKUP(E695,Lookups!$A$5:$B$24,2,FALSE),"Other")</f>
        <v>Referral</v>
      </c>
      <c r="R695" t="str">
        <f>IFERROR(VLOOKUP(F695,Lookups!$D$5:$F$10,2,FALSE),"Unknown Product")</f>
        <v>Service Cloud</v>
      </c>
      <c r="S695" t="str">
        <f>IFERROR(VLOOKUP(F695,Lookups!$D$5:$F$10,3,FALSE),"Unknown")</f>
        <v>Customer Service</v>
      </c>
      <c r="T695" t="str">
        <f t="shared" si="110"/>
        <v>Mid-Market</v>
      </c>
      <c r="U695" t="str">
        <f t="shared" si="111"/>
        <v>Lost</v>
      </c>
      <c r="V695" s="3">
        <f t="shared" si="112"/>
        <v>0</v>
      </c>
      <c r="W695" s="3">
        <f t="shared" si="113"/>
        <v>0</v>
      </c>
      <c r="X695" s="5">
        <f t="shared" si="114"/>
        <v>37</v>
      </c>
      <c r="Y695" s="5">
        <f>IF(U695="Open",Lookups!$B$2-B695,X695)</f>
        <v>37</v>
      </c>
      <c r="Z695" t="str">
        <f t="shared" si="115"/>
        <v>OK</v>
      </c>
      <c r="AA695" t="str">
        <f t="shared" si="116"/>
        <v>2026-04</v>
      </c>
      <c r="AB695" t="str">
        <f t="shared" si="117"/>
        <v>2026-05</v>
      </c>
      <c r="AC695" t="str">
        <f t="shared" si="118"/>
        <v>Q2-2026</v>
      </c>
      <c r="AD695" s="5">
        <f t="shared" si="119"/>
        <v>62</v>
      </c>
      <c r="AE695" t="str">
        <f t="shared" si="120"/>
        <v>Lost</v>
      </c>
    </row>
    <row r="696" spans="1:31">
      <c r="A696" t="s">
        <v>798</v>
      </c>
      <c r="B696" s="1">
        <v>45822</v>
      </c>
      <c r="C696" t="s">
        <v>64</v>
      </c>
      <c r="D696" t="s">
        <v>57</v>
      </c>
      <c r="E696" t="s">
        <v>107</v>
      </c>
      <c r="F696" t="s">
        <v>45</v>
      </c>
      <c r="G696" t="s">
        <v>76</v>
      </c>
      <c r="H696" t="s">
        <v>47</v>
      </c>
      <c r="I696" t="s">
        <v>61</v>
      </c>
      <c r="J696" s="1">
        <v>45867</v>
      </c>
      <c r="K696" s="1">
        <v>45867</v>
      </c>
      <c r="L696" s="3">
        <v>17500</v>
      </c>
      <c r="M696" s="4">
        <v>0</v>
      </c>
      <c r="N696" s="4">
        <v>0</v>
      </c>
      <c r="O696" t="s">
        <v>116</v>
      </c>
      <c r="P696">
        <v>3</v>
      </c>
      <c r="Q696" t="str">
        <f>IFERROR(VLOOKUP(E696,Lookups!$A$5:$B$24,2,FALSE),"Other")</f>
        <v>Referral</v>
      </c>
      <c r="R696" t="str">
        <f>IFERROR(VLOOKUP(F696,Lookups!$D$5:$F$10,2,FALSE),"Unknown Product")</f>
        <v>Service Cloud</v>
      </c>
      <c r="S696" t="str">
        <f>IFERROR(VLOOKUP(F696,Lookups!$D$5:$F$10,3,FALSE),"Unknown")</f>
        <v>Customer Service</v>
      </c>
      <c r="T696" t="str">
        <f t="shared" si="110"/>
        <v>SMB</v>
      </c>
      <c r="U696" t="str">
        <f t="shared" si="111"/>
        <v>Lost</v>
      </c>
      <c r="V696" s="3">
        <f t="shared" si="112"/>
        <v>0</v>
      </c>
      <c r="W696" s="3">
        <f t="shared" si="113"/>
        <v>0</v>
      </c>
      <c r="X696" s="5">
        <f t="shared" si="114"/>
        <v>45</v>
      </c>
      <c r="Y696" s="5">
        <f>IF(U696="Open",Lookups!$B$2-B696,X696)</f>
        <v>45</v>
      </c>
      <c r="Z696" t="str">
        <f t="shared" si="115"/>
        <v>OK</v>
      </c>
      <c r="AA696" t="str">
        <f t="shared" si="116"/>
        <v>2025-06</v>
      </c>
      <c r="AB696" t="str">
        <f t="shared" si="117"/>
        <v>2025-07</v>
      </c>
      <c r="AC696" t="str">
        <f t="shared" si="118"/>
        <v>Q2-2025</v>
      </c>
      <c r="AD696" s="5">
        <f t="shared" si="119"/>
        <v>54</v>
      </c>
      <c r="AE696" t="str">
        <f t="shared" si="120"/>
        <v>Lost</v>
      </c>
    </row>
    <row r="697" spans="1:31">
      <c r="A697" t="s">
        <v>799</v>
      </c>
      <c r="B697" s="1">
        <v>46069</v>
      </c>
      <c r="C697" t="s">
        <v>69</v>
      </c>
      <c r="D697" t="s">
        <v>57</v>
      </c>
      <c r="E697" t="s">
        <v>70</v>
      </c>
      <c r="F697" t="s">
        <v>45</v>
      </c>
      <c r="G697" t="s">
        <v>94</v>
      </c>
      <c r="H697" t="s">
        <v>53</v>
      </c>
      <c r="I697" t="s">
        <v>61</v>
      </c>
      <c r="J697" s="1">
        <v>46114</v>
      </c>
      <c r="K697" s="1">
        <v>46114</v>
      </c>
      <c r="L697" s="3">
        <v>24300</v>
      </c>
      <c r="M697" s="4">
        <v>0</v>
      </c>
      <c r="N697" s="4">
        <v>0</v>
      </c>
      <c r="O697" t="s">
        <v>116</v>
      </c>
      <c r="P697">
        <v>2</v>
      </c>
      <c r="Q697" t="str">
        <f>IFERROR(VLOOKUP(E697,Lookups!$A$5:$B$24,2,FALSE),"Other")</f>
        <v>LinkedIn</v>
      </c>
      <c r="R697" t="str">
        <f>IFERROR(VLOOKUP(F697,Lookups!$D$5:$F$10,2,FALSE),"Unknown Product")</f>
        <v>Service Cloud</v>
      </c>
      <c r="S697" t="str">
        <f>IFERROR(VLOOKUP(F697,Lookups!$D$5:$F$10,3,FALSE),"Unknown")</f>
        <v>Customer Service</v>
      </c>
      <c r="T697" t="str">
        <f t="shared" si="110"/>
        <v>Mid-Market</v>
      </c>
      <c r="U697" t="str">
        <f t="shared" si="111"/>
        <v>Lost</v>
      </c>
      <c r="V697" s="3">
        <f t="shared" si="112"/>
        <v>0</v>
      </c>
      <c r="W697" s="3">
        <f t="shared" si="113"/>
        <v>0</v>
      </c>
      <c r="X697" s="5">
        <f t="shared" si="114"/>
        <v>45</v>
      </c>
      <c r="Y697" s="5">
        <f>IF(U697="Open",Lookups!$B$2-B697,X697)</f>
        <v>45</v>
      </c>
      <c r="Z697" t="str">
        <f t="shared" si="115"/>
        <v>OK</v>
      </c>
      <c r="AA697" t="str">
        <f t="shared" si="116"/>
        <v>2026-02</v>
      </c>
      <c r="AB697" t="str">
        <f t="shared" si="117"/>
        <v>2026-04</v>
      </c>
      <c r="AC697" t="str">
        <f t="shared" si="118"/>
        <v>Q1-2026</v>
      </c>
      <c r="AD697" s="5">
        <f t="shared" si="119"/>
        <v>59</v>
      </c>
      <c r="AE697" t="str">
        <f t="shared" si="120"/>
        <v>Lost</v>
      </c>
    </row>
    <row r="698" spans="1:31">
      <c r="A698" t="s">
        <v>800</v>
      </c>
      <c r="B698" s="1">
        <v>46100</v>
      </c>
      <c r="C698" t="s">
        <v>56</v>
      </c>
      <c r="D698" t="s">
        <v>57</v>
      </c>
      <c r="E698" t="s">
        <v>70</v>
      </c>
      <c r="F698" t="s">
        <v>133</v>
      </c>
      <c r="G698" t="s">
        <v>112</v>
      </c>
      <c r="H698" t="s">
        <v>84</v>
      </c>
      <c r="I698" t="s">
        <v>61</v>
      </c>
      <c r="J698" s="1">
        <v>46118</v>
      </c>
      <c r="K698" s="1">
        <v>46118</v>
      </c>
      <c r="L698" s="3">
        <v>68900</v>
      </c>
      <c r="M698" s="4">
        <v>0</v>
      </c>
      <c r="N698" s="4">
        <v>0</v>
      </c>
      <c r="O698" t="s">
        <v>116</v>
      </c>
      <c r="P698">
        <v>4</v>
      </c>
      <c r="Q698" t="str">
        <f>IFERROR(VLOOKUP(E698,Lookups!$A$5:$B$24,2,FALSE),"Other")</f>
        <v>LinkedIn</v>
      </c>
      <c r="R698" t="str">
        <f>IFERROR(VLOOKUP(F698,Lookups!$D$5:$F$10,2,FALSE),"Unknown Product")</f>
        <v>Analytics Plus</v>
      </c>
      <c r="S698" t="str">
        <f>IFERROR(VLOOKUP(F698,Lookups!$D$5:$F$10,3,FALSE),"Unknown")</f>
        <v>Analytics</v>
      </c>
      <c r="T698" t="str">
        <f t="shared" si="110"/>
        <v>Enterprise</v>
      </c>
      <c r="U698" t="str">
        <f t="shared" si="111"/>
        <v>Lost</v>
      </c>
      <c r="V698" s="3">
        <f t="shared" si="112"/>
        <v>0</v>
      </c>
      <c r="W698" s="3">
        <f t="shared" si="113"/>
        <v>0</v>
      </c>
      <c r="X698" s="5">
        <f t="shared" si="114"/>
        <v>18</v>
      </c>
      <c r="Y698" s="5">
        <f>IF(U698="Open",Lookups!$B$2-B698,X698)</f>
        <v>18</v>
      </c>
      <c r="Z698" t="str">
        <f t="shared" si="115"/>
        <v>OK</v>
      </c>
      <c r="AA698" t="str">
        <f t="shared" si="116"/>
        <v>2026-03</v>
      </c>
      <c r="AB698" t="str">
        <f t="shared" si="117"/>
        <v>2026-04</v>
      </c>
      <c r="AC698" t="str">
        <f t="shared" si="118"/>
        <v>Q1-2026</v>
      </c>
      <c r="AD698" s="5">
        <f t="shared" si="119"/>
        <v>79</v>
      </c>
      <c r="AE698" t="str">
        <f t="shared" si="120"/>
        <v>Lost</v>
      </c>
    </row>
    <row r="699" spans="1:31">
      <c r="A699" t="s">
        <v>801</v>
      </c>
      <c r="B699" s="1">
        <v>45977</v>
      </c>
      <c r="C699" t="s">
        <v>56</v>
      </c>
      <c r="D699" t="s">
        <v>57</v>
      </c>
      <c r="E699" t="s">
        <v>166</v>
      </c>
      <c r="F699" t="s">
        <v>45</v>
      </c>
      <c r="G699" t="s">
        <v>112</v>
      </c>
      <c r="H699" t="s">
        <v>47</v>
      </c>
      <c r="I699" t="s">
        <v>61</v>
      </c>
      <c r="J699" s="1">
        <v>46052</v>
      </c>
      <c r="K699" s="1">
        <v>46052</v>
      </c>
      <c r="L699" s="3">
        <v>12400</v>
      </c>
      <c r="M699" s="4">
        <v>0</v>
      </c>
      <c r="N699" s="4">
        <v>0</v>
      </c>
      <c r="O699" t="s">
        <v>110</v>
      </c>
      <c r="P699">
        <v>3</v>
      </c>
      <c r="Q699" t="str">
        <f>IFERROR(VLOOKUP(E699,Lookups!$A$5:$B$24,2,FALSE),"Other")</f>
        <v>Referral</v>
      </c>
      <c r="R699" t="str">
        <f>IFERROR(VLOOKUP(F699,Lookups!$D$5:$F$10,2,FALSE),"Unknown Product")</f>
        <v>Service Cloud</v>
      </c>
      <c r="S699" t="str">
        <f>IFERROR(VLOOKUP(F699,Lookups!$D$5:$F$10,3,FALSE),"Unknown")</f>
        <v>Customer Service</v>
      </c>
      <c r="T699" t="str">
        <f t="shared" si="110"/>
        <v>SMB</v>
      </c>
      <c r="U699" t="str">
        <f t="shared" si="111"/>
        <v>Lost</v>
      </c>
      <c r="V699" s="3">
        <f t="shared" si="112"/>
        <v>0</v>
      </c>
      <c r="W699" s="3">
        <f t="shared" si="113"/>
        <v>0</v>
      </c>
      <c r="X699" s="5">
        <f t="shared" si="114"/>
        <v>75</v>
      </c>
      <c r="Y699" s="5">
        <f>IF(U699="Open",Lookups!$B$2-B699,X699)</f>
        <v>75</v>
      </c>
      <c r="Z699" t="str">
        <f t="shared" si="115"/>
        <v>OK</v>
      </c>
      <c r="AA699" t="str">
        <f t="shared" si="116"/>
        <v>2025-11</v>
      </c>
      <c r="AB699" t="str">
        <f t="shared" si="117"/>
        <v>2026-01</v>
      </c>
      <c r="AC699" t="str">
        <f t="shared" si="118"/>
        <v>Q4-2025</v>
      </c>
      <c r="AD699" s="5">
        <f t="shared" si="119"/>
        <v>59</v>
      </c>
      <c r="AE699" t="str">
        <f t="shared" si="120"/>
        <v>Lost</v>
      </c>
    </row>
    <row r="700" spans="1:31">
      <c r="A700" t="s">
        <v>802</v>
      </c>
      <c r="B700" s="1">
        <v>45669</v>
      </c>
      <c r="C700" t="s">
        <v>56</v>
      </c>
      <c r="D700" t="s">
        <v>57</v>
      </c>
      <c r="E700" t="s">
        <v>65</v>
      </c>
      <c r="F700" t="s">
        <v>52</v>
      </c>
      <c r="G700" t="s">
        <v>46</v>
      </c>
      <c r="H700" t="s">
        <v>47</v>
      </c>
      <c r="I700" t="s">
        <v>61</v>
      </c>
      <c r="J700" s="1">
        <v>45740</v>
      </c>
      <c r="K700" s="1">
        <v>45740</v>
      </c>
      <c r="L700" s="3">
        <v>10400</v>
      </c>
      <c r="M700" s="4">
        <v>0</v>
      </c>
      <c r="N700" s="4">
        <v>0</v>
      </c>
      <c r="O700" t="s">
        <v>81</v>
      </c>
      <c r="P700">
        <v>2</v>
      </c>
      <c r="Q700" t="str">
        <f>IFERROR(VLOOKUP(E700,Lookups!$A$5:$B$24,2,FALSE),"Other")</f>
        <v>Paid Search</v>
      </c>
      <c r="R700" t="str">
        <f>IFERROR(VLOOKUP(F700,Lookups!$D$5:$F$10,2,FALSE),"Unknown Product")</f>
        <v>NexaCRM Core</v>
      </c>
      <c r="S700" t="str">
        <f>IFERROR(VLOOKUP(F700,Lookups!$D$5:$F$10,3,FALSE),"Unknown")</f>
        <v>CRM</v>
      </c>
      <c r="T700" t="str">
        <f t="shared" si="110"/>
        <v>SMB</v>
      </c>
      <c r="U700" t="str">
        <f t="shared" si="111"/>
        <v>Lost</v>
      </c>
      <c r="V700" s="3">
        <f t="shared" si="112"/>
        <v>0</v>
      </c>
      <c r="W700" s="3">
        <f t="shared" si="113"/>
        <v>0</v>
      </c>
      <c r="X700" s="5">
        <f t="shared" si="114"/>
        <v>71</v>
      </c>
      <c r="Y700" s="5">
        <f>IF(U700="Open",Lookups!$B$2-B700,X700)</f>
        <v>71</v>
      </c>
      <c r="Z700" t="str">
        <f t="shared" si="115"/>
        <v>OK</v>
      </c>
      <c r="AA700" t="str">
        <f t="shared" si="116"/>
        <v>2025-01</v>
      </c>
      <c r="AB700" t="str">
        <f t="shared" si="117"/>
        <v>2025-03</v>
      </c>
      <c r="AC700" t="str">
        <f t="shared" si="118"/>
        <v>Q1-2025</v>
      </c>
      <c r="AD700" s="5">
        <f t="shared" si="119"/>
        <v>43</v>
      </c>
      <c r="AE700" t="str">
        <f t="shared" si="120"/>
        <v>Lost</v>
      </c>
    </row>
    <row r="701" spans="1:31">
      <c r="A701" t="s">
        <v>803</v>
      </c>
      <c r="B701" s="1">
        <v>46023</v>
      </c>
      <c r="C701" t="s">
        <v>69</v>
      </c>
      <c r="D701" t="s">
        <v>57</v>
      </c>
      <c r="E701" t="s">
        <v>119</v>
      </c>
      <c r="F701" t="s">
        <v>52</v>
      </c>
      <c r="G701" t="s">
        <v>112</v>
      </c>
      <c r="H701" t="s">
        <v>47</v>
      </c>
      <c r="I701" t="s">
        <v>61</v>
      </c>
      <c r="J701" s="1">
        <v>46077</v>
      </c>
      <c r="K701" s="1">
        <v>46077</v>
      </c>
      <c r="L701" s="3">
        <v>8400</v>
      </c>
      <c r="M701" s="4">
        <v>0</v>
      </c>
      <c r="N701" s="4">
        <v>0</v>
      </c>
      <c r="O701" t="s">
        <v>62</v>
      </c>
      <c r="P701">
        <v>2</v>
      </c>
      <c r="Q701" t="str">
        <f>IFERROR(VLOOKUP(E701,Lookups!$A$5:$B$24,2,FALSE),"Other")</f>
        <v>Referral</v>
      </c>
      <c r="R701" t="str">
        <f>IFERROR(VLOOKUP(F701,Lookups!$D$5:$F$10,2,FALSE),"Unknown Product")</f>
        <v>NexaCRM Core</v>
      </c>
      <c r="S701" t="str">
        <f>IFERROR(VLOOKUP(F701,Lookups!$D$5:$F$10,3,FALSE),"Unknown")</f>
        <v>CRM</v>
      </c>
      <c r="T701" t="str">
        <f t="shared" si="110"/>
        <v>SMB</v>
      </c>
      <c r="U701" t="str">
        <f t="shared" si="111"/>
        <v>Lost</v>
      </c>
      <c r="V701" s="3">
        <f t="shared" si="112"/>
        <v>0</v>
      </c>
      <c r="W701" s="3">
        <f t="shared" si="113"/>
        <v>0</v>
      </c>
      <c r="X701" s="5">
        <f t="shared" si="114"/>
        <v>54</v>
      </c>
      <c r="Y701" s="5">
        <f>IF(U701="Open",Lookups!$B$2-B701,X701)</f>
        <v>54</v>
      </c>
      <c r="Z701" t="str">
        <f t="shared" si="115"/>
        <v>OK</v>
      </c>
      <c r="AA701" t="str">
        <f t="shared" si="116"/>
        <v>2026-01</v>
      </c>
      <c r="AB701" t="str">
        <f t="shared" si="117"/>
        <v>2026-02</v>
      </c>
      <c r="AC701" t="str">
        <f t="shared" si="118"/>
        <v>Q1-2026</v>
      </c>
      <c r="AD701" s="5">
        <f t="shared" si="119"/>
        <v>59</v>
      </c>
      <c r="AE701" t="str">
        <f t="shared" si="120"/>
        <v>Lost</v>
      </c>
    </row>
    <row r="702" spans="1:31">
      <c r="A702" t="s">
        <v>804</v>
      </c>
      <c r="B702" s="1">
        <v>45935</v>
      </c>
      <c r="C702" t="s">
        <v>86</v>
      </c>
      <c r="D702" t="s">
        <v>87</v>
      </c>
      <c r="E702" t="s">
        <v>58</v>
      </c>
      <c r="F702" t="s">
        <v>52</v>
      </c>
      <c r="G702" t="s">
        <v>94</v>
      </c>
      <c r="H702" t="s">
        <v>53</v>
      </c>
      <c r="I702" t="s">
        <v>77</v>
      </c>
      <c r="J702" s="1">
        <v>45998</v>
      </c>
      <c r="K702" s="1">
        <v>45998</v>
      </c>
      <c r="L702" s="3">
        <v>17700</v>
      </c>
      <c r="M702" s="4">
        <v>0.1</v>
      </c>
      <c r="N702" s="4">
        <v>1</v>
      </c>
      <c r="P702">
        <v>6</v>
      </c>
      <c r="Q702" t="str">
        <f>IFERROR(VLOOKUP(E702,Lookups!$A$5:$B$24,2,FALSE),"Other")</f>
        <v>Email</v>
      </c>
      <c r="R702" t="str">
        <f>IFERROR(VLOOKUP(F702,Lookups!$D$5:$F$10,2,FALSE),"Unknown Product")</f>
        <v>NexaCRM Core</v>
      </c>
      <c r="S702" t="str">
        <f>IFERROR(VLOOKUP(F702,Lookups!$D$5:$F$10,3,FALSE),"Unknown")</f>
        <v>CRM</v>
      </c>
      <c r="T702" t="str">
        <f t="shared" si="110"/>
        <v>SMB</v>
      </c>
      <c r="U702" t="str">
        <f t="shared" si="111"/>
        <v>Won</v>
      </c>
      <c r="V702" s="3">
        <f t="shared" si="112"/>
        <v>15930</v>
      </c>
      <c r="W702" s="3">
        <f t="shared" si="113"/>
        <v>0</v>
      </c>
      <c r="X702" s="5">
        <f t="shared" si="114"/>
        <v>63</v>
      </c>
      <c r="Y702" s="5">
        <f>IF(U702="Open",Lookups!$B$2-B702,X702)</f>
        <v>63</v>
      </c>
      <c r="Z702" t="str">
        <f t="shared" si="115"/>
        <v>OK</v>
      </c>
      <c r="AA702" t="str">
        <f t="shared" si="116"/>
        <v>2025-10</v>
      </c>
      <c r="AB702" t="str">
        <f t="shared" si="117"/>
        <v>2025-12</v>
      </c>
      <c r="AC702" t="str">
        <f t="shared" si="118"/>
        <v>Q4-2025</v>
      </c>
      <c r="AD702" s="5">
        <f t="shared" si="119"/>
        <v>55</v>
      </c>
      <c r="AE702" t="str">
        <f t="shared" si="120"/>
        <v>Won</v>
      </c>
    </row>
    <row r="703" spans="1:31">
      <c r="A703" t="s">
        <v>805</v>
      </c>
      <c r="B703" s="1">
        <v>45726</v>
      </c>
      <c r="C703" t="s">
        <v>50</v>
      </c>
      <c r="D703" t="s">
        <v>43</v>
      </c>
      <c r="E703" t="s">
        <v>107</v>
      </c>
      <c r="F703" t="s">
        <v>133</v>
      </c>
      <c r="G703" t="s">
        <v>76</v>
      </c>
      <c r="H703" t="s">
        <v>53</v>
      </c>
      <c r="I703" t="s">
        <v>48</v>
      </c>
      <c r="J703" s="1">
        <v>45927</v>
      </c>
      <c r="K703" s="1"/>
      <c r="L703" s="3">
        <v>51100</v>
      </c>
      <c r="M703" s="4">
        <v>0.03</v>
      </c>
      <c r="N703" s="4">
        <v>0.85</v>
      </c>
      <c r="P703">
        <v>5</v>
      </c>
      <c r="Q703" t="str">
        <f>IFERROR(VLOOKUP(E703,Lookups!$A$5:$B$24,2,FALSE),"Other")</f>
        <v>Referral</v>
      </c>
      <c r="R703" t="str">
        <f>IFERROR(VLOOKUP(F703,Lookups!$D$5:$F$10,2,FALSE),"Unknown Product")</f>
        <v>Analytics Plus</v>
      </c>
      <c r="S703" t="str">
        <f>IFERROR(VLOOKUP(F703,Lookups!$D$5:$F$10,3,FALSE),"Unknown")</f>
        <v>Analytics</v>
      </c>
      <c r="T703" t="str">
        <f t="shared" si="110"/>
        <v>Enterprise</v>
      </c>
      <c r="U703" t="str">
        <f t="shared" si="111"/>
        <v>Open</v>
      </c>
      <c r="V703" s="3">
        <f t="shared" si="112"/>
        <v>0</v>
      </c>
      <c r="W703" s="3">
        <f t="shared" si="113"/>
        <v>43435</v>
      </c>
      <c r="X703" s="5" t="str">
        <f t="shared" si="114"/>
        <v/>
      </c>
      <c r="Y703" s="5">
        <f>IF(U703="Open",Lookups!$B$2-B703,X703)</f>
        <v>540</v>
      </c>
      <c r="Z703" t="str">
        <f t="shared" si="115"/>
        <v>STALE</v>
      </c>
      <c r="AA703" t="str">
        <f t="shared" si="116"/>
        <v>2025-03</v>
      </c>
      <c r="AB703" t="str">
        <f t="shared" si="117"/>
        <v/>
      </c>
      <c r="AC703" t="str">
        <f t="shared" si="118"/>
        <v>Q1-2025</v>
      </c>
      <c r="AD703" s="5">
        <f t="shared" si="119"/>
        <v>77</v>
      </c>
      <c r="AE703" t="str">
        <f t="shared" si="120"/>
        <v>Commit</v>
      </c>
    </row>
    <row r="704" spans="1:31">
      <c r="A704" t="s">
        <v>806</v>
      </c>
      <c r="B704" s="1">
        <v>46160</v>
      </c>
      <c r="C704" t="s">
        <v>86</v>
      </c>
      <c r="D704" t="s">
        <v>87</v>
      </c>
      <c r="E704" t="s">
        <v>96</v>
      </c>
      <c r="F704" t="s">
        <v>59</v>
      </c>
      <c r="G704" t="s">
        <v>94</v>
      </c>
      <c r="H704" t="s">
        <v>47</v>
      </c>
      <c r="I704" t="s">
        <v>61</v>
      </c>
      <c r="J704" s="1">
        <v>46204</v>
      </c>
      <c r="K704" s="1">
        <v>46204</v>
      </c>
      <c r="L704" s="3">
        <v>22600</v>
      </c>
      <c r="M704" s="4">
        <v>0</v>
      </c>
      <c r="N704" s="4">
        <v>0</v>
      </c>
      <c r="O704" t="s">
        <v>79</v>
      </c>
      <c r="P704">
        <v>4</v>
      </c>
      <c r="Q704" t="str">
        <f>IFERROR(VLOOKUP(E704,Lookups!$A$5:$B$24,2,FALSE),"Other")</f>
        <v>LinkedIn</v>
      </c>
      <c r="R704" t="str">
        <f>IFERROR(VLOOKUP(F704,Lookups!$D$5:$F$10,2,FALSE),"Unknown Product")</f>
        <v>NexaCRM Pro</v>
      </c>
      <c r="S704" t="str">
        <f>IFERROR(VLOOKUP(F704,Lookups!$D$5:$F$10,3,FALSE),"Unknown")</f>
        <v>CRM</v>
      </c>
      <c r="T704" t="str">
        <f t="shared" si="110"/>
        <v>Mid-Market</v>
      </c>
      <c r="U704" t="str">
        <f t="shared" si="111"/>
        <v>Lost</v>
      </c>
      <c r="V704" s="3">
        <f t="shared" si="112"/>
        <v>0</v>
      </c>
      <c r="W704" s="3">
        <f t="shared" si="113"/>
        <v>0</v>
      </c>
      <c r="X704" s="5">
        <f t="shared" si="114"/>
        <v>44</v>
      </c>
      <c r="Y704" s="5">
        <f>IF(U704="Open",Lookups!$B$2-B704,X704)</f>
        <v>44</v>
      </c>
      <c r="Z704" t="str">
        <f t="shared" si="115"/>
        <v>OK</v>
      </c>
      <c r="AA704" t="str">
        <f t="shared" si="116"/>
        <v>2026-05</v>
      </c>
      <c r="AB704" t="str">
        <f t="shared" si="117"/>
        <v>2026-07</v>
      </c>
      <c r="AC704" t="str">
        <f t="shared" si="118"/>
        <v>Q2-2026</v>
      </c>
      <c r="AD704" s="5">
        <f t="shared" si="119"/>
        <v>51</v>
      </c>
      <c r="AE704" t="str">
        <f t="shared" si="120"/>
        <v>Lost</v>
      </c>
    </row>
    <row r="705" spans="1:31">
      <c r="A705" t="s">
        <v>807</v>
      </c>
      <c r="B705" s="1">
        <v>45800</v>
      </c>
      <c r="C705" t="s">
        <v>50</v>
      </c>
      <c r="D705" t="s">
        <v>43</v>
      </c>
      <c r="E705" t="s">
        <v>107</v>
      </c>
      <c r="F705" t="s">
        <v>67</v>
      </c>
      <c r="G705" t="s">
        <v>112</v>
      </c>
      <c r="H705" t="s">
        <v>53</v>
      </c>
      <c r="I705" t="s">
        <v>61</v>
      </c>
      <c r="J705" s="1">
        <v>45864</v>
      </c>
      <c r="K705" s="1">
        <v>45864</v>
      </c>
      <c r="L705" s="3">
        <v>68500</v>
      </c>
      <c r="M705" s="4">
        <v>0</v>
      </c>
      <c r="N705" s="4">
        <v>0</v>
      </c>
      <c r="O705" t="s">
        <v>62</v>
      </c>
      <c r="P705">
        <v>4</v>
      </c>
      <c r="Q705" t="str">
        <f>IFERROR(VLOOKUP(E705,Lookups!$A$5:$B$24,2,FALSE),"Other")</f>
        <v>Referral</v>
      </c>
      <c r="R705" t="str">
        <f>IFERROR(VLOOKUP(F705,Lookups!$D$5:$F$10,2,FALSE),"Unknown Product")</f>
        <v>Revenue Operations Suite</v>
      </c>
      <c r="S705" t="str">
        <f>IFERROR(VLOOKUP(F705,Lookups!$D$5:$F$10,3,FALSE),"Unknown")</f>
        <v>Revenue Ops</v>
      </c>
      <c r="T705" t="str">
        <f t="shared" si="110"/>
        <v>Enterprise</v>
      </c>
      <c r="U705" t="str">
        <f t="shared" si="111"/>
        <v>Lost</v>
      </c>
      <c r="V705" s="3">
        <f t="shared" si="112"/>
        <v>0</v>
      </c>
      <c r="W705" s="3">
        <f t="shared" si="113"/>
        <v>0</v>
      </c>
      <c r="X705" s="5">
        <f t="shared" si="114"/>
        <v>64</v>
      </c>
      <c r="Y705" s="5">
        <f>IF(U705="Open",Lookups!$B$2-B705,X705)</f>
        <v>64</v>
      </c>
      <c r="Z705" t="str">
        <f t="shared" si="115"/>
        <v>OK</v>
      </c>
      <c r="AA705" t="str">
        <f t="shared" si="116"/>
        <v>2025-05</v>
      </c>
      <c r="AB705" t="str">
        <f t="shared" si="117"/>
        <v>2025-07</v>
      </c>
      <c r="AC705" t="str">
        <f t="shared" si="118"/>
        <v>Q2-2025</v>
      </c>
      <c r="AD705" s="5">
        <f t="shared" si="119"/>
        <v>82</v>
      </c>
      <c r="AE705" t="str">
        <f t="shared" si="120"/>
        <v>Lost</v>
      </c>
    </row>
    <row r="706" spans="1:31">
      <c r="A706" t="s">
        <v>808</v>
      </c>
      <c r="B706" s="1">
        <v>45707</v>
      </c>
      <c r="C706" t="s">
        <v>90</v>
      </c>
      <c r="D706" t="s">
        <v>57</v>
      </c>
      <c r="E706" t="s">
        <v>119</v>
      </c>
      <c r="F706" t="s">
        <v>52</v>
      </c>
      <c r="G706" t="s">
        <v>94</v>
      </c>
      <c r="H706" t="s">
        <v>47</v>
      </c>
      <c r="I706" t="s">
        <v>61</v>
      </c>
      <c r="J706" s="1">
        <v>45747</v>
      </c>
      <c r="K706" s="1">
        <v>45747</v>
      </c>
      <c r="L706" s="3">
        <v>8500</v>
      </c>
      <c r="M706" s="4">
        <v>0</v>
      </c>
      <c r="N706" s="4">
        <v>0</v>
      </c>
      <c r="O706" t="s">
        <v>116</v>
      </c>
      <c r="P706">
        <v>4</v>
      </c>
      <c r="Q706" t="str">
        <f>IFERROR(VLOOKUP(E706,Lookups!$A$5:$B$24,2,FALSE),"Other")</f>
        <v>Referral</v>
      </c>
      <c r="R706" t="str">
        <f>IFERROR(VLOOKUP(F706,Lookups!$D$5:$F$10,2,FALSE),"Unknown Product")</f>
        <v>NexaCRM Core</v>
      </c>
      <c r="S706" t="str">
        <f>IFERROR(VLOOKUP(F706,Lookups!$D$5:$F$10,3,FALSE),"Unknown")</f>
        <v>CRM</v>
      </c>
      <c r="T706" t="str">
        <f t="shared" ref="T706:T769" si="121">IF(L706&gt;=50000,"Enterprise",IF(L706&gt;=20000,"Mid-Market","SMB"))</f>
        <v>SMB</v>
      </c>
      <c r="U706" t="str">
        <f t="shared" ref="U706:U769" si="122">IF(I706="Closed Won","Won",IF(I706="Closed Lost","Lost","Open"))</f>
        <v>Lost</v>
      </c>
      <c r="V706" s="3">
        <f t="shared" ref="V706:V769" si="123">IF(U706="Won",L706*(1-M706),0)</f>
        <v>0</v>
      </c>
      <c r="W706" s="3">
        <f t="shared" ref="W706:W769" si="124">IF(U706="Open",L706*N706,0)</f>
        <v>0</v>
      </c>
      <c r="X706" s="5">
        <f t="shared" ref="X706:X769" si="125">IF(U706="Open","",IFERROR(K706-B706,""))</f>
        <v>40</v>
      </c>
      <c r="Y706" s="5">
        <f>IF(U706="Open",Lookups!$B$2-B706,X706)</f>
        <v>40</v>
      </c>
      <c r="Z706" t="str">
        <f t="shared" ref="Z706:Z769" si="126">IF(AND(U706="Open",Y706&gt;30),"STALE","OK")</f>
        <v>OK</v>
      </c>
      <c r="AA706" t="str">
        <f t="shared" ref="AA706:AA769" si="127">TEXT(B706,"yyyy-mm")</f>
        <v>2025-02</v>
      </c>
      <c r="AB706" t="str">
        <f t="shared" ref="AB706:AB769" si="128">IF(K706="","",TEXT(K706,"yyyy-mm"))</f>
        <v>2025-03</v>
      </c>
      <c r="AC706" t="str">
        <f t="shared" ref="AC706:AC769" si="129">"Q"&amp;ROUNDUP(MONTH(B706)/3,0)&amp;"-"&amp;YEAR(B706)</f>
        <v>Q1-2025</v>
      </c>
      <c r="AD706" s="5">
        <f t="shared" ref="AD706:AD769" si="130">MIN(100,IF(H706="Enterprise",30,IF(H706="Mid-Market",22,14))+IF(T706="Enterprise",25,IF(T706="Mid-Market",18,10))+IF(Q706="Referral",25,IF(Q706="Organic Search",20,IF(Q706="Email",18,14)))+IF(G706="Technology",10,5))</f>
        <v>54</v>
      </c>
      <c r="AE706" t="str">
        <f t="shared" ref="AE706:AE769" si="131">IF(U706&lt;&gt;"Open",U706,IF(N706&gt;=0.8,"Commit",IF(N706&gt;=0.5,"Best Case","Pipeline")))</f>
        <v>Lost</v>
      </c>
    </row>
    <row r="707" spans="1:31">
      <c r="A707" t="s">
        <v>809</v>
      </c>
      <c r="B707" s="1">
        <v>45829</v>
      </c>
      <c r="C707" t="s">
        <v>90</v>
      </c>
      <c r="D707" t="s">
        <v>57</v>
      </c>
      <c r="E707" t="s">
        <v>83</v>
      </c>
      <c r="F707" t="s">
        <v>133</v>
      </c>
      <c r="G707" t="s">
        <v>94</v>
      </c>
      <c r="H707" t="s">
        <v>53</v>
      </c>
      <c r="I707" t="s">
        <v>61</v>
      </c>
      <c r="J707" s="1">
        <v>45878</v>
      </c>
      <c r="K707" s="1">
        <v>45878</v>
      </c>
      <c r="L707" s="3">
        <v>52200</v>
      </c>
      <c r="M707" s="4">
        <v>0</v>
      </c>
      <c r="N707" s="4">
        <v>0</v>
      </c>
      <c r="O707" t="s">
        <v>102</v>
      </c>
      <c r="P707">
        <v>3</v>
      </c>
      <c r="Q707" t="str">
        <f>IFERROR(VLOOKUP(E707,Lookups!$A$5:$B$24,2,FALSE),"Other")</f>
        <v>Organic Search</v>
      </c>
      <c r="R707" t="str">
        <f>IFERROR(VLOOKUP(F707,Lookups!$D$5:$F$10,2,FALSE),"Unknown Product")</f>
        <v>Analytics Plus</v>
      </c>
      <c r="S707" t="str">
        <f>IFERROR(VLOOKUP(F707,Lookups!$D$5:$F$10,3,FALSE),"Unknown")</f>
        <v>Analytics</v>
      </c>
      <c r="T707" t="str">
        <f t="shared" si="121"/>
        <v>Enterprise</v>
      </c>
      <c r="U707" t="str">
        <f t="shared" si="122"/>
        <v>Lost</v>
      </c>
      <c r="V707" s="3">
        <f t="shared" si="123"/>
        <v>0</v>
      </c>
      <c r="W707" s="3">
        <f t="shared" si="124"/>
        <v>0</v>
      </c>
      <c r="X707" s="5">
        <f t="shared" si="125"/>
        <v>49</v>
      </c>
      <c r="Y707" s="5">
        <f>IF(U707="Open",Lookups!$B$2-B707,X707)</f>
        <v>49</v>
      </c>
      <c r="Z707" t="str">
        <f t="shared" si="126"/>
        <v>OK</v>
      </c>
      <c r="AA707" t="str">
        <f t="shared" si="127"/>
        <v>2025-06</v>
      </c>
      <c r="AB707" t="str">
        <f t="shared" si="128"/>
        <v>2025-08</v>
      </c>
      <c r="AC707" t="str">
        <f t="shared" si="129"/>
        <v>Q2-2025</v>
      </c>
      <c r="AD707" s="5">
        <f t="shared" si="130"/>
        <v>72</v>
      </c>
      <c r="AE707" t="str">
        <f t="shared" si="131"/>
        <v>Lost</v>
      </c>
    </row>
    <row r="708" spans="1:31">
      <c r="A708" t="s">
        <v>810</v>
      </c>
      <c r="B708" s="1">
        <v>45784</v>
      </c>
      <c r="C708" t="s">
        <v>56</v>
      </c>
      <c r="D708" t="s">
        <v>57</v>
      </c>
      <c r="E708" t="s">
        <v>92</v>
      </c>
      <c r="F708" t="s">
        <v>52</v>
      </c>
      <c r="G708" t="s">
        <v>112</v>
      </c>
      <c r="H708" t="s">
        <v>53</v>
      </c>
      <c r="I708" t="s">
        <v>77</v>
      </c>
      <c r="J708" s="1">
        <v>45855</v>
      </c>
      <c r="K708" s="1">
        <v>45855</v>
      </c>
      <c r="L708" s="3">
        <v>15600</v>
      </c>
      <c r="M708" s="4">
        <v>0.1</v>
      </c>
      <c r="N708" s="4">
        <v>1</v>
      </c>
      <c r="P708">
        <v>6</v>
      </c>
      <c r="Q708" t="str">
        <f>IFERROR(VLOOKUP(E708,Lookups!$A$5:$B$24,2,FALSE),"Other")</f>
        <v>Webinar</v>
      </c>
      <c r="R708" t="str">
        <f>IFERROR(VLOOKUP(F708,Lookups!$D$5:$F$10,2,FALSE),"Unknown Product")</f>
        <v>NexaCRM Core</v>
      </c>
      <c r="S708" t="str">
        <f>IFERROR(VLOOKUP(F708,Lookups!$D$5:$F$10,3,FALSE),"Unknown")</f>
        <v>CRM</v>
      </c>
      <c r="T708" t="str">
        <f t="shared" si="121"/>
        <v>SMB</v>
      </c>
      <c r="U708" t="str">
        <f t="shared" si="122"/>
        <v>Won</v>
      </c>
      <c r="V708" s="3">
        <f t="shared" si="123"/>
        <v>14040</v>
      </c>
      <c r="W708" s="3">
        <f t="shared" si="124"/>
        <v>0</v>
      </c>
      <c r="X708" s="5">
        <f t="shared" si="125"/>
        <v>71</v>
      </c>
      <c r="Y708" s="5">
        <f>IF(U708="Open",Lookups!$B$2-B708,X708)</f>
        <v>71</v>
      </c>
      <c r="Z708" t="str">
        <f t="shared" si="126"/>
        <v>OK</v>
      </c>
      <c r="AA708" t="str">
        <f t="shared" si="127"/>
        <v>2025-05</v>
      </c>
      <c r="AB708" t="str">
        <f t="shared" si="128"/>
        <v>2025-07</v>
      </c>
      <c r="AC708" t="str">
        <f t="shared" si="129"/>
        <v>Q2-2025</v>
      </c>
      <c r="AD708" s="5">
        <f t="shared" si="130"/>
        <v>56</v>
      </c>
      <c r="AE708" t="str">
        <f t="shared" si="131"/>
        <v>Won</v>
      </c>
    </row>
    <row r="709" spans="1:31">
      <c r="A709" t="s">
        <v>811</v>
      </c>
      <c r="B709" s="1">
        <v>45875</v>
      </c>
      <c r="C709" t="s">
        <v>69</v>
      </c>
      <c r="D709" t="s">
        <v>57</v>
      </c>
      <c r="E709" t="s">
        <v>96</v>
      </c>
      <c r="F709" t="s">
        <v>71</v>
      </c>
      <c r="G709" t="s">
        <v>72</v>
      </c>
      <c r="H709" t="s">
        <v>53</v>
      </c>
      <c r="I709" t="s">
        <v>77</v>
      </c>
      <c r="J709" s="1">
        <v>45930</v>
      </c>
      <c r="K709" s="1">
        <v>45930</v>
      </c>
      <c r="L709" s="3">
        <v>35000</v>
      </c>
      <c r="M709" s="4">
        <v>0.12</v>
      </c>
      <c r="N709" s="4">
        <v>1</v>
      </c>
      <c r="P709">
        <v>6</v>
      </c>
      <c r="Q709" t="str">
        <f>IFERROR(VLOOKUP(E709,Lookups!$A$5:$B$24,2,FALSE),"Other")</f>
        <v>LinkedIn</v>
      </c>
      <c r="R709" t="str">
        <f>IFERROR(VLOOKUP(F709,Lookups!$D$5:$F$10,2,FALSE),"Unknown Product")</f>
        <v>Marketing Automation</v>
      </c>
      <c r="S709" t="str">
        <f>IFERROR(VLOOKUP(F709,Lookups!$D$5:$F$10,3,FALSE),"Unknown")</f>
        <v>Marketing</v>
      </c>
      <c r="T709" t="str">
        <f t="shared" si="121"/>
        <v>Mid-Market</v>
      </c>
      <c r="U709" t="str">
        <f t="shared" si="122"/>
        <v>Won</v>
      </c>
      <c r="V709" s="3">
        <f t="shared" si="123"/>
        <v>30800</v>
      </c>
      <c r="W709" s="3">
        <f t="shared" si="124"/>
        <v>0</v>
      </c>
      <c r="X709" s="5">
        <f t="shared" si="125"/>
        <v>55</v>
      </c>
      <c r="Y709" s="5">
        <f>IF(U709="Open",Lookups!$B$2-B709,X709)</f>
        <v>55</v>
      </c>
      <c r="Z709" t="str">
        <f t="shared" si="126"/>
        <v>OK</v>
      </c>
      <c r="AA709" t="str">
        <f t="shared" si="127"/>
        <v>2025-08</v>
      </c>
      <c r="AB709" t="str">
        <f t="shared" si="128"/>
        <v>2025-09</v>
      </c>
      <c r="AC709" t="str">
        <f t="shared" si="129"/>
        <v>Q3-2025</v>
      </c>
      <c r="AD709" s="5">
        <f t="shared" si="130"/>
        <v>59</v>
      </c>
      <c r="AE709" t="str">
        <f t="shared" si="131"/>
        <v>Won</v>
      </c>
    </row>
    <row r="710" spans="1:31">
      <c r="A710" t="s">
        <v>812</v>
      </c>
      <c r="B710" s="1">
        <v>46138</v>
      </c>
      <c r="C710" t="s">
        <v>148</v>
      </c>
      <c r="D710" t="s">
        <v>43</v>
      </c>
      <c r="E710" t="s">
        <v>70</v>
      </c>
      <c r="F710" t="s">
        <v>52</v>
      </c>
      <c r="G710" t="s">
        <v>60</v>
      </c>
      <c r="H710" t="s">
        <v>84</v>
      </c>
      <c r="I710" t="s">
        <v>61</v>
      </c>
      <c r="J710" s="1">
        <v>46190</v>
      </c>
      <c r="K710" s="1">
        <v>46190</v>
      </c>
      <c r="L710" s="3">
        <v>26800</v>
      </c>
      <c r="M710" s="4">
        <v>0</v>
      </c>
      <c r="N710" s="4">
        <v>0</v>
      </c>
      <c r="O710" t="s">
        <v>79</v>
      </c>
      <c r="P710">
        <v>5</v>
      </c>
      <c r="Q710" t="str">
        <f>IFERROR(VLOOKUP(E710,Lookups!$A$5:$B$24,2,FALSE),"Other")</f>
        <v>LinkedIn</v>
      </c>
      <c r="R710" t="str">
        <f>IFERROR(VLOOKUP(F710,Lookups!$D$5:$F$10,2,FALSE),"Unknown Product")</f>
        <v>NexaCRM Core</v>
      </c>
      <c r="S710" t="str">
        <f>IFERROR(VLOOKUP(F710,Lookups!$D$5:$F$10,3,FALSE),"Unknown")</f>
        <v>CRM</v>
      </c>
      <c r="T710" t="str">
        <f t="shared" si="121"/>
        <v>Mid-Market</v>
      </c>
      <c r="U710" t="str">
        <f t="shared" si="122"/>
        <v>Lost</v>
      </c>
      <c r="V710" s="3">
        <f t="shared" si="123"/>
        <v>0</v>
      </c>
      <c r="W710" s="3">
        <f t="shared" si="124"/>
        <v>0</v>
      </c>
      <c r="X710" s="5">
        <f t="shared" si="125"/>
        <v>52</v>
      </c>
      <c r="Y710" s="5">
        <f>IF(U710="Open",Lookups!$B$2-B710,X710)</f>
        <v>52</v>
      </c>
      <c r="Z710" t="str">
        <f t="shared" si="126"/>
        <v>OK</v>
      </c>
      <c r="AA710" t="str">
        <f t="shared" si="127"/>
        <v>2026-04</v>
      </c>
      <c r="AB710" t="str">
        <f t="shared" si="128"/>
        <v>2026-06</v>
      </c>
      <c r="AC710" t="str">
        <f t="shared" si="129"/>
        <v>Q2-2026</v>
      </c>
      <c r="AD710" s="5">
        <f t="shared" si="130"/>
        <v>67</v>
      </c>
      <c r="AE710" t="str">
        <f t="shared" si="131"/>
        <v>Lost</v>
      </c>
    </row>
    <row r="711" spans="1:31">
      <c r="A711" t="s">
        <v>813</v>
      </c>
      <c r="B711" s="1">
        <v>45842</v>
      </c>
      <c r="C711" t="s">
        <v>90</v>
      </c>
      <c r="D711" t="s">
        <v>57</v>
      </c>
      <c r="E711" t="s">
        <v>70</v>
      </c>
      <c r="F711" t="s">
        <v>71</v>
      </c>
      <c r="G711" t="s">
        <v>76</v>
      </c>
      <c r="H711" t="s">
        <v>84</v>
      </c>
      <c r="I711" t="s">
        <v>61</v>
      </c>
      <c r="J711" s="1">
        <v>45916</v>
      </c>
      <c r="K711" s="1">
        <v>45916</v>
      </c>
      <c r="L711" s="3">
        <v>53900</v>
      </c>
      <c r="M711" s="4">
        <v>0</v>
      </c>
      <c r="N711" s="4">
        <v>0</v>
      </c>
      <c r="O711" t="s">
        <v>116</v>
      </c>
      <c r="P711">
        <v>5</v>
      </c>
      <c r="Q711" t="str">
        <f>IFERROR(VLOOKUP(E711,Lookups!$A$5:$B$24,2,FALSE),"Other")</f>
        <v>LinkedIn</v>
      </c>
      <c r="R711" t="str">
        <f>IFERROR(VLOOKUP(F711,Lookups!$D$5:$F$10,2,FALSE),"Unknown Product")</f>
        <v>Marketing Automation</v>
      </c>
      <c r="S711" t="str">
        <f>IFERROR(VLOOKUP(F711,Lookups!$D$5:$F$10,3,FALSE),"Unknown")</f>
        <v>Marketing</v>
      </c>
      <c r="T711" t="str">
        <f t="shared" si="121"/>
        <v>Enterprise</v>
      </c>
      <c r="U711" t="str">
        <f t="shared" si="122"/>
        <v>Lost</v>
      </c>
      <c r="V711" s="3">
        <f t="shared" si="123"/>
        <v>0</v>
      </c>
      <c r="W711" s="3">
        <f t="shared" si="124"/>
        <v>0</v>
      </c>
      <c r="X711" s="5">
        <f t="shared" si="125"/>
        <v>74</v>
      </c>
      <c r="Y711" s="5">
        <f>IF(U711="Open",Lookups!$B$2-B711,X711)</f>
        <v>74</v>
      </c>
      <c r="Z711" t="str">
        <f t="shared" si="126"/>
        <v>OK</v>
      </c>
      <c r="AA711" t="str">
        <f t="shared" si="127"/>
        <v>2025-07</v>
      </c>
      <c r="AB711" t="str">
        <f t="shared" si="128"/>
        <v>2025-09</v>
      </c>
      <c r="AC711" t="str">
        <f t="shared" si="129"/>
        <v>Q3-2025</v>
      </c>
      <c r="AD711" s="5">
        <f t="shared" si="130"/>
        <v>74</v>
      </c>
      <c r="AE711" t="str">
        <f t="shared" si="131"/>
        <v>Lost</v>
      </c>
    </row>
    <row r="712" spans="1:31">
      <c r="A712" t="s">
        <v>814</v>
      </c>
      <c r="B712" s="1">
        <v>45687</v>
      </c>
      <c r="C712" t="s">
        <v>56</v>
      </c>
      <c r="D712" t="s">
        <v>57</v>
      </c>
      <c r="E712" t="s">
        <v>75</v>
      </c>
      <c r="F712" t="s">
        <v>52</v>
      </c>
      <c r="G712" t="s">
        <v>72</v>
      </c>
      <c r="H712" t="s">
        <v>53</v>
      </c>
      <c r="I712" t="s">
        <v>61</v>
      </c>
      <c r="J712" s="1">
        <v>45695</v>
      </c>
      <c r="K712" s="1">
        <v>45695</v>
      </c>
      <c r="L712" s="3">
        <v>10800</v>
      </c>
      <c r="M712" s="4">
        <v>0</v>
      </c>
      <c r="N712" s="4">
        <v>0</v>
      </c>
      <c r="O712" t="s">
        <v>62</v>
      </c>
      <c r="P712">
        <v>2</v>
      </c>
      <c r="Q712" t="str">
        <f>IFERROR(VLOOKUP(E712,Lookups!$A$5:$B$24,2,FALSE),"Other")</f>
        <v>Webinar</v>
      </c>
      <c r="R712" t="str">
        <f>IFERROR(VLOOKUP(F712,Lookups!$D$5:$F$10,2,FALSE),"Unknown Product")</f>
        <v>NexaCRM Core</v>
      </c>
      <c r="S712" t="str">
        <f>IFERROR(VLOOKUP(F712,Lookups!$D$5:$F$10,3,FALSE),"Unknown")</f>
        <v>CRM</v>
      </c>
      <c r="T712" t="str">
        <f t="shared" si="121"/>
        <v>SMB</v>
      </c>
      <c r="U712" t="str">
        <f t="shared" si="122"/>
        <v>Lost</v>
      </c>
      <c r="V712" s="3">
        <f t="shared" si="123"/>
        <v>0</v>
      </c>
      <c r="W712" s="3">
        <f t="shared" si="124"/>
        <v>0</v>
      </c>
      <c r="X712" s="5">
        <f t="shared" si="125"/>
        <v>8</v>
      </c>
      <c r="Y712" s="5">
        <f>IF(U712="Open",Lookups!$B$2-B712,X712)</f>
        <v>8</v>
      </c>
      <c r="Z712" t="str">
        <f t="shared" si="126"/>
        <v>OK</v>
      </c>
      <c r="AA712" t="str">
        <f t="shared" si="127"/>
        <v>2025-01</v>
      </c>
      <c r="AB712" t="str">
        <f t="shared" si="128"/>
        <v>2025-02</v>
      </c>
      <c r="AC712" t="str">
        <f t="shared" si="129"/>
        <v>Q1-2025</v>
      </c>
      <c r="AD712" s="5">
        <f t="shared" si="130"/>
        <v>51</v>
      </c>
      <c r="AE712" t="str">
        <f t="shared" si="131"/>
        <v>Lost</v>
      </c>
    </row>
    <row r="713" spans="1:31">
      <c r="A713" t="s">
        <v>815</v>
      </c>
      <c r="B713" s="1">
        <v>45976</v>
      </c>
      <c r="C713" t="s">
        <v>90</v>
      </c>
      <c r="D713" t="s">
        <v>57</v>
      </c>
      <c r="E713" t="s">
        <v>119</v>
      </c>
      <c r="F713" t="s">
        <v>45</v>
      </c>
      <c r="G713" t="s">
        <v>60</v>
      </c>
      <c r="H713" t="s">
        <v>84</v>
      </c>
      <c r="I713" t="s">
        <v>61</v>
      </c>
      <c r="J713" s="1">
        <v>46025</v>
      </c>
      <c r="K713" s="1">
        <v>46025</v>
      </c>
      <c r="L713" s="3">
        <v>53900</v>
      </c>
      <c r="M713" s="4">
        <v>0</v>
      </c>
      <c r="N713" s="4">
        <v>0</v>
      </c>
      <c r="O713" t="s">
        <v>81</v>
      </c>
      <c r="P713">
        <v>5</v>
      </c>
      <c r="Q713" t="str">
        <f>IFERROR(VLOOKUP(E713,Lookups!$A$5:$B$24,2,FALSE),"Other")</f>
        <v>Referral</v>
      </c>
      <c r="R713" t="str">
        <f>IFERROR(VLOOKUP(F713,Lookups!$D$5:$F$10,2,FALSE),"Unknown Product")</f>
        <v>Service Cloud</v>
      </c>
      <c r="S713" t="str">
        <f>IFERROR(VLOOKUP(F713,Lookups!$D$5:$F$10,3,FALSE),"Unknown")</f>
        <v>Customer Service</v>
      </c>
      <c r="T713" t="str">
        <f t="shared" si="121"/>
        <v>Enterprise</v>
      </c>
      <c r="U713" t="str">
        <f t="shared" si="122"/>
        <v>Lost</v>
      </c>
      <c r="V713" s="3">
        <f t="shared" si="123"/>
        <v>0</v>
      </c>
      <c r="W713" s="3">
        <f t="shared" si="124"/>
        <v>0</v>
      </c>
      <c r="X713" s="5">
        <f t="shared" si="125"/>
        <v>49</v>
      </c>
      <c r="Y713" s="5">
        <f>IF(U713="Open",Lookups!$B$2-B713,X713)</f>
        <v>49</v>
      </c>
      <c r="Z713" t="str">
        <f t="shared" si="126"/>
        <v>OK</v>
      </c>
      <c r="AA713" t="str">
        <f t="shared" si="127"/>
        <v>2025-11</v>
      </c>
      <c r="AB713" t="str">
        <f t="shared" si="128"/>
        <v>2026-01</v>
      </c>
      <c r="AC713" t="str">
        <f t="shared" si="129"/>
        <v>Q4-2025</v>
      </c>
      <c r="AD713" s="5">
        <f t="shared" si="130"/>
        <v>85</v>
      </c>
      <c r="AE713" t="str">
        <f t="shared" si="131"/>
        <v>Lost</v>
      </c>
    </row>
    <row r="714" spans="1:31">
      <c r="A714" t="s">
        <v>816</v>
      </c>
      <c r="B714" s="1">
        <v>45945</v>
      </c>
      <c r="C714" t="s">
        <v>42</v>
      </c>
      <c r="D714" t="s">
        <v>43</v>
      </c>
      <c r="E714" t="s">
        <v>96</v>
      </c>
      <c r="F714" t="s">
        <v>59</v>
      </c>
      <c r="G714" t="s">
        <v>76</v>
      </c>
      <c r="H714" t="s">
        <v>47</v>
      </c>
      <c r="I714" t="s">
        <v>61</v>
      </c>
      <c r="J714" s="1">
        <v>45982</v>
      </c>
      <c r="K714" s="1">
        <v>45982</v>
      </c>
      <c r="L714" s="3">
        <v>21400</v>
      </c>
      <c r="M714" s="4">
        <v>0</v>
      </c>
      <c r="N714" s="4">
        <v>0</v>
      </c>
      <c r="O714" t="s">
        <v>81</v>
      </c>
      <c r="P714">
        <v>5</v>
      </c>
      <c r="Q714" t="str">
        <f>IFERROR(VLOOKUP(E714,Lookups!$A$5:$B$24,2,FALSE),"Other")</f>
        <v>LinkedIn</v>
      </c>
      <c r="R714" t="str">
        <f>IFERROR(VLOOKUP(F714,Lookups!$D$5:$F$10,2,FALSE),"Unknown Product")</f>
        <v>NexaCRM Pro</v>
      </c>
      <c r="S714" t="str">
        <f>IFERROR(VLOOKUP(F714,Lookups!$D$5:$F$10,3,FALSE),"Unknown")</f>
        <v>CRM</v>
      </c>
      <c r="T714" t="str">
        <f t="shared" si="121"/>
        <v>Mid-Market</v>
      </c>
      <c r="U714" t="str">
        <f t="shared" si="122"/>
        <v>Lost</v>
      </c>
      <c r="V714" s="3">
        <f t="shared" si="123"/>
        <v>0</v>
      </c>
      <c r="W714" s="3">
        <f t="shared" si="124"/>
        <v>0</v>
      </c>
      <c r="X714" s="5">
        <f t="shared" si="125"/>
        <v>37</v>
      </c>
      <c r="Y714" s="5">
        <f>IF(U714="Open",Lookups!$B$2-B714,X714)</f>
        <v>37</v>
      </c>
      <c r="Z714" t="str">
        <f t="shared" si="126"/>
        <v>OK</v>
      </c>
      <c r="AA714" t="str">
        <f t="shared" si="127"/>
        <v>2025-10</v>
      </c>
      <c r="AB714" t="str">
        <f t="shared" si="128"/>
        <v>2025-11</v>
      </c>
      <c r="AC714" t="str">
        <f t="shared" si="129"/>
        <v>Q4-2025</v>
      </c>
      <c r="AD714" s="5">
        <f t="shared" si="130"/>
        <v>51</v>
      </c>
      <c r="AE714" t="str">
        <f t="shared" si="131"/>
        <v>Lost</v>
      </c>
    </row>
    <row r="715" spans="1:31">
      <c r="A715" t="s">
        <v>817</v>
      </c>
      <c r="B715" s="1">
        <v>45698</v>
      </c>
      <c r="C715" t="s">
        <v>69</v>
      </c>
      <c r="D715" t="s">
        <v>57</v>
      </c>
      <c r="E715" t="s">
        <v>166</v>
      </c>
      <c r="F715" t="s">
        <v>52</v>
      </c>
      <c r="G715" t="s">
        <v>76</v>
      </c>
      <c r="H715" t="s">
        <v>47</v>
      </c>
      <c r="I715" t="s">
        <v>48</v>
      </c>
      <c r="J715" s="1">
        <v>45977</v>
      </c>
      <c r="K715" s="1"/>
      <c r="L715" s="3">
        <v>8200</v>
      </c>
      <c r="M715" s="4">
        <v>0</v>
      </c>
      <c r="N715" s="4">
        <v>0.85</v>
      </c>
      <c r="P715">
        <v>5</v>
      </c>
      <c r="Q715" t="str">
        <f>IFERROR(VLOOKUP(E715,Lookups!$A$5:$B$24,2,FALSE),"Other")</f>
        <v>Referral</v>
      </c>
      <c r="R715" t="str">
        <f>IFERROR(VLOOKUP(F715,Lookups!$D$5:$F$10,2,FALSE),"Unknown Product")</f>
        <v>NexaCRM Core</v>
      </c>
      <c r="S715" t="str">
        <f>IFERROR(VLOOKUP(F715,Lookups!$D$5:$F$10,3,FALSE),"Unknown")</f>
        <v>CRM</v>
      </c>
      <c r="T715" t="str">
        <f t="shared" si="121"/>
        <v>SMB</v>
      </c>
      <c r="U715" t="str">
        <f t="shared" si="122"/>
        <v>Open</v>
      </c>
      <c r="V715" s="3">
        <f t="shared" si="123"/>
        <v>0</v>
      </c>
      <c r="W715" s="3">
        <f t="shared" si="124"/>
        <v>6970</v>
      </c>
      <c r="X715" s="5" t="str">
        <f t="shared" si="125"/>
        <v/>
      </c>
      <c r="Y715" s="5">
        <f>IF(U715="Open",Lookups!$B$2-B715,X715)</f>
        <v>568</v>
      </c>
      <c r="Z715" t="str">
        <f t="shared" si="126"/>
        <v>STALE</v>
      </c>
      <c r="AA715" t="str">
        <f t="shared" si="127"/>
        <v>2025-02</v>
      </c>
      <c r="AB715" t="str">
        <f t="shared" si="128"/>
        <v/>
      </c>
      <c r="AC715" t="str">
        <f t="shared" si="129"/>
        <v>Q1-2025</v>
      </c>
      <c r="AD715" s="5">
        <f t="shared" si="130"/>
        <v>54</v>
      </c>
      <c r="AE715" t="str">
        <f t="shared" si="131"/>
        <v>Commit</v>
      </c>
    </row>
    <row r="716" spans="1:31">
      <c r="A716" t="s">
        <v>818</v>
      </c>
      <c r="B716" s="1">
        <v>45788</v>
      </c>
      <c r="C716" t="s">
        <v>64</v>
      </c>
      <c r="D716" t="s">
        <v>57</v>
      </c>
      <c r="E716" t="s">
        <v>109</v>
      </c>
      <c r="F716" t="s">
        <v>71</v>
      </c>
      <c r="G716" t="s">
        <v>99</v>
      </c>
      <c r="H716" t="s">
        <v>53</v>
      </c>
      <c r="I716" t="s">
        <v>61</v>
      </c>
      <c r="J716" s="1">
        <v>45858</v>
      </c>
      <c r="K716" s="1">
        <v>45858</v>
      </c>
      <c r="L716" s="3">
        <v>27600</v>
      </c>
      <c r="M716" s="4">
        <v>0</v>
      </c>
      <c r="N716" s="4">
        <v>0</v>
      </c>
      <c r="O716" t="s">
        <v>62</v>
      </c>
      <c r="P716">
        <v>3</v>
      </c>
      <c r="Q716" t="str">
        <f>IFERROR(VLOOKUP(E716,Lookups!$A$5:$B$24,2,FALSE),"Other")</f>
        <v>Outbound</v>
      </c>
      <c r="R716" t="str">
        <f>IFERROR(VLOOKUP(F716,Lookups!$D$5:$F$10,2,FALSE),"Unknown Product")</f>
        <v>Marketing Automation</v>
      </c>
      <c r="S716" t="str">
        <f>IFERROR(VLOOKUP(F716,Lookups!$D$5:$F$10,3,FALSE),"Unknown")</f>
        <v>Marketing</v>
      </c>
      <c r="T716" t="str">
        <f t="shared" si="121"/>
        <v>Mid-Market</v>
      </c>
      <c r="U716" t="str">
        <f t="shared" si="122"/>
        <v>Lost</v>
      </c>
      <c r="V716" s="3">
        <f t="shared" si="123"/>
        <v>0</v>
      </c>
      <c r="W716" s="3">
        <f t="shared" si="124"/>
        <v>0</v>
      </c>
      <c r="X716" s="5">
        <f t="shared" si="125"/>
        <v>70</v>
      </c>
      <c r="Y716" s="5">
        <f>IF(U716="Open",Lookups!$B$2-B716,X716)</f>
        <v>70</v>
      </c>
      <c r="Z716" t="str">
        <f t="shared" si="126"/>
        <v>OK</v>
      </c>
      <c r="AA716" t="str">
        <f t="shared" si="127"/>
        <v>2025-05</v>
      </c>
      <c r="AB716" t="str">
        <f t="shared" si="128"/>
        <v>2025-07</v>
      </c>
      <c r="AC716" t="str">
        <f t="shared" si="129"/>
        <v>Q2-2025</v>
      </c>
      <c r="AD716" s="5">
        <f t="shared" si="130"/>
        <v>59</v>
      </c>
      <c r="AE716" t="str">
        <f t="shared" si="131"/>
        <v>Lost</v>
      </c>
    </row>
    <row r="717" spans="1:31">
      <c r="A717" t="s">
        <v>819</v>
      </c>
      <c r="B717" s="1">
        <v>46217</v>
      </c>
      <c r="C717" t="s">
        <v>64</v>
      </c>
      <c r="D717" t="s">
        <v>57</v>
      </c>
      <c r="E717" t="s">
        <v>65</v>
      </c>
      <c r="F717" t="s">
        <v>59</v>
      </c>
      <c r="G717" t="s">
        <v>94</v>
      </c>
      <c r="H717" t="s">
        <v>47</v>
      </c>
      <c r="I717" t="s">
        <v>61</v>
      </c>
      <c r="J717" s="1">
        <v>46235</v>
      </c>
      <c r="K717" s="1">
        <v>46235</v>
      </c>
      <c r="L717" s="3">
        <v>23600</v>
      </c>
      <c r="M717" s="4">
        <v>0</v>
      </c>
      <c r="N717" s="4">
        <v>0</v>
      </c>
      <c r="O717" t="s">
        <v>116</v>
      </c>
      <c r="P717">
        <v>4</v>
      </c>
      <c r="Q717" t="str">
        <f>IFERROR(VLOOKUP(E717,Lookups!$A$5:$B$24,2,FALSE),"Other")</f>
        <v>Paid Search</v>
      </c>
      <c r="R717" t="str">
        <f>IFERROR(VLOOKUP(F717,Lookups!$D$5:$F$10,2,FALSE),"Unknown Product")</f>
        <v>NexaCRM Pro</v>
      </c>
      <c r="S717" t="str">
        <f>IFERROR(VLOOKUP(F717,Lookups!$D$5:$F$10,3,FALSE),"Unknown")</f>
        <v>CRM</v>
      </c>
      <c r="T717" t="str">
        <f t="shared" si="121"/>
        <v>Mid-Market</v>
      </c>
      <c r="U717" t="str">
        <f t="shared" si="122"/>
        <v>Lost</v>
      </c>
      <c r="V717" s="3">
        <f t="shared" si="123"/>
        <v>0</v>
      </c>
      <c r="W717" s="3">
        <f t="shared" si="124"/>
        <v>0</v>
      </c>
      <c r="X717" s="5">
        <f t="shared" si="125"/>
        <v>18</v>
      </c>
      <c r="Y717" s="5">
        <f>IF(U717="Open",Lookups!$B$2-B717,X717)</f>
        <v>18</v>
      </c>
      <c r="Z717" t="str">
        <f t="shared" si="126"/>
        <v>OK</v>
      </c>
      <c r="AA717" t="str">
        <f t="shared" si="127"/>
        <v>2026-07</v>
      </c>
      <c r="AB717" t="str">
        <f t="shared" si="128"/>
        <v>2026-08</v>
      </c>
      <c r="AC717" t="str">
        <f t="shared" si="129"/>
        <v>Q3-2026</v>
      </c>
      <c r="AD717" s="5">
        <f t="shared" si="130"/>
        <v>51</v>
      </c>
      <c r="AE717" t="str">
        <f t="shared" si="131"/>
        <v>Lost</v>
      </c>
    </row>
    <row r="718" spans="1:31">
      <c r="A718" t="s">
        <v>820</v>
      </c>
      <c r="B718" s="1">
        <v>45844</v>
      </c>
      <c r="C718" t="s">
        <v>64</v>
      </c>
      <c r="D718" t="s">
        <v>57</v>
      </c>
      <c r="E718" t="s">
        <v>109</v>
      </c>
      <c r="F718" t="s">
        <v>52</v>
      </c>
      <c r="G718" t="s">
        <v>72</v>
      </c>
      <c r="H718" t="s">
        <v>53</v>
      </c>
      <c r="I718" t="s">
        <v>61</v>
      </c>
      <c r="J718" s="1">
        <v>45873</v>
      </c>
      <c r="K718" s="1">
        <v>45873</v>
      </c>
      <c r="L718" s="3">
        <v>8200</v>
      </c>
      <c r="M718" s="4">
        <v>0</v>
      </c>
      <c r="N718" s="4">
        <v>0</v>
      </c>
      <c r="O718" t="s">
        <v>62</v>
      </c>
      <c r="P718">
        <v>2</v>
      </c>
      <c r="Q718" t="str">
        <f>IFERROR(VLOOKUP(E718,Lookups!$A$5:$B$24,2,FALSE),"Other")</f>
        <v>Outbound</v>
      </c>
      <c r="R718" t="str">
        <f>IFERROR(VLOOKUP(F718,Lookups!$D$5:$F$10,2,FALSE),"Unknown Product")</f>
        <v>NexaCRM Core</v>
      </c>
      <c r="S718" t="str">
        <f>IFERROR(VLOOKUP(F718,Lookups!$D$5:$F$10,3,FALSE),"Unknown")</f>
        <v>CRM</v>
      </c>
      <c r="T718" t="str">
        <f t="shared" si="121"/>
        <v>SMB</v>
      </c>
      <c r="U718" t="str">
        <f t="shared" si="122"/>
        <v>Lost</v>
      </c>
      <c r="V718" s="3">
        <f t="shared" si="123"/>
        <v>0</v>
      </c>
      <c r="W718" s="3">
        <f t="shared" si="124"/>
        <v>0</v>
      </c>
      <c r="X718" s="5">
        <f t="shared" si="125"/>
        <v>29</v>
      </c>
      <c r="Y718" s="5">
        <f>IF(U718="Open",Lookups!$B$2-B718,X718)</f>
        <v>29</v>
      </c>
      <c r="Z718" t="str">
        <f t="shared" si="126"/>
        <v>OK</v>
      </c>
      <c r="AA718" t="str">
        <f t="shared" si="127"/>
        <v>2025-07</v>
      </c>
      <c r="AB718" t="str">
        <f t="shared" si="128"/>
        <v>2025-08</v>
      </c>
      <c r="AC718" t="str">
        <f t="shared" si="129"/>
        <v>Q3-2025</v>
      </c>
      <c r="AD718" s="5">
        <f t="shared" si="130"/>
        <v>51</v>
      </c>
      <c r="AE718" t="str">
        <f t="shared" si="131"/>
        <v>Lost</v>
      </c>
    </row>
    <row r="719" spans="1:31">
      <c r="A719" t="s">
        <v>821</v>
      </c>
      <c r="B719" s="1">
        <v>46263</v>
      </c>
      <c r="C719" t="s">
        <v>64</v>
      </c>
      <c r="D719" t="s">
        <v>57</v>
      </c>
      <c r="E719" t="s">
        <v>138</v>
      </c>
      <c r="F719" t="s">
        <v>45</v>
      </c>
      <c r="G719" t="s">
        <v>94</v>
      </c>
      <c r="H719" t="s">
        <v>53</v>
      </c>
      <c r="I719" t="s">
        <v>73</v>
      </c>
      <c r="J719" s="1">
        <v>46265</v>
      </c>
      <c r="K719" s="1"/>
      <c r="L719" s="3">
        <v>36600</v>
      </c>
      <c r="M719" s="4">
        <v>0.05</v>
      </c>
      <c r="N719" s="4">
        <v>0.2</v>
      </c>
      <c r="P719">
        <v>2</v>
      </c>
      <c r="Q719" t="str">
        <f>IFERROR(VLOOKUP(E719,Lookups!$A$5:$B$24,2,FALSE),"Other")</f>
        <v>Organic Search</v>
      </c>
      <c r="R719" t="str">
        <f>IFERROR(VLOOKUP(F719,Lookups!$D$5:$F$10,2,FALSE),"Unknown Product")</f>
        <v>Service Cloud</v>
      </c>
      <c r="S719" t="str">
        <f>IFERROR(VLOOKUP(F719,Lookups!$D$5:$F$10,3,FALSE),"Unknown")</f>
        <v>Customer Service</v>
      </c>
      <c r="T719" t="str">
        <f t="shared" si="121"/>
        <v>Mid-Market</v>
      </c>
      <c r="U719" t="str">
        <f t="shared" si="122"/>
        <v>Open</v>
      </c>
      <c r="V719" s="3">
        <f t="shared" si="123"/>
        <v>0</v>
      </c>
      <c r="W719" s="3">
        <f t="shared" si="124"/>
        <v>7320</v>
      </c>
      <c r="X719" s="5" t="str">
        <f t="shared" si="125"/>
        <v/>
      </c>
      <c r="Y719" s="5">
        <f>IF(U719="Open",Lookups!$B$2-B719,X719)</f>
        <v>3</v>
      </c>
      <c r="Z719" t="str">
        <f t="shared" si="126"/>
        <v>OK</v>
      </c>
      <c r="AA719" t="str">
        <f t="shared" si="127"/>
        <v>2026-08</v>
      </c>
      <c r="AB719" t="str">
        <f t="shared" si="128"/>
        <v/>
      </c>
      <c r="AC719" t="str">
        <f t="shared" si="129"/>
        <v>Q3-2026</v>
      </c>
      <c r="AD719" s="5">
        <f t="shared" si="130"/>
        <v>65</v>
      </c>
      <c r="AE719" t="str">
        <f t="shared" si="131"/>
        <v>Pipeline</v>
      </c>
    </row>
    <row r="720" spans="1:31">
      <c r="A720" t="s">
        <v>822</v>
      </c>
      <c r="B720" s="1">
        <v>46152</v>
      </c>
      <c r="C720" t="s">
        <v>86</v>
      </c>
      <c r="D720" t="s">
        <v>87</v>
      </c>
      <c r="E720" t="s">
        <v>70</v>
      </c>
      <c r="F720" t="s">
        <v>59</v>
      </c>
      <c r="G720" t="s">
        <v>60</v>
      </c>
      <c r="H720" t="s">
        <v>47</v>
      </c>
      <c r="I720" t="s">
        <v>61</v>
      </c>
      <c r="J720" s="1">
        <v>46189</v>
      </c>
      <c r="K720" s="1">
        <v>46189</v>
      </c>
      <c r="L720" s="3">
        <v>16100</v>
      </c>
      <c r="M720" s="4">
        <v>0</v>
      </c>
      <c r="N720" s="4">
        <v>0</v>
      </c>
      <c r="O720" t="s">
        <v>110</v>
      </c>
      <c r="P720">
        <v>5</v>
      </c>
      <c r="Q720" t="str">
        <f>IFERROR(VLOOKUP(E720,Lookups!$A$5:$B$24,2,FALSE),"Other")</f>
        <v>LinkedIn</v>
      </c>
      <c r="R720" t="str">
        <f>IFERROR(VLOOKUP(F720,Lookups!$D$5:$F$10,2,FALSE),"Unknown Product")</f>
        <v>NexaCRM Pro</v>
      </c>
      <c r="S720" t="str">
        <f>IFERROR(VLOOKUP(F720,Lookups!$D$5:$F$10,3,FALSE),"Unknown")</f>
        <v>CRM</v>
      </c>
      <c r="T720" t="str">
        <f t="shared" si="121"/>
        <v>SMB</v>
      </c>
      <c r="U720" t="str">
        <f t="shared" si="122"/>
        <v>Lost</v>
      </c>
      <c r="V720" s="3">
        <f t="shared" si="123"/>
        <v>0</v>
      </c>
      <c r="W720" s="3">
        <f t="shared" si="124"/>
        <v>0</v>
      </c>
      <c r="X720" s="5">
        <f t="shared" si="125"/>
        <v>37</v>
      </c>
      <c r="Y720" s="5">
        <f>IF(U720="Open",Lookups!$B$2-B720,X720)</f>
        <v>37</v>
      </c>
      <c r="Z720" t="str">
        <f t="shared" si="126"/>
        <v>OK</v>
      </c>
      <c r="AA720" t="str">
        <f t="shared" si="127"/>
        <v>2026-05</v>
      </c>
      <c r="AB720" t="str">
        <f t="shared" si="128"/>
        <v>2026-06</v>
      </c>
      <c r="AC720" t="str">
        <f t="shared" si="129"/>
        <v>Q2-2026</v>
      </c>
      <c r="AD720" s="5">
        <f t="shared" si="130"/>
        <v>43</v>
      </c>
      <c r="AE720" t="str">
        <f t="shared" si="131"/>
        <v>Lost</v>
      </c>
    </row>
    <row r="721" spans="1:31">
      <c r="A721" t="s">
        <v>823</v>
      </c>
      <c r="B721" s="1">
        <v>46180</v>
      </c>
      <c r="C721" t="s">
        <v>86</v>
      </c>
      <c r="D721" t="s">
        <v>87</v>
      </c>
      <c r="E721" t="s">
        <v>146</v>
      </c>
      <c r="F721" t="s">
        <v>45</v>
      </c>
      <c r="G721" t="s">
        <v>76</v>
      </c>
      <c r="H721" t="s">
        <v>47</v>
      </c>
      <c r="I721" t="s">
        <v>61</v>
      </c>
      <c r="J721" s="1">
        <v>46188</v>
      </c>
      <c r="K721" s="1">
        <v>46188</v>
      </c>
      <c r="L721" s="3">
        <v>14700</v>
      </c>
      <c r="M721" s="4">
        <v>0</v>
      </c>
      <c r="N721" s="4">
        <v>0</v>
      </c>
      <c r="O721" t="s">
        <v>116</v>
      </c>
      <c r="P721">
        <v>2</v>
      </c>
      <c r="Q721" t="str">
        <f>IFERROR(VLOOKUP(E721,Lookups!$A$5:$B$24,2,FALSE),"Other")</f>
        <v>LinkedIn</v>
      </c>
      <c r="R721" t="str">
        <f>IFERROR(VLOOKUP(F721,Lookups!$D$5:$F$10,2,FALSE),"Unknown Product")</f>
        <v>Service Cloud</v>
      </c>
      <c r="S721" t="str">
        <f>IFERROR(VLOOKUP(F721,Lookups!$D$5:$F$10,3,FALSE),"Unknown")</f>
        <v>Customer Service</v>
      </c>
      <c r="T721" t="str">
        <f t="shared" si="121"/>
        <v>SMB</v>
      </c>
      <c r="U721" t="str">
        <f t="shared" si="122"/>
        <v>Lost</v>
      </c>
      <c r="V721" s="3">
        <f t="shared" si="123"/>
        <v>0</v>
      </c>
      <c r="W721" s="3">
        <f t="shared" si="124"/>
        <v>0</v>
      </c>
      <c r="X721" s="5">
        <f t="shared" si="125"/>
        <v>8</v>
      </c>
      <c r="Y721" s="5">
        <f>IF(U721="Open",Lookups!$B$2-B721,X721)</f>
        <v>8</v>
      </c>
      <c r="Z721" t="str">
        <f t="shared" si="126"/>
        <v>OK</v>
      </c>
      <c r="AA721" t="str">
        <f t="shared" si="127"/>
        <v>2026-06</v>
      </c>
      <c r="AB721" t="str">
        <f t="shared" si="128"/>
        <v>2026-06</v>
      </c>
      <c r="AC721" t="str">
        <f t="shared" si="129"/>
        <v>Q2-2026</v>
      </c>
      <c r="AD721" s="5">
        <f t="shared" si="130"/>
        <v>43</v>
      </c>
      <c r="AE721" t="str">
        <f t="shared" si="131"/>
        <v>Lost</v>
      </c>
    </row>
    <row r="722" spans="1:31">
      <c r="A722" t="s">
        <v>824</v>
      </c>
      <c r="B722" s="1">
        <v>46092</v>
      </c>
      <c r="C722" t="s">
        <v>86</v>
      </c>
      <c r="D722" t="s">
        <v>87</v>
      </c>
      <c r="E722" t="s">
        <v>51</v>
      </c>
      <c r="F722" t="s">
        <v>45</v>
      </c>
      <c r="G722" t="s">
        <v>112</v>
      </c>
      <c r="H722" t="s">
        <v>53</v>
      </c>
      <c r="I722" t="s">
        <v>61</v>
      </c>
      <c r="J722" s="1">
        <v>46152</v>
      </c>
      <c r="K722" s="1">
        <v>46152</v>
      </c>
      <c r="L722" s="3">
        <v>36600</v>
      </c>
      <c r="M722" s="4">
        <v>0</v>
      </c>
      <c r="N722" s="4">
        <v>0</v>
      </c>
      <c r="O722" t="s">
        <v>81</v>
      </c>
      <c r="P722">
        <v>5</v>
      </c>
      <c r="Q722" t="str">
        <f>IFERROR(VLOOKUP(E722,Lookups!$A$5:$B$24,2,FALSE),"Other")</f>
        <v>Paid Search</v>
      </c>
      <c r="R722" t="str">
        <f>IFERROR(VLOOKUP(F722,Lookups!$D$5:$F$10,2,FALSE),"Unknown Product")</f>
        <v>Service Cloud</v>
      </c>
      <c r="S722" t="str">
        <f>IFERROR(VLOOKUP(F722,Lookups!$D$5:$F$10,3,FALSE),"Unknown")</f>
        <v>Customer Service</v>
      </c>
      <c r="T722" t="str">
        <f t="shared" si="121"/>
        <v>Mid-Market</v>
      </c>
      <c r="U722" t="str">
        <f t="shared" si="122"/>
        <v>Lost</v>
      </c>
      <c r="V722" s="3">
        <f t="shared" si="123"/>
        <v>0</v>
      </c>
      <c r="W722" s="3">
        <f t="shared" si="124"/>
        <v>0</v>
      </c>
      <c r="X722" s="5">
        <f t="shared" si="125"/>
        <v>60</v>
      </c>
      <c r="Y722" s="5">
        <f>IF(U722="Open",Lookups!$B$2-B722,X722)</f>
        <v>60</v>
      </c>
      <c r="Z722" t="str">
        <f t="shared" si="126"/>
        <v>OK</v>
      </c>
      <c r="AA722" t="str">
        <f t="shared" si="127"/>
        <v>2026-03</v>
      </c>
      <c r="AB722" t="str">
        <f t="shared" si="128"/>
        <v>2026-05</v>
      </c>
      <c r="AC722" t="str">
        <f t="shared" si="129"/>
        <v>Q1-2026</v>
      </c>
      <c r="AD722" s="5">
        <f t="shared" si="130"/>
        <v>64</v>
      </c>
      <c r="AE722" t="str">
        <f t="shared" si="131"/>
        <v>Lost</v>
      </c>
    </row>
    <row r="723" spans="1:31">
      <c r="A723" t="s">
        <v>825</v>
      </c>
      <c r="B723" s="1">
        <v>46244</v>
      </c>
      <c r="C723" t="s">
        <v>86</v>
      </c>
      <c r="D723" t="s">
        <v>87</v>
      </c>
      <c r="E723" t="s">
        <v>96</v>
      </c>
      <c r="F723" t="s">
        <v>59</v>
      </c>
      <c r="G723" t="s">
        <v>46</v>
      </c>
      <c r="H723" t="s">
        <v>47</v>
      </c>
      <c r="I723" t="s">
        <v>187</v>
      </c>
      <c r="J723" s="1">
        <v>46261</v>
      </c>
      <c r="K723" s="1"/>
      <c r="L723" s="3">
        <v>22700</v>
      </c>
      <c r="M723" s="4">
        <v>0</v>
      </c>
      <c r="N723" s="4">
        <v>0.05</v>
      </c>
      <c r="P723">
        <v>1</v>
      </c>
      <c r="Q723" t="str">
        <f>IFERROR(VLOOKUP(E723,Lookups!$A$5:$B$24,2,FALSE),"Other")</f>
        <v>LinkedIn</v>
      </c>
      <c r="R723" t="str">
        <f>IFERROR(VLOOKUP(F723,Lookups!$D$5:$F$10,2,FALSE),"Unknown Product")</f>
        <v>NexaCRM Pro</v>
      </c>
      <c r="S723" t="str">
        <f>IFERROR(VLOOKUP(F723,Lookups!$D$5:$F$10,3,FALSE),"Unknown")</f>
        <v>CRM</v>
      </c>
      <c r="T723" t="str">
        <f t="shared" si="121"/>
        <v>Mid-Market</v>
      </c>
      <c r="U723" t="str">
        <f t="shared" si="122"/>
        <v>Open</v>
      </c>
      <c r="V723" s="3">
        <f t="shared" si="123"/>
        <v>0</v>
      </c>
      <c r="W723" s="3">
        <f t="shared" si="124"/>
        <v>1135</v>
      </c>
      <c r="X723" s="5" t="str">
        <f t="shared" si="125"/>
        <v/>
      </c>
      <c r="Y723" s="5">
        <f>IF(U723="Open",Lookups!$B$2-B723,X723)</f>
        <v>22</v>
      </c>
      <c r="Z723" t="str">
        <f t="shared" si="126"/>
        <v>OK</v>
      </c>
      <c r="AA723" t="str">
        <f t="shared" si="127"/>
        <v>2026-08</v>
      </c>
      <c r="AB723" t="str">
        <f t="shared" si="128"/>
        <v/>
      </c>
      <c r="AC723" t="str">
        <f t="shared" si="129"/>
        <v>Q3-2026</v>
      </c>
      <c r="AD723" s="5">
        <f t="shared" si="130"/>
        <v>51</v>
      </c>
      <c r="AE723" t="str">
        <f t="shared" si="131"/>
        <v>Pipeline</v>
      </c>
    </row>
    <row r="724" spans="1:31">
      <c r="A724" t="s">
        <v>826</v>
      </c>
      <c r="B724" s="1">
        <v>45862</v>
      </c>
      <c r="C724" t="s">
        <v>69</v>
      </c>
      <c r="D724" t="s">
        <v>57</v>
      </c>
      <c r="E724" t="s">
        <v>138</v>
      </c>
      <c r="F724" t="s">
        <v>52</v>
      </c>
      <c r="G724" t="s">
        <v>76</v>
      </c>
      <c r="H724" t="s">
        <v>53</v>
      </c>
      <c r="I724" t="s">
        <v>77</v>
      </c>
      <c r="J724" s="1">
        <v>45874</v>
      </c>
      <c r="K724" s="1">
        <v>45874</v>
      </c>
      <c r="L724" s="3">
        <v>18600</v>
      </c>
      <c r="M724" s="4">
        <v>0</v>
      </c>
      <c r="N724" s="4">
        <v>1</v>
      </c>
      <c r="P724">
        <v>6</v>
      </c>
      <c r="Q724" t="str">
        <f>IFERROR(VLOOKUP(E724,Lookups!$A$5:$B$24,2,FALSE),"Other")</f>
        <v>Organic Search</v>
      </c>
      <c r="R724" t="str">
        <f>IFERROR(VLOOKUP(F724,Lookups!$D$5:$F$10,2,FALSE),"Unknown Product")</f>
        <v>NexaCRM Core</v>
      </c>
      <c r="S724" t="str">
        <f>IFERROR(VLOOKUP(F724,Lookups!$D$5:$F$10,3,FALSE),"Unknown")</f>
        <v>CRM</v>
      </c>
      <c r="T724" t="str">
        <f t="shared" si="121"/>
        <v>SMB</v>
      </c>
      <c r="U724" t="str">
        <f t="shared" si="122"/>
        <v>Won</v>
      </c>
      <c r="V724" s="3">
        <f t="shared" si="123"/>
        <v>18600</v>
      </c>
      <c r="W724" s="3">
        <f t="shared" si="124"/>
        <v>0</v>
      </c>
      <c r="X724" s="5">
        <f t="shared" si="125"/>
        <v>12</v>
      </c>
      <c r="Y724" s="5">
        <f>IF(U724="Open",Lookups!$B$2-B724,X724)</f>
        <v>12</v>
      </c>
      <c r="Z724" t="str">
        <f t="shared" si="126"/>
        <v>OK</v>
      </c>
      <c r="AA724" t="str">
        <f t="shared" si="127"/>
        <v>2025-07</v>
      </c>
      <c r="AB724" t="str">
        <f t="shared" si="128"/>
        <v>2025-08</v>
      </c>
      <c r="AC724" t="str">
        <f t="shared" si="129"/>
        <v>Q3-2025</v>
      </c>
      <c r="AD724" s="5">
        <f t="shared" si="130"/>
        <v>57</v>
      </c>
      <c r="AE724" t="str">
        <f t="shared" si="131"/>
        <v>Won</v>
      </c>
    </row>
    <row r="725" spans="1:31">
      <c r="A725" t="s">
        <v>827</v>
      </c>
      <c r="B725" s="1">
        <v>46079</v>
      </c>
      <c r="C725" t="s">
        <v>42</v>
      </c>
      <c r="D725" t="s">
        <v>43</v>
      </c>
      <c r="E725" t="s">
        <v>138</v>
      </c>
      <c r="F725" t="s">
        <v>71</v>
      </c>
      <c r="G725" t="s">
        <v>99</v>
      </c>
      <c r="H725" t="s">
        <v>53</v>
      </c>
      <c r="I725" t="s">
        <v>61</v>
      </c>
      <c r="J725" s="1">
        <v>46150</v>
      </c>
      <c r="K725" s="1">
        <v>46150</v>
      </c>
      <c r="L725" s="3">
        <v>26200</v>
      </c>
      <c r="M725" s="4">
        <v>0</v>
      </c>
      <c r="N725" s="4">
        <v>0</v>
      </c>
      <c r="O725" t="s">
        <v>62</v>
      </c>
      <c r="P725">
        <v>2</v>
      </c>
      <c r="Q725" t="str">
        <f>IFERROR(VLOOKUP(E725,Lookups!$A$5:$B$24,2,FALSE),"Other")</f>
        <v>Organic Search</v>
      </c>
      <c r="R725" t="str">
        <f>IFERROR(VLOOKUP(F725,Lookups!$D$5:$F$10,2,FALSE),"Unknown Product")</f>
        <v>Marketing Automation</v>
      </c>
      <c r="S725" t="str">
        <f>IFERROR(VLOOKUP(F725,Lookups!$D$5:$F$10,3,FALSE),"Unknown")</f>
        <v>Marketing</v>
      </c>
      <c r="T725" t="str">
        <f t="shared" si="121"/>
        <v>Mid-Market</v>
      </c>
      <c r="U725" t="str">
        <f t="shared" si="122"/>
        <v>Lost</v>
      </c>
      <c r="V725" s="3">
        <f t="shared" si="123"/>
        <v>0</v>
      </c>
      <c r="W725" s="3">
        <f t="shared" si="124"/>
        <v>0</v>
      </c>
      <c r="X725" s="5">
        <f t="shared" si="125"/>
        <v>71</v>
      </c>
      <c r="Y725" s="5">
        <f>IF(U725="Open",Lookups!$B$2-B725,X725)</f>
        <v>71</v>
      </c>
      <c r="Z725" t="str">
        <f t="shared" si="126"/>
        <v>OK</v>
      </c>
      <c r="AA725" t="str">
        <f t="shared" si="127"/>
        <v>2026-02</v>
      </c>
      <c r="AB725" t="str">
        <f t="shared" si="128"/>
        <v>2026-05</v>
      </c>
      <c r="AC725" t="str">
        <f t="shared" si="129"/>
        <v>Q1-2026</v>
      </c>
      <c r="AD725" s="5">
        <f t="shared" si="130"/>
        <v>65</v>
      </c>
      <c r="AE725" t="str">
        <f t="shared" si="131"/>
        <v>Lost</v>
      </c>
    </row>
    <row r="726" spans="1:31">
      <c r="A726" t="s">
        <v>828</v>
      </c>
      <c r="B726" s="1">
        <v>45771</v>
      </c>
      <c r="C726" t="s">
        <v>42</v>
      </c>
      <c r="D726" t="s">
        <v>43</v>
      </c>
      <c r="E726" t="s">
        <v>58</v>
      </c>
      <c r="F726" t="s">
        <v>71</v>
      </c>
      <c r="G726" t="s">
        <v>72</v>
      </c>
      <c r="H726" t="s">
        <v>47</v>
      </c>
      <c r="I726" t="s">
        <v>61</v>
      </c>
      <c r="J726" s="1">
        <v>45826</v>
      </c>
      <c r="K726" s="1">
        <v>45826</v>
      </c>
      <c r="L726" s="3">
        <v>15300</v>
      </c>
      <c r="M726" s="4">
        <v>0</v>
      </c>
      <c r="N726" s="4">
        <v>0</v>
      </c>
      <c r="O726" t="s">
        <v>81</v>
      </c>
      <c r="P726">
        <v>4</v>
      </c>
      <c r="Q726" t="str">
        <f>IFERROR(VLOOKUP(E726,Lookups!$A$5:$B$24,2,FALSE),"Other")</f>
        <v>Email</v>
      </c>
      <c r="R726" t="str">
        <f>IFERROR(VLOOKUP(F726,Lookups!$D$5:$F$10,2,FALSE),"Unknown Product")</f>
        <v>Marketing Automation</v>
      </c>
      <c r="S726" t="str">
        <f>IFERROR(VLOOKUP(F726,Lookups!$D$5:$F$10,3,FALSE),"Unknown")</f>
        <v>Marketing</v>
      </c>
      <c r="T726" t="str">
        <f t="shared" si="121"/>
        <v>SMB</v>
      </c>
      <c r="U726" t="str">
        <f t="shared" si="122"/>
        <v>Lost</v>
      </c>
      <c r="V726" s="3">
        <f t="shared" si="123"/>
        <v>0</v>
      </c>
      <c r="W726" s="3">
        <f t="shared" si="124"/>
        <v>0</v>
      </c>
      <c r="X726" s="5">
        <f t="shared" si="125"/>
        <v>55</v>
      </c>
      <c r="Y726" s="5">
        <f>IF(U726="Open",Lookups!$B$2-B726,X726)</f>
        <v>55</v>
      </c>
      <c r="Z726" t="str">
        <f t="shared" si="126"/>
        <v>OK</v>
      </c>
      <c r="AA726" t="str">
        <f t="shared" si="127"/>
        <v>2025-04</v>
      </c>
      <c r="AB726" t="str">
        <f t="shared" si="128"/>
        <v>2025-06</v>
      </c>
      <c r="AC726" t="str">
        <f t="shared" si="129"/>
        <v>Q2-2025</v>
      </c>
      <c r="AD726" s="5">
        <f t="shared" si="130"/>
        <v>47</v>
      </c>
      <c r="AE726" t="str">
        <f t="shared" si="131"/>
        <v>Lost</v>
      </c>
    </row>
    <row r="727" spans="1:31">
      <c r="A727" t="s">
        <v>829</v>
      </c>
      <c r="B727" s="1">
        <v>45910</v>
      </c>
      <c r="C727" t="s">
        <v>64</v>
      </c>
      <c r="D727" t="s">
        <v>57</v>
      </c>
      <c r="E727" t="s">
        <v>58</v>
      </c>
      <c r="F727" t="s">
        <v>71</v>
      </c>
      <c r="G727" t="s">
        <v>112</v>
      </c>
      <c r="H727" t="s">
        <v>47</v>
      </c>
      <c r="I727" t="s">
        <v>77</v>
      </c>
      <c r="J727" s="1">
        <v>45981</v>
      </c>
      <c r="K727" s="1">
        <v>45981</v>
      </c>
      <c r="L727" s="3">
        <v>15900</v>
      </c>
      <c r="M727" s="4">
        <v>0.05</v>
      </c>
      <c r="N727" s="4">
        <v>1</v>
      </c>
      <c r="P727">
        <v>6</v>
      </c>
      <c r="Q727" t="str">
        <f>IFERROR(VLOOKUP(E727,Lookups!$A$5:$B$24,2,FALSE),"Other")</f>
        <v>Email</v>
      </c>
      <c r="R727" t="str">
        <f>IFERROR(VLOOKUP(F727,Lookups!$D$5:$F$10,2,FALSE),"Unknown Product")</f>
        <v>Marketing Automation</v>
      </c>
      <c r="S727" t="str">
        <f>IFERROR(VLOOKUP(F727,Lookups!$D$5:$F$10,3,FALSE),"Unknown")</f>
        <v>Marketing</v>
      </c>
      <c r="T727" t="str">
        <f t="shared" si="121"/>
        <v>SMB</v>
      </c>
      <c r="U727" t="str">
        <f t="shared" si="122"/>
        <v>Won</v>
      </c>
      <c r="V727" s="3">
        <f t="shared" si="123"/>
        <v>15105</v>
      </c>
      <c r="W727" s="3">
        <f t="shared" si="124"/>
        <v>0</v>
      </c>
      <c r="X727" s="5">
        <f t="shared" si="125"/>
        <v>71</v>
      </c>
      <c r="Y727" s="5">
        <f>IF(U727="Open",Lookups!$B$2-B727,X727)</f>
        <v>71</v>
      </c>
      <c r="Z727" t="str">
        <f t="shared" si="126"/>
        <v>OK</v>
      </c>
      <c r="AA727" t="str">
        <f t="shared" si="127"/>
        <v>2025-09</v>
      </c>
      <c r="AB727" t="str">
        <f t="shared" si="128"/>
        <v>2025-11</v>
      </c>
      <c r="AC727" t="str">
        <f t="shared" si="129"/>
        <v>Q3-2025</v>
      </c>
      <c r="AD727" s="5">
        <f t="shared" si="130"/>
        <v>52</v>
      </c>
      <c r="AE727" t="str">
        <f t="shared" si="131"/>
        <v>Won</v>
      </c>
    </row>
    <row r="728" spans="1:31">
      <c r="A728" t="s">
        <v>830</v>
      </c>
      <c r="B728" s="1">
        <v>45796</v>
      </c>
      <c r="C728" t="s">
        <v>50</v>
      </c>
      <c r="D728" t="s">
        <v>43</v>
      </c>
      <c r="E728" t="s">
        <v>65</v>
      </c>
      <c r="F728" t="s">
        <v>59</v>
      </c>
      <c r="G728" t="s">
        <v>46</v>
      </c>
      <c r="H728" t="s">
        <v>53</v>
      </c>
      <c r="I728" t="s">
        <v>61</v>
      </c>
      <c r="J728" s="1">
        <v>45865</v>
      </c>
      <c r="K728" s="1">
        <v>45865</v>
      </c>
      <c r="L728" s="3">
        <v>22800</v>
      </c>
      <c r="M728" s="4">
        <v>0</v>
      </c>
      <c r="N728" s="4">
        <v>0</v>
      </c>
      <c r="O728" t="s">
        <v>116</v>
      </c>
      <c r="P728">
        <v>4</v>
      </c>
      <c r="Q728" t="str">
        <f>IFERROR(VLOOKUP(E728,Lookups!$A$5:$B$24,2,FALSE),"Other")</f>
        <v>Paid Search</v>
      </c>
      <c r="R728" t="str">
        <f>IFERROR(VLOOKUP(F728,Lookups!$D$5:$F$10,2,FALSE),"Unknown Product")</f>
        <v>NexaCRM Pro</v>
      </c>
      <c r="S728" t="str">
        <f>IFERROR(VLOOKUP(F728,Lookups!$D$5:$F$10,3,FALSE),"Unknown")</f>
        <v>CRM</v>
      </c>
      <c r="T728" t="str">
        <f t="shared" si="121"/>
        <v>Mid-Market</v>
      </c>
      <c r="U728" t="str">
        <f t="shared" si="122"/>
        <v>Lost</v>
      </c>
      <c r="V728" s="3">
        <f t="shared" si="123"/>
        <v>0</v>
      </c>
      <c r="W728" s="3">
        <f t="shared" si="124"/>
        <v>0</v>
      </c>
      <c r="X728" s="5">
        <f t="shared" si="125"/>
        <v>69</v>
      </c>
      <c r="Y728" s="5">
        <f>IF(U728="Open",Lookups!$B$2-B728,X728)</f>
        <v>69</v>
      </c>
      <c r="Z728" t="str">
        <f t="shared" si="126"/>
        <v>OK</v>
      </c>
      <c r="AA728" t="str">
        <f t="shared" si="127"/>
        <v>2025-05</v>
      </c>
      <c r="AB728" t="str">
        <f t="shared" si="128"/>
        <v>2025-07</v>
      </c>
      <c r="AC728" t="str">
        <f t="shared" si="129"/>
        <v>Q2-2025</v>
      </c>
      <c r="AD728" s="5">
        <f t="shared" si="130"/>
        <v>59</v>
      </c>
      <c r="AE728" t="str">
        <f t="shared" si="131"/>
        <v>Lost</v>
      </c>
    </row>
    <row r="729" spans="1:31">
      <c r="A729" t="s">
        <v>831</v>
      </c>
      <c r="B729" s="1">
        <v>46241</v>
      </c>
      <c r="C729" t="s">
        <v>64</v>
      </c>
      <c r="D729" t="s">
        <v>57</v>
      </c>
      <c r="E729" t="s">
        <v>138</v>
      </c>
      <c r="F729" t="s">
        <v>59</v>
      </c>
      <c r="G729" t="s">
        <v>99</v>
      </c>
      <c r="H729" t="s">
        <v>47</v>
      </c>
      <c r="I729" t="s">
        <v>187</v>
      </c>
      <c r="J729" s="1">
        <v>46255</v>
      </c>
      <c r="K729" s="1"/>
      <c r="L729" s="3">
        <v>19800</v>
      </c>
      <c r="M729" s="4">
        <v>0</v>
      </c>
      <c r="N729" s="4">
        <v>0.05</v>
      </c>
      <c r="P729">
        <v>1</v>
      </c>
      <c r="Q729" t="str">
        <f>IFERROR(VLOOKUP(E729,Lookups!$A$5:$B$24,2,FALSE),"Other")</f>
        <v>Organic Search</v>
      </c>
      <c r="R729" t="str">
        <f>IFERROR(VLOOKUP(F729,Lookups!$D$5:$F$10,2,FALSE),"Unknown Product")</f>
        <v>NexaCRM Pro</v>
      </c>
      <c r="S729" t="str">
        <f>IFERROR(VLOOKUP(F729,Lookups!$D$5:$F$10,3,FALSE),"Unknown")</f>
        <v>CRM</v>
      </c>
      <c r="T729" t="str">
        <f t="shared" si="121"/>
        <v>SMB</v>
      </c>
      <c r="U729" t="str">
        <f t="shared" si="122"/>
        <v>Open</v>
      </c>
      <c r="V729" s="3">
        <f t="shared" si="123"/>
        <v>0</v>
      </c>
      <c r="W729" s="3">
        <f t="shared" si="124"/>
        <v>990</v>
      </c>
      <c r="X729" s="5" t="str">
        <f t="shared" si="125"/>
        <v/>
      </c>
      <c r="Y729" s="5">
        <f>IF(U729="Open",Lookups!$B$2-B729,X729)</f>
        <v>25</v>
      </c>
      <c r="Z729" t="str">
        <f t="shared" si="126"/>
        <v>OK</v>
      </c>
      <c r="AA729" t="str">
        <f t="shared" si="127"/>
        <v>2026-08</v>
      </c>
      <c r="AB729" t="str">
        <f t="shared" si="128"/>
        <v/>
      </c>
      <c r="AC729" t="str">
        <f t="shared" si="129"/>
        <v>Q3-2026</v>
      </c>
      <c r="AD729" s="5">
        <f t="shared" si="130"/>
        <v>49</v>
      </c>
      <c r="AE729" t="str">
        <f t="shared" si="131"/>
        <v>Pipeline</v>
      </c>
    </row>
    <row r="730" spans="1:31">
      <c r="A730" t="s">
        <v>832</v>
      </c>
      <c r="B730" s="1">
        <v>45680</v>
      </c>
      <c r="C730" t="s">
        <v>86</v>
      </c>
      <c r="D730" t="s">
        <v>87</v>
      </c>
      <c r="E730" t="s">
        <v>51</v>
      </c>
      <c r="F730" t="s">
        <v>59</v>
      </c>
      <c r="G730" t="s">
        <v>72</v>
      </c>
      <c r="H730" t="s">
        <v>53</v>
      </c>
      <c r="I730" t="s">
        <v>48</v>
      </c>
      <c r="J730" s="1">
        <v>45971</v>
      </c>
      <c r="K730" s="1"/>
      <c r="L730" s="3">
        <v>32000</v>
      </c>
      <c r="M730" s="4">
        <v>0</v>
      </c>
      <c r="N730" s="4">
        <v>0.85</v>
      </c>
      <c r="P730">
        <v>5</v>
      </c>
      <c r="Q730" t="str">
        <f>IFERROR(VLOOKUP(E730,Lookups!$A$5:$B$24,2,FALSE),"Other")</f>
        <v>Paid Search</v>
      </c>
      <c r="R730" t="str">
        <f>IFERROR(VLOOKUP(F730,Lookups!$D$5:$F$10,2,FALSE),"Unknown Product")</f>
        <v>NexaCRM Pro</v>
      </c>
      <c r="S730" t="str">
        <f>IFERROR(VLOOKUP(F730,Lookups!$D$5:$F$10,3,FALSE),"Unknown")</f>
        <v>CRM</v>
      </c>
      <c r="T730" t="str">
        <f t="shared" si="121"/>
        <v>Mid-Market</v>
      </c>
      <c r="U730" t="str">
        <f t="shared" si="122"/>
        <v>Open</v>
      </c>
      <c r="V730" s="3">
        <f t="shared" si="123"/>
        <v>0</v>
      </c>
      <c r="W730" s="3">
        <f t="shared" si="124"/>
        <v>27200</v>
      </c>
      <c r="X730" s="5" t="str">
        <f t="shared" si="125"/>
        <v/>
      </c>
      <c r="Y730" s="5">
        <f>IF(U730="Open",Lookups!$B$2-B730,X730)</f>
        <v>586</v>
      </c>
      <c r="Z730" t="str">
        <f t="shared" si="126"/>
        <v>STALE</v>
      </c>
      <c r="AA730" t="str">
        <f t="shared" si="127"/>
        <v>2025-01</v>
      </c>
      <c r="AB730" t="str">
        <f t="shared" si="128"/>
        <v/>
      </c>
      <c r="AC730" t="str">
        <f t="shared" si="129"/>
        <v>Q1-2025</v>
      </c>
      <c r="AD730" s="5">
        <f t="shared" si="130"/>
        <v>59</v>
      </c>
      <c r="AE730" t="str">
        <f t="shared" si="131"/>
        <v>Commit</v>
      </c>
    </row>
    <row r="731" spans="1:31">
      <c r="A731" t="s">
        <v>833</v>
      </c>
      <c r="B731" s="1">
        <v>45954</v>
      </c>
      <c r="C731" t="s">
        <v>64</v>
      </c>
      <c r="D731" t="s">
        <v>57</v>
      </c>
      <c r="E731" t="s">
        <v>75</v>
      </c>
      <c r="F731" t="s">
        <v>71</v>
      </c>
      <c r="G731" t="s">
        <v>60</v>
      </c>
      <c r="H731" t="s">
        <v>47</v>
      </c>
      <c r="I731" t="s">
        <v>61</v>
      </c>
      <c r="J731" s="1">
        <v>46014</v>
      </c>
      <c r="K731" s="1">
        <v>46014</v>
      </c>
      <c r="L731" s="3">
        <v>13300</v>
      </c>
      <c r="M731" s="4">
        <v>0</v>
      </c>
      <c r="N731" s="4">
        <v>0</v>
      </c>
      <c r="O731" t="s">
        <v>79</v>
      </c>
      <c r="P731">
        <v>5</v>
      </c>
      <c r="Q731" t="str">
        <f>IFERROR(VLOOKUP(E731,Lookups!$A$5:$B$24,2,FALSE),"Other")</f>
        <v>Webinar</v>
      </c>
      <c r="R731" t="str">
        <f>IFERROR(VLOOKUP(F731,Lookups!$D$5:$F$10,2,FALSE),"Unknown Product")</f>
        <v>Marketing Automation</v>
      </c>
      <c r="S731" t="str">
        <f>IFERROR(VLOOKUP(F731,Lookups!$D$5:$F$10,3,FALSE),"Unknown")</f>
        <v>Marketing</v>
      </c>
      <c r="T731" t="str">
        <f t="shared" si="121"/>
        <v>SMB</v>
      </c>
      <c r="U731" t="str">
        <f t="shared" si="122"/>
        <v>Lost</v>
      </c>
      <c r="V731" s="3">
        <f t="shared" si="123"/>
        <v>0</v>
      </c>
      <c r="W731" s="3">
        <f t="shared" si="124"/>
        <v>0</v>
      </c>
      <c r="X731" s="5">
        <f t="shared" si="125"/>
        <v>60</v>
      </c>
      <c r="Y731" s="5">
        <f>IF(U731="Open",Lookups!$B$2-B731,X731)</f>
        <v>60</v>
      </c>
      <c r="Z731" t="str">
        <f t="shared" si="126"/>
        <v>OK</v>
      </c>
      <c r="AA731" t="str">
        <f t="shared" si="127"/>
        <v>2025-10</v>
      </c>
      <c r="AB731" t="str">
        <f t="shared" si="128"/>
        <v>2025-12</v>
      </c>
      <c r="AC731" t="str">
        <f t="shared" si="129"/>
        <v>Q4-2025</v>
      </c>
      <c r="AD731" s="5">
        <f t="shared" si="130"/>
        <v>43</v>
      </c>
      <c r="AE731" t="str">
        <f t="shared" si="131"/>
        <v>Lost</v>
      </c>
    </row>
    <row r="732" spans="1:31">
      <c r="A732" t="s">
        <v>834</v>
      </c>
      <c r="B732" s="1">
        <v>45740</v>
      </c>
      <c r="C732" t="s">
        <v>86</v>
      </c>
      <c r="D732" t="s">
        <v>87</v>
      </c>
      <c r="E732" t="s">
        <v>70</v>
      </c>
      <c r="F732" t="s">
        <v>59</v>
      </c>
      <c r="G732" t="s">
        <v>60</v>
      </c>
      <c r="H732" t="s">
        <v>47</v>
      </c>
      <c r="I732" t="s">
        <v>61</v>
      </c>
      <c r="J732" s="1">
        <v>45786</v>
      </c>
      <c r="K732" s="1">
        <v>45786</v>
      </c>
      <c r="L732" s="3">
        <v>20700</v>
      </c>
      <c r="M732" s="4">
        <v>0</v>
      </c>
      <c r="N732" s="4">
        <v>0</v>
      </c>
      <c r="O732" t="s">
        <v>81</v>
      </c>
      <c r="P732">
        <v>2</v>
      </c>
      <c r="Q732" t="str">
        <f>IFERROR(VLOOKUP(E732,Lookups!$A$5:$B$24,2,FALSE),"Other")</f>
        <v>LinkedIn</v>
      </c>
      <c r="R732" t="str">
        <f>IFERROR(VLOOKUP(F732,Lookups!$D$5:$F$10,2,FALSE),"Unknown Product")</f>
        <v>NexaCRM Pro</v>
      </c>
      <c r="S732" t="str">
        <f>IFERROR(VLOOKUP(F732,Lookups!$D$5:$F$10,3,FALSE),"Unknown")</f>
        <v>CRM</v>
      </c>
      <c r="T732" t="str">
        <f t="shared" si="121"/>
        <v>Mid-Market</v>
      </c>
      <c r="U732" t="str">
        <f t="shared" si="122"/>
        <v>Lost</v>
      </c>
      <c r="V732" s="3">
        <f t="shared" si="123"/>
        <v>0</v>
      </c>
      <c r="W732" s="3">
        <f t="shared" si="124"/>
        <v>0</v>
      </c>
      <c r="X732" s="5">
        <f t="shared" si="125"/>
        <v>46</v>
      </c>
      <c r="Y732" s="5">
        <f>IF(U732="Open",Lookups!$B$2-B732,X732)</f>
        <v>46</v>
      </c>
      <c r="Z732" t="str">
        <f t="shared" si="126"/>
        <v>OK</v>
      </c>
      <c r="AA732" t="str">
        <f t="shared" si="127"/>
        <v>2025-03</v>
      </c>
      <c r="AB732" t="str">
        <f t="shared" si="128"/>
        <v>2025-05</v>
      </c>
      <c r="AC732" t="str">
        <f t="shared" si="129"/>
        <v>Q1-2025</v>
      </c>
      <c r="AD732" s="5">
        <f t="shared" si="130"/>
        <v>51</v>
      </c>
      <c r="AE732" t="str">
        <f t="shared" si="131"/>
        <v>Lost</v>
      </c>
    </row>
    <row r="733" spans="1:31">
      <c r="A733" t="s">
        <v>835</v>
      </c>
      <c r="B733" s="1">
        <v>46199</v>
      </c>
      <c r="C733" t="s">
        <v>42</v>
      </c>
      <c r="D733" t="s">
        <v>43</v>
      </c>
      <c r="E733" t="s">
        <v>51</v>
      </c>
      <c r="F733" t="s">
        <v>67</v>
      </c>
      <c r="G733" t="s">
        <v>60</v>
      </c>
      <c r="H733" t="s">
        <v>53</v>
      </c>
      <c r="I733" t="s">
        <v>73</v>
      </c>
      <c r="J733" s="1">
        <v>46235</v>
      </c>
      <c r="K733" s="1"/>
      <c r="L733" s="3">
        <v>48800</v>
      </c>
      <c r="M733" s="4">
        <v>0</v>
      </c>
      <c r="N733" s="4">
        <v>0.2</v>
      </c>
      <c r="P733">
        <v>2</v>
      </c>
      <c r="Q733" t="str">
        <f>IFERROR(VLOOKUP(E733,Lookups!$A$5:$B$24,2,FALSE),"Other")</f>
        <v>Paid Search</v>
      </c>
      <c r="R733" t="str">
        <f>IFERROR(VLOOKUP(F733,Lookups!$D$5:$F$10,2,FALSE),"Unknown Product")</f>
        <v>Revenue Operations Suite</v>
      </c>
      <c r="S733" t="str">
        <f>IFERROR(VLOOKUP(F733,Lookups!$D$5:$F$10,3,FALSE),"Unknown")</f>
        <v>Revenue Ops</v>
      </c>
      <c r="T733" t="str">
        <f t="shared" si="121"/>
        <v>Mid-Market</v>
      </c>
      <c r="U733" t="str">
        <f t="shared" si="122"/>
        <v>Open</v>
      </c>
      <c r="V733" s="3">
        <f t="shared" si="123"/>
        <v>0</v>
      </c>
      <c r="W733" s="3">
        <f t="shared" si="124"/>
        <v>9760</v>
      </c>
      <c r="X733" s="5" t="str">
        <f t="shared" si="125"/>
        <v/>
      </c>
      <c r="Y733" s="5">
        <f>IF(U733="Open",Lookups!$B$2-B733,X733)</f>
        <v>67</v>
      </c>
      <c r="Z733" t="str">
        <f t="shared" si="126"/>
        <v>STALE</v>
      </c>
      <c r="AA733" t="str">
        <f t="shared" si="127"/>
        <v>2026-06</v>
      </c>
      <c r="AB733" t="str">
        <f t="shared" si="128"/>
        <v/>
      </c>
      <c r="AC733" t="str">
        <f t="shared" si="129"/>
        <v>Q2-2026</v>
      </c>
      <c r="AD733" s="5">
        <f t="shared" si="130"/>
        <v>59</v>
      </c>
      <c r="AE733" t="str">
        <f t="shared" si="131"/>
        <v>Pipeline</v>
      </c>
    </row>
    <row r="734" spans="1:31">
      <c r="A734" t="s">
        <v>836</v>
      </c>
      <c r="B734" s="1">
        <v>45921</v>
      </c>
      <c r="C734" t="s">
        <v>64</v>
      </c>
      <c r="D734" t="s">
        <v>57</v>
      </c>
      <c r="E734" t="s">
        <v>70</v>
      </c>
      <c r="F734" t="s">
        <v>59</v>
      </c>
      <c r="G734" t="s">
        <v>99</v>
      </c>
      <c r="H734" t="s">
        <v>47</v>
      </c>
      <c r="I734" t="s">
        <v>77</v>
      </c>
      <c r="J734" s="1">
        <v>45970</v>
      </c>
      <c r="K734" s="1">
        <v>45970</v>
      </c>
      <c r="L734" s="3">
        <v>11300</v>
      </c>
      <c r="M734" s="4">
        <v>0.12</v>
      </c>
      <c r="N734" s="4">
        <v>1</v>
      </c>
      <c r="P734">
        <v>6</v>
      </c>
      <c r="Q734" t="str">
        <f>IFERROR(VLOOKUP(E734,Lookups!$A$5:$B$24,2,FALSE),"Other")</f>
        <v>LinkedIn</v>
      </c>
      <c r="R734" t="str">
        <f>IFERROR(VLOOKUP(F734,Lookups!$D$5:$F$10,2,FALSE),"Unknown Product")</f>
        <v>NexaCRM Pro</v>
      </c>
      <c r="S734" t="str">
        <f>IFERROR(VLOOKUP(F734,Lookups!$D$5:$F$10,3,FALSE),"Unknown")</f>
        <v>CRM</v>
      </c>
      <c r="T734" t="str">
        <f t="shared" si="121"/>
        <v>SMB</v>
      </c>
      <c r="U734" t="str">
        <f t="shared" si="122"/>
        <v>Won</v>
      </c>
      <c r="V734" s="3">
        <f t="shared" si="123"/>
        <v>9944</v>
      </c>
      <c r="W734" s="3">
        <f t="shared" si="124"/>
        <v>0</v>
      </c>
      <c r="X734" s="5">
        <f t="shared" si="125"/>
        <v>49</v>
      </c>
      <c r="Y734" s="5">
        <f>IF(U734="Open",Lookups!$B$2-B734,X734)</f>
        <v>49</v>
      </c>
      <c r="Z734" t="str">
        <f t="shared" si="126"/>
        <v>OK</v>
      </c>
      <c r="AA734" t="str">
        <f t="shared" si="127"/>
        <v>2025-09</v>
      </c>
      <c r="AB734" t="str">
        <f t="shared" si="128"/>
        <v>2025-11</v>
      </c>
      <c r="AC734" t="str">
        <f t="shared" si="129"/>
        <v>Q3-2025</v>
      </c>
      <c r="AD734" s="5">
        <f t="shared" si="130"/>
        <v>43</v>
      </c>
      <c r="AE734" t="str">
        <f t="shared" si="131"/>
        <v>Won</v>
      </c>
    </row>
    <row r="735" spans="1:31">
      <c r="A735" t="s">
        <v>837</v>
      </c>
      <c r="B735" s="1">
        <v>46088</v>
      </c>
      <c r="C735" t="s">
        <v>50</v>
      </c>
      <c r="D735" t="s">
        <v>43</v>
      </c>
      <c r="E735" t="s">
        <v>75</v>
      </c>
      <c r="F735" t="s">
        <v>133</v>
      </c>
      <c r="G735" t="s">
        <v>76</v>
      </c>
      <c r="H735" t="s">
        <v>47</v>
      </c>
      <c r="I735" t="s">
        <v>61</v>
      </c>
      <c r="J735" s="1">
        <v>46142</v>
      </c>
      <c r="K735" s="1">
        <v>46142</v>
      </c>
      <c r="L735" s="3">
        <v>23600</v>
      </c>
      <c r="M735" s="4">
        <v>0</v>
      </c>
      <c r="N735" s="4">
        <v>0</v>
      </c>
      <c r="O735" t="s">
        <v>62</v>
      </c>
      <c r="P735">
        <v>5</v>
      </c>
      <c r="Q735" t="str">
        <f>IFERROR(VLOOKUP(E735,Lookups!$A$5:$B$24,2,FALSE),"Other")</f>
        <v>Webinar</v>
      </c>
      <c r="R735" t="str">
        <f>IFERROR(VLOOKUP(F735,Lookups!$D$5:$F$10,2,FALSE),"Unknown Product")</f>
        <v>Analytics Plus</v>
      </c>
      <c r="S735" t="str">
        <f>IFERROR(VLOOKUP(F735,Lookups!$D$5:$F$10,3,FALSE),"Unknown")</f>
        <v>Analytics</v>
      </c>
      <c r="T735" t="str">
        <f t="shared" si="121"/>
        <v>Mid-Market</v>
      </c>
      <c r="U735" t="str">
        <f t="shared" si="122"/>
        <v>Lost</v>
      </c>
      <c r="V735" s="3">
        <f t="shared" si="123"/>
        <v>0</v>
      </c>
      <c r="W735" s="3">
        <f t="shared" si="124"/>
        <v>0</v>
      </c>
      <c r="X735" s="5">
        <f t="shared" si="125"/>
        <v>54</v>
      </c>
      <c r="Y735" s="5">
        <f>IF(U735="Open",Lookups!$B$2-B735,X735)</f>
        <v>54</v>
      </c>
      <c r="Z735" t="str">
        <f t="shared" si="126"/>
        <v>OK</v>
      </c>
      <c r="AA735" t="str">
        <f t="shared" si="127"/>
        <v>2026-03</v>
      </c>
      <c r="AB735" t="str">
        <f t="shared" si="128"/>
        <v>2026-04</v>
      </c>
      <c r="AC735" t="str">
        <f t="shared" si="129"/>
        <v>Q1-2026</v>
      </c>
      <c r="AD735" s="5">
        <f t="shared" si="130"/>
        <v>51</v>
      </c>
      <c r="AE735" t="str">
        <f t="shared" si="131"/>
        <v>Lost</v>
      </c>
    </row>
    <row r="736" spans="1:31">
      <c r="A736" t="s">
        <v>838</v>
      </c>
      <c r="B736" s="1">
        <v>45694</v>
      </c>
      <c r="C736" t="s">
        <v>56</v>
      </c>
      <c r="D736" t="s">
        <v>57</v>
      </c>
      <c r="E736" t="s">
        <v>75</v>
      </c>
      <c r="F736" t="s">
        <v>59</v>
      </c>
      <c r="G736" t="s">
        <v>99</v>
      </c>
      <c r="H736" t="s">
        <v>53</v>
      </c>
      <c r="I736" t="s">
        <v>77</v>
      </c>
      <c r="J736" s="1">
        <v>45744</v>
      </c>
      <c r="K736" s="1">
        <v>45744</v>
      </c>
      <c r="L736" s="3">
        <v>35900</v>
      </c>
      <c r="M736" s="4">
        <v>0.08</v>
      </c>
      <c r="N736" s="4">
        <v>1</v>
      </c>
      <c r="P736">
        <v>6</v>
      </c>
      <c r="Q736" t="str">
        <f>IFERROR(VLOOKUP(E736,Lookups!$A$5:$B$24,2,FALSE),"Other")</f>
        <v>Webinar</v>
      </c>
      <c r="R736" t="str">
        <f>IFERROR(VLOOKUP(F736,Lookups!$D$5:$F$10,2,FALSE),"Unknown Product")</f>
        <v>NexaCRM Pro</v>
      </c>
      <c r="S736" t="str">
        <f>IFERROR(VLOOKUP(F736,Lookups!$D$5:$F$10,3,FALSE),"Unknown")</f>
        <v>CRM</v>
      </c>
      <c r="T736" t="str">
        <f t="shared" si="121"/>
        <v>Mid-Market</v>
      </c>
      <c r="U736" t="str">
        <f t="shared" si="122"/>
        <v>Won</v>
      </c>
      <c r="V736" s="3">
        <f t="shared" si="123"/>
        <v>33028</v>
      </c>
      <c r="W736" s="3">
        <f t="shared" si="124"/>
        <v>0</v>
      </c>
      <c r="X736" s="5">
        <f t="shared" si="125"/>
        <v>50</v>
      </c>
      <c r="Y736" s="5">
        <f>IF(U736="Open",Lookups!$B$2-B736,X736)</f>
        <v>50</v>
      </c>
      <c r="Z736" t="str">
        <f t="shared" si="126"/>
        <v>OK</v>
      </c>
      <c r="AA736" t="str">
        <f t="shared" si="127"/>
        <v>2025-02</v>
      </c>
      <c r="AB736" t="str">
        <f t="shared" si="128"/>
        <v>2025-03</v>
      </c>
      <c r="AC736" t="str">
        <f t="shared" si="129"/>
        <v>Q1-2025</v>
      </c>
      <c r="AD736" s="5">
        <f t="shared" si="130"/>
        <v>59</v>
      </c>
      <c r="AE736" t="str">
        <f t="shared" si="131"/>
        <v>Won</v>
      </c>
    </row>
    <row r="737" spans="1:31">
      <c r="A737" t="s">
        <v>839</v>
      </c>
      <c r="B737" s="1">
        <v>45716</v>
      </c>
      <c r="C737" t="s">
        <v>56</v>
      </c>
      <c r="D737" t="s">
        <v>57</v>
      </c>
      <c r="E737" t="s">
        <v>75</v>
      </c>
      <c r="F737" t="s">
        <v>52</v>
      </c>
      <c r="G737" t="s">
        <v>94</v>
      </c>
      <c r="H737" t="s">
        <v>53</v>
      </c>
      <c r="I737" t="s">
        <v>77</v>
      </c>
      <c r="J737" s="1">
        <v>45796</v>
      </c>
      <c r="K737" s="1">
        <v>45796</v>
      </c>
      <c r="L737" s="3">
        <v>11300</v>
      </c>
      <c r="M737" s="4">
        <v>0.05</v>
      </c>
      <c r="N737" s="4">
        <v>1</v>
      </c>
      <c r="P737">
        <v>6</v>
      </c>
      <c r="Q737" t="str">
        <f>IFERROR(VLOOKUP(E737,Lookups!$A$5:$B$24,2,FALSE),"Other")</f>
        <v>Webinar</v>
      </c>
      <c r="R737" t="str">
        <f>IFERROR(VLOOKUP(F737,Lookups!$D$5:$F$10,2,FALSE),"Unknown Product")</f>
        <v>NexaCRM Core</v>
      </c>
      <c r="S737" t="str">
        <f>IFERROR(VLOOKUP(F737,Lookups!$D$5:$F$10,3,FALSE),"Unknown")</f>
        <v>CRM</v>
      </c>
      <c r="T737" t="str">
        <f t="shared" si="121"/>
        <v>SMB</v>
      </c>
      <c r="U737" t="str">
        <f t="shared" si="122"/>
        <v>Won</v>
      </c>
      <c r="V737" s="3">
        <f t="shared" si="123"/>
        <v>10735</v>
      </c>
      <c r="W737" s="3">
        <f t="shared" si="124"/>
        <v>0</v>
      </c>
      <c r="X737" s="5">
        <f t="shared" si="125"/>
        <v>80</v>
      </c>
      <c r="Y737" s="5">
        <f>IF(U737="Open",Lookups!$B$2-B737,X737)</f>
        <v>80</v>
      </c>
      <c r="Z737" t="str">
        <f t="shared" si="126"/>
        <v>OK</v>
      </c>
      <c r="AA737" t="str">
        <f t="shared" si="127"/>
        <v>2025-02</v>
      </c>
      <c r="AB737" t="str">
        <f t="shared" si="128"/>
        <v>2025-05</v>
      </c>
      <c r="AC737" t="str">
        <f t="shared" si="129"/>
        <v>Q1-2025</v>
      </c>
      <c r="AD737" s="5">
        <f t="shared" si="130"/>
        <v>51</v>
      </c>
      <c r="AE737" t="str">
        <f t="shared" si="131"/>
        <v>Won</v>
      </c>
    </row>
    <row r="738" spans="1:31">
      <c r="A738" t="s">
        <v>840</v>
      </c>
      <c r="B738" s="1">
        <v>45867</v>
      </c>
      <c r="C738" t="s">
        <v>50</v>
      </c>
      <c r="D738" t="s">
        <v>43</v>
      </c>
      <c r="E738" t="s">
        <v>65</v>
      </c>
      <c r="F738" t="s">
        <v>52</v>
      </c>
      <c r="G738" t="s">
        <v>46</v>
      </c>
      <c r="H738" t="s">
        <v>47</v>
      </c>
      <c r="I738" t="s">
        <v>61</v>
      </c>
      <c r="J738" s="1">
        <v>45899</v>
      </c>
      <c r="K738" s="1">
        <v>45899</v>
      </c>
      <c r="L738" s="3">
        <v>7800</v>
      </c>
      <c r="M738" s="4">
        <v>0</v>
      </c>
      <c r="N738" s="4">
        <v>0</v>
      </c>
      <c r="O738" t="s">
        <v>110</v>
      </c>
      <c r="P738">
        <v>5</v>
      </c>
      <c r="Q738" t="str">
        <f>IFERROR(VLOOKUP(E738,Lookups!$A$5:$B$24,2,FALSE),"Other")</f>
        <v>Paid Search</v>
      </c>
      <c r="R738" t="str">
        <f>IFERROR(VLOOKUP(F738,Lookups!$D$5:$F$10,2,FALSE),"Unknown Product")</f>
        <v>NexaCRM Core</v>
      </c>
      <c r="S738" t="str">
        <f>IFERROR(VLOOKUP(F738,Lookups!$D$5:$F$10,3,FALSE),"Unknown")</f>
        <v>CRM</v>
      </c>
      <c r="T738" t="str">
        <f t="shared" si="121"/>
        <v>SMB</v>
      </c>
      <c r="U738" t="str">
        <f t="shared" si="122"/>
        <v>Lost</v>
      </c>
      <c r="V738" s="3">
        <f t="shared" si="123"/>
        <v>0</v>
      </c>
      <c r="W738" s="3">
        <f t="shared" si="124"/>
        <v>0</v>
      </c>
      <c r="X738" s="5">
        <f t="shared" si="125"/>
        <v>32</v>
      </c>
      <c r="Y738" s="5">
        <f>IF(U738="Open",Lookups!$B$2-B738,X738)</f>
        <v>32</v>
      </c>
      <c r="Z738" t="str">
        <f t="shared" si="126"/>
        <v>OK</v>
      </c>
      <c r="AA738" t="str">
        <f t="shared" si="127"/>
        <v>2025-07</v>
      </c>
      <c r="AB738" t="str">
        <f t="shared" si="128"/>
        <v>2025-08</v>
      </c>
      <c r="AC738" t="str">
        <f t="shared" si="129"/>
        <v>Q3-2025</v>
      </c>
      <c r="AD738" s="5">
        <f t="shared" si="130"/>
        <v>43</v>
      </c>
      <c r="AE738" t="str">
        <f t="shared" si="131"/>
        <v>Lost</v>
      </c>
    </row>
    <row r="739" spans="1:31">
      <c r="A739" t="s">
        <v>841</v>
      </c>
      <c r="B739" s="1">
        <v>45973</v>
      </c>
      <c r="C739" t="s">
        <v>56</v>
      </c>
      <c r="D739" t="s">
        <v>57</v>
      </c>
      <c r="E739" t="s">
        <v>44</v>
      </c>
      <c r="F739" t="s">
        <v>59</v>
      </c>
      <c r="G739" t="s">
        <v>94</v>
      </c>
      <c r="H739" t="s">
        <v>47</v>
      </c>
      <c r="I739" t="s">
        <v>77</v>
      </c>
      <c r="J739" s="1">
        <v>45985</v>
      </c>
      <c r="K739" s="1">
        <v>45985</v>
      </c>
      <c r="L739" s="3">
        <v>25500</v>
      </c>
      <c r="M739" s="4">
        <v>0.08</v>
      </c>
      <c r="N739" s="4">
        <v>1</v>
      </c>
      <c r="P739">
        <v>6</v>
      </c>
      <c r="Q739" t="str">
        <f>IFERROR(VLOOKUP(E739,Lookups!$A$5:$B$24,2,FALSE),"Other")</f>
        <v>Organic Search</v>
      </c>
      <c r="R739" t="str">
        <f>IFERROR(VLOOKUP(F739,Lookups!$D$5:$F$10,2,FALSE),"Unknown Product")</f>
        <v>NexaCRM Pro</v>
      </c>
      <c r="S739" t="str">
        <f>IFERROR(VLOOKUP(F739,Lookups!$D$5:$F$10,3,FALSE),"Unknown")</f>
        <v>CRM</v>
      </c>
      <c r="T739" t="str">
        <f t="shared" si="121"/>
        <v>Mid-Market</v>
      </c>
      <c r="U739" t="str">
        <f t="shared" si="122"/>
        <v>Won</v>
      </c>
      <c r="V739" s="3">
        <f t="shared" si="123"/>
        <v>23460</v>
      </c>
      <c r="W739" s="3">
        <f t="shared" si="124"/>
        <v>0</v>
      </c>
      <c r="X739" s="5">
        <f t="shared" si="125"/>
        <v>12</v>
      </c>
      <c r="Y739" s="5">
        <f>IF(U739="Open",Lookups!$B$2-B739,X739)</f>
        <v>12</v>
      </c>
      <c r="Z739" t="str">
        <f t="shared" si="126"/>
        <v>OK</v>
      </c>
      <c r="AA739" t="str">
        <f t="shared" si="127"/>
        <v>2025-11</v>
      </c>
      <c r="AB739" t="str">
        <f t="shared" si="128"/>
        <v>2025-11</v>
      </c>
      <c r="AC739" t="str">
        <f t="shared" si="129"/>
        <v>Q4-2025</v>
      </c>
      <c r="AD739" s="5">
        <f t="shared" si="130"/>
        <v>57</v>
      </c>
      <c r="AE739" t="str">
        <f t="shared" si="131"/>
        <v>Won</v>
      </c>
    </row>
    <row r="740" spans="1:31">
      <c r="A740" t="s">
        <v>842</v>
      </c>
      <c r="B740" s="1">
        <v>46228</v>
      </c>
      <c r="C740" t="s">
        <v>86</v>
      </c>
      <c r="D740" t="s">
        <v>87</v>
      </c>
      <c r="E740" t="s">
        <v>51</v>
      </c>
      <c r="F740" t="s">
        <v>52</v>
      </c>
      <c r="G740" t="s">
        <v>76</v>
      </c>
      <c r="H740" t="s">
        <v>53</v>
      </c>
      <c r="I740" t="s">
        <v>187</v>
      </c>
      <c r="J740" s="1">
        <v>46259</v>
      </c>
      <c r="K740" s="1"/>
      <c r="L740" s="3">
        <v>13300</v>
      </c>
      <c r="M740" s="4">
        <v>0.03</v>
      </c>
      <c r="N740" s="4">
        <v>0.05</v>
      </c>
      <c r="P740">
        <v>1</v>
      </c>
      <c r="Q740" t="str">
        <f>IFERROR(VLOOKUP(E740,Lookups!$A$5:$B$24,2,FALSE),"Other")</f>
        <v>Paid Search</v>
      </c>
      <c r="R740" t="str">
        <f>IFERROR(VLOOKUP(F740,Lookups!$D$5:$F$10,2,FALSE),"Unknown Product")</f>
        <v>NexaCRM Core</v>
      </c>
      <c r="S740" t="str">
        <f>IFERROR(VLOOKUP(F740,Lookups!$D$5:$F$10,3,FALSE),"Unknown")</f>
        <v>CRM</v>
      </c>
      <c r="T740" t="str">
        <f t="shared" si="121"/>
        <v>SMB</v>
      </c>
      <c r="U740" t="str">
        <f t="shared" si="122"/>
        <v>Open</v>
      </c>
      <c r="V740" s="3">
        <f t="shared" si="123"/>
        <v>0</v>
      </c>
      <c r="W740" s="3">
        <f t="shared" si="124"/>
        <v>665</v>
      </c>
      <c r="X740" s="5" t="str">
        <f t="shared" si="125"/>
        <v/>
      </c>
      <c r="Y740" s="5">
        <f>IF(U740="Open",Lookups!$B$2-B740,X740)</f>
        <v>38</v>
      </c>
      <c r="Z740" t="str">
        <f t="shared" si="126"/>
        <v>STALE</v>
      </c>
      <c r="AA740" t="str">
        <f t="shared" si="127"/>
        <v>2026-07</v>
      </c>
      <c r="AB740" t="str">
        <f t="shared" si="128"/>
        <v/>
      </c>
      <c r="AC740" t="str">
        <f t="shared" si="129"/>
        <v>Q3-2026</v>
      </c>
      <c r="AD740" s="5">
        <f t="shared" si="130"/>
        <v>51</v>
      </c>
      <c r="AE740" t="str">
        <f t="shared" si="131"/>
        <v>Pipeline</v>
      </c>
    </row>
    <row r="741" spans="1:31">
      <c r="A741" t="s">
        <v>843</v>
      </c>
      <c r="B741" s="1">
        <v>46188</v>
      </c>
      <c r="C741" t="s">
        <v>69</v>
      </c>
      <c r="D741" t="s">
        <v>57</v>
      </c>
      <c r="E741" t="s">
        <v>51</v>
      </c>
      <c r="F741" t="s">
        <v>59</v>
      </c>
      <c r="G741" t="s">
        <v>112</v>
      </c>
      <c r="H741" t="s">
        <v>47</v>
      </c>
      <c r="I741" t="s">
        <v>61</v>
      </c>
      <c r="J741" s="1">
        <v>46266</v>
      </c>
      <c r="K741" s="1">
        <v>46266</v>
      </c>
      <c r="L741" s="3">
        <v>25300</v>
      </c>
      <c r="M741" s="4">
        <v>0</v>
      </c>
      <c r="N741" s="4">
        <v>0</v>
      </c>
      <c r="O741" t="s">
        <v>102</v>
      </c>
      <c r="P741">
        <v>3</v>
      </c>
      <c r="Q741" t="str">
        <f>IFERROR(VLOOKUP(E741,Lookups!$A$5:$B$24,2,FALSE),"Other")</f>
        <v>Paid Search</v>
      </c>
      <c r="R741" t="str">
        <f>IFERROR(VLOOKUP(F741,Lookups!$D$5:$F$10,2,FALSE),"Unknown Product")</f>
        <v>NexaCRM Pro</v>
      </c>
      <c r="S741" t="str">
        <f>IFERROR(VLOOKUP(F741,Lookups!$D$5:$F$10,3,FALSE),"Unknown")</f>
        <v>CRM</v>
      </c>
      <c r="T741" t="str">
        <f t="shared" si="121"/>
        <v>Mid-Market</v>
      </c>
      <c r="U741" t="str">
        <f t="shared" si="122"/>
        <v>Lost</v>
      </c>
      <c r="V741" s="3">
        <f t="shared" si="123"/>
        <v>0</v>
      </c>
      <c r="W741" s="3">
        <f t="shared" si="124"/>
        <v>0</v>
      </c>
      <c r="X741" s="5">
        <f t="shared" si="125"/>
        <v>78</v>
      </c>
      <c r="Y741" s="5">
        <f>IF(U741="Open",Lookups!$B$2-B741,X741)</f>
        <v>78</v>
      </c>
      <c r="Z741" t="str">
        <f t="shared" si="126"/>
        <v>OK</v>
      </c>
      <c r="AA741" t="str">
        <f t="shared" si="127"/>
        <v>2026-06</v>
      </c>
      <c r="AB741" t="str">
        <f t="shared" si="128"/>
        <v>2026-09</v>
      </c>
      <c r="AC741" t="str">
        <f t="shared" si="129"/>
        <v>Q2-2026</v>
      </c>
      <c r="AD741" s="5">
        <f t="shared" si="130"/>
        <v>56</v>
      </c>
      <c r="AE741" t="str">
        <f t="shared" si="131"/>
        <v>Lost</v>
      </c>
    </row>
    <row r="742" spans="1:31">
      <c r="A742" t="s">
        <v>844</v>
      </c>
      <c r="B742" s="1">
        <v>45760</v>
      </c>
      <c r="C742" t="s">
        <v>90</v>
      </c>
      <c r="D742" t="s">
        <v>57</v>
      </c>
      <c r="E742" t="s">
        <v>127</v>
      </c>
      <c r="F742" t="s">
        <v>133</v>
      </c>
      <c r="G742" t="s">
        <v>99</v>
      </c>
      <c r="H742" t="s">
        <v>47</v>
      </c>
      <c r="I742" t="s">
        <v>61</v>
      </c>
      <c r="J742" s="1">
        <v>45793</v>
      </c>
      <c r="K742" s="1">
        <v>45793</v>
      </c>
      <c r="L742" s="3">
        <v>29000</v>
      </c>
      <c r="M742" s="4">
        <v>0</v>
      </c>
      <c r="N742" s="4">
        <v>0</v>
      </c>
      <c r="O742" t="s">
        <v>116</v>
      </c>
      <c r="P742">
        <v>2</v>
      </c>
      <c r="Q742" t="str">
        <f>IFERROR(VLOOKUP(E742,Lookups!$A$5:$B$24,2,FALSE),"Other")</f>
        <v>Paid Search</v>
      </c>
      <c r="R742" t="str">
        <f>IFERROR(VLOOKUP(F742,Lookups!$D$5:$F$10,2,FALSE),"Unknown Product")</f>
        <v>Analytics Plus</v>
      </c>
      <c r="S742" t="str">
        <f>IFERROR(VLOOKUP(F742,Lookups!$D$5:$F$10,3,FALSE),"Unknown")</f>
        <v>Analytics</v>
      </c>
      <c r="T742" t="str">
        <f t="shared" si="121"/>
        <v>Mid-Market</v>
      </c>
      <c r="U742" t="str">
        <f t="shared" si="122"/>
        <v>Lost</v>
      </c>
      <c r="V742" s="3">
        <f t="shared" si="123"/>
        <v>0</v>
      </c>
      <c r="W742" s="3">
        <f t="shared" si="124"/>
        <v>0</v>
      </c>
      <c r="X742" s="5">
        <f t="shared" si="125"/>
        <v>33</v>
      </c>
      <c r="Y742" s="5">
        <f>IF(U742="Open",Lookups!$B$2-B742,X742)</f>
        <v>33</v>
      </c>
      <c r="Z742" t="str">
        <f t="shared" si="126"/>
        <v>OK</v>
      </c>
      <c r="AA742" t="str">
        <f t="shared" si="127"/>
        <v>2025-04</v>
      </c>
      <c r="AB742" t="str">
        <f t="shared" si="128"/>
        <v>2025-05</v>
      </c>
      <c r="AC742" t="str">
        <f t="shared" si="129"/>
        <v>Q2-2025</v>
      </c>
      <c r="AD742" s="5">
        <f t="shared" si="130"/>
        <v>51</v>
      </c>
      <c r="AE742" t="str">
        <f t="shared" si="131"/>
        <v>Lost</v>
      </c>
    </row>
    <row r="743" spans="1:31">
      <c r="A743" t="s">
        <v>845</v>
      </c>
      <c r="B743" s="1">
        <v>45662</v>
      </c>
      <c r="C743" t="s">
        <v>50</v>
      </c>
      <c r="D743" t="s">
        <v>43</v>
      </c>
      <c r="E743" t="s">
        <v>166</v>
      </c>
      <c r="F743" t="s">
        <v>59</v>
      </c>
      <c r="G743" t="s">
        <v>72</v>
      </c>
      <c r="H743" t="s">
        <v>47</v>
      </c>
      <c r="I743" t="s">
        <v>61</v>
      </c>
      <c r="J743" s="1">
        <v>45712</v>
      </c>
      <c r="K743" s="1">
        <v>45712</v>
      </c>
      <c r="L743" s="3">
        <v>18500</v>
      </c>
      <c r="M743" s="4">
        <v>0</v>
      </c>
      <c r="N743" s="4">
        <v>0</v>
      </c>
      <c r="O743" t="s">
        <v>62</v>
      </c>
      <c r="P743">
        <v>4</v>
      </c>
      <c r="Q743" t="str">
        <f>IFERROR(VLOOKUP(E743,Lookups!$A$5:$B$24,2,FALSE),"Other")</f>
        <v>Referral</v>
      </c>
      <c r="R743" t="str">
        <f>IFERROR(VLOOKUP(F743,Lookups!$D$5:$F$10,2,FALSE),"Unknown Product")</f>
        <v>NexaCRM Pro</v>
      </c>
      <c r="S743" t="str">
        <f>IFERROR(VLOOKUP(F743,Lookups!$D$5:$F$10,3,FALSE),"Unknown")</f>
        <v>CRM</v>
      </c>
      <c r="T743" t="str">
        <f t="shared" si="121"/>
        <v>SMB</v>
      </c>
      <c r="U743" t="str">
        <f t="shared" si="122"/>
        <v>Lost</v>
      </c>
      <c r="V743" s="3">
        <f t="shared" si="123"/>
        <v>0</v>
      </c>
      <c r="W743" s="3">
        <f t="shared" si="124"/>
        <v>0</v>
      </c>
      <c r="X743" s="5">
        <f t="shared" si="125"/>
        <v>50</v>
      </c>
      <c r="Y743" s="5">
        <f>IF(U743="Open",Lookups!$B$2-B743,X743)</f>
        <v>50</v>
      </c>
      <c r="Z743" t="str">
        <f t="shared" si="126"/>
        <v>OK</v>
      </c>
      <c r="AA743" t="str">
        <f t="shared" si="127"/>
        <v>2025-01</v>
      </c>
      <c r="AB743" t="str">
        <f t="shared" si="128"/>
        <v>2025-02</v>
      </c>
      <c r="AC743" t="str">
        <f t="shared" si="129"/>
        <v>Q1-2025</v>
      </c>
      <c r="AD743" s="5">
        <f t="shared" si="130"/>
        <v>54</v>
      </c>
      <c r="AE743" t="str">
        <f t="shared" si="131"/>
        <v>Lost</v>
      </c>
    </row>
    <row r="744" spans="1:31">
      <c r="A744" t="s">
        <v>846</v>
      </c>
      <c r="B744" s="1">
        <v>45764</v>
      </c>
      <c r="C744" t="s">
        <v>42</v>
      </c>
      <c r="D744" t="s">
        <v>43</v>
      </c>
      <c r="E744" t="s">
        <v>75</v>
      </c>
      <c r="F744" t="s">
        <v>71</v>
      </c>
      <c r="G744" t="s">
        <v>60</v>
      </c>
      <c r="H744" t="s">
        <v>53</v>
      </c>
      <c r="I744" t="s">
        <v>61</v>
      </c>
      <c r="J744" s="1">
        <v>45809</v>
      </c>
      <c r="K744" s="1">
        <v>45809</v>
      </c>
      <c r="L744" s="3">
        <v>29100</v>
      </c>
      <c r="M744" s="4">
        <v>0</v>
      </c>
      <c r="N744" s="4">
        <v>0</v>
      </c>
      <c r="O744" t="s">
        <v>102</v>
      </c>
      <c r="P744">
        <v>2</v>
      </c>
      <c r="Q744" t="str">
        <f>IFERROR(VLOOKUP(E744,Lookups!$A$5:$B$24,2,FALSE),"Other")</f>
        <v>Webinar</v>
      </c>
      <c r="R744" t="str">
        <f>IFERROR(VLOOKUP(F744,Lookups!$D$5:$F$10,2,FALSE),"Unknown Product")</f>
        <v>Marketing Automation</v>
      </c>
      <c r="S744" t="str">
        <f>IFERROR(VLOOKUP(F744,Lookups!$D$5:$F$10,3,FALSE),"Unknown")</f>
        <v>Marketing</v>
      </c>
      <c r="T744" t="str">
        <f t="shared" si="121"/>
        <v>Mid-Market</v>
      </c>
      <c r="U744" t="str">
        <f t="shared" si="122"/>
        <v>Lost</v>
      </c>
      <c r="V744" s="3">
        <f t="shared" si="123"/>
        <v>0</v>
      </c>
      <c r="W744" s="3">
        <f t="shared" si="124"/>
        <v>0</v>
      </c>
      <c r="X744" s="5">
        <f t="shared" si="125"/>
        <v>45</v>
      </c>
      <c r="Y744" s="5">
        <f>IF(U744="Open",Lookups!$B$2-B744,X744)</f>
        <v>45</v>
      </c>
      <c r="Z744" t="str">
        <f t="shared" si="126"/>
        <v>OK</v>
      </c>
      <c r="AA744" t="str">
        <f t="shared" si="127"/>
        <v>2025-04</v>
      </c>
      <c r="AB744" t="str">
        <f t="shared" si="128"/>
        <v>2025-06</v>
      </c>
      <c r="AC744" t="str">
        <f t="shared" si="129"/>
        <v>Q2-2025</v>
      </c>
      <c r="AD744" s="5">
        <f t="shared" si="130"/>
        <v>59</v>
      </c>
      <c r="AE744" t="str">
        <f t="shared" si="131"/>
        <v>Lost</v>
      </c>
    </row>
    <row r="745" spans="1:31">
      <c r="A745" t="s">
        <v>847</v>
      </c>
      <c r="B745" s="1">
        <v>46035</v>
      </c>
      <c r="C745" t="s">
        <v>50</v>
      </c>
      <c r="D745" t="s">
        <v>43</v>
      </c>
      <c r="E745" t="s">
        <v>109</v>
      </c>
      <c r="F745" t="s">
        <v>71</v>
      </c>
      <c r="G745" t="s">
        <v>94</v>
      </c>
      <c r="H745" t="s">
        <v>53</v>
      </c>
      <c r="I745" t="s">
        <v>61</v>
      </c>
      <c r="J745" s="1">
        <v>46085</v>
      </c>
      <c r="K745" s="1">
        <v>46085</v>
      </c>
      <c r="L745" s="3">
        <v>27900</v>
      </c>
      <c r="M745" s="4">
        <v>0</v>
      </c>
      <c r="N745" s="4">
        <v>0</v>
      </c>
      <c r="O745" t="s">
        <v>62</v>
      </c>
      <c r="P745">
        <v>4</v>
      </c>
      <c r="Q745" t="str">
        <f>IFERROR(VLOOKUP(E745,Lookups!$A$5:$B$24,2,FALSE),"Other")</f>
        <v>Outbound</v>
      </c>
      <c r="R745" t="str">
        <f>IFERROR(VLOOKUP(F745,Lookups!$D$5:$F$10,2,FALSE),"Unknown Product")</f>
        <v>Marketing Automation</v>
      </c>
      <c r="S745" t="str">
        <f>IFERROR(VLOOKUP(F745,Lookups!$D$5:$F$10,3,FALSE),"Unknown")</f>
        <v>Marketing</v>
      </c>
      <c r="T745" t="str">
        <f t="shared" si="121"/>
        <v>Mid-Market</v>
      </c>
      <c r="U745" t="str">
        <f t="shared" si="122"/>
        <v>Lost</v>
      </c>
      <c r="V745" s="3">
        <f t="shared" si="123"/>
        <v>0</v>
      </c>
      <c r="W745" s="3">
        <f t="shared" si="124"/>
        <v>0</v>
      </c>
      <c r="X745" s="5">
        <f t="shared" si="125"/>
        <v>50</v>
      </c>
      <c r="Y745" s="5">
        <f>IF(U745="Open",Lookups!$B$2-B745,X745)</f>
        <v>50</v>
      </c>
      <c r="Z745" t="str">
        <f t="shared" si="126"/>
        <v>OK</v>
      </c>
      <c r="AA745" t="str">
        <f t="shared" si="127"/>
        <v>2026-01</v>
      </c>
      <c r="AB745" t="str">
        <f t="shared" si="128"/>
        <v>2026-03</v>
      </c>
      <c r="AC745" t="str">
        <f t="shared" si="129"/>
        <v>Q1-2026</v>
      </c>
      <c r="AD745" s="5">
        <f t="shared" si="130"/>
        <v>59</v>
      </c>
      <c r="AE745" t="str">
        <f t="shared" si="131"/>
        <v>Lost</v>
      </c>
    </row>
    <row r="746" spans="1:31">
      <c r="A746" t="s">
        <v>848</v>
      </c>
      <c r="B746" s="1">
        <v>45891</v>
      </c>
      <c r="C746" t="s">
        <v>64</v>
      </c>
      <c r="D746" t="s">
        <v>57</v>
      </c>
      <c r="E746" t="s">
        <v>44</v>
      </c>
      <c r="F746" t="s">
        <v>133</v>
      </c>
      <c r="G746" t="s">
        <v>112</v>
      </c>
      <c r="H746" t="s">
        <v>53</v>
      </c>
      <c r="I746" t="s">
        <v>77</v>
      </c>
      <c r="J746" s="1">
        <v>45915</v>
      </c>
      <c r="K746" s="1">
        <v>45915</v>
      </c>
      <c r="L746" s="3">
        <v>41700</v>
      </c>
      <c r="M746" s="4">
        <v>0.03</v>
      </c>
      <c r="N746" s="4">
        <v>1</v>
      </c>
      <c r="P746">
        <v>6</v>
      </c>
      <c r="Q746" t="str">
        <f>IFERROR(VLOOKUP(E746,Lookups!$A$5:$B$24,2,FALSE),"Other")</f>
        <v>Organic Search</v>
      </c>
      <c r="R746" t="str">
        <f>IFERROR(VLOOKUP(F746,Lookups!$D$5:$F$10,2,FALSE),"Unknown Product")</f>
        <v>Analytics Plus</v>
      </c>
      <c r="S746" t="str">
        <f>IFERROR(VLOOKUP(F746,Lookups!$D$5:$F$10,3,FALSE),"Unknown")</f>
        <v>Analytics</v>
      </c>
      <c r="T746" t="str">
        <f t="shared" si="121"/>
        <v>Mid-Market</v>
      </c>
      <c r="U746" t="str">
        <f t="shared" si="122"/>
        <v>Won</v>
      </c>
      <c r="V746" s="3">
        <f t="shared" si="123"/>
        <v>40449</v>
      </c>
      <c r="W746" s="3">
        <f t="shared" si="124"/>
        <v>0</v>
      </c>
      <c r="X746" s="5">
        <f t="shared" si="125"/>
        <v>24</v>
      </c>
      <c r="Y746" s="5">
        <f>IF(U746="Open",Lookups!$B$2-B746,X746)</f>
        <v>24</v>
      </c>
      <c r="Z746" t="str">
        <f t="shared" si="126"/>
        <v>OK</v>
      </c>
      <c r="AA746" t="str">
        <f t="shared" si="127"/>
        <v>2025-08</v>
      </c>
      <c r="AB746" t="str">
        <f t="shared" si="128"/>
        <v>2025-09</v>
      </c>
      <c r="AC746" t="str">
        <f t="shared" si="129"/>
        <v>Q3-2025</v>
      </c>
      <c r="AD746" s="5">
        <f t="shared" si="130"/>
        <v>70</v>
      </c>
      <c r="AE746" t="str">
        <f t="shared" si="131"/>
        <v>Won</v>
      </c>
    </row>
    <row r="747" spans="1:31">
      <c r="A747" t="s">
        <v>849</v>
      </c>
      <c r="B747" s="1">
        <v>46136</v>
      </c>
      <c r="C747" t="s">
        <v>69</v>
      </c>
      <c r="D747" t="s">
        <v>57</v>
      </c>
      <c r="E747" t="s">
        <v>138</v>
      </c>
      <c r="F747" t="s">
        <v>71</v>
      </c>
      <c r="G747" t="s">
        <v>72</v>
      </c>
      <c r="H747" t="s">
        <v>47</v>
      </c>
      <c r="I747" t="s">
        <v>61</v>
      </c>
      <c r="J747" s="1">
        <v>46178</v>
      </c>
      <c r="K747" s="1">
        <v>46178</v>
      </c>
      <c r="L747" s="3">
        <v>15600</v>
      </c>
      <c r="M747" s="4">
        <v>0</v>
      </c>
      <c r="N747" s="4">
        <v>0</v>
      </c>
      <c r="O747" t="s">
        <v>81</v>
      </c>
      <c r="P747">
        <v>3</v>
      </c>
      <c r="Q747" t="str">
        <f>IFERROR(VLOOKUP(E747,Lookups!$A$5:$B$24,2,FALSE),"Other")</f>
        <v>Organic Search</v>
      </c>
      <c r="R747" t="str">
        <f>IFERROR(VLOOKUP(F747,Lookups!$D$5:$F$10,2,FALSE),"Unknown Product")</f>
        <v>Marketing Automation</v>
      </c>
      <c r="S747" t="str">
        <f>IFERROR(VLOOKUP(F747,Lookups!$D$5:$F$10,3,FALSE),"Unknown")</f>
        <v>Marketing</v>
      </c>
      <c r="T747" t="str">
        <f t="shared" si="121"/>
        <v>SMB</v>
      </c>
      <c r="U747" t="str">
        <f t="shared" si="122"/>
        <v>Lost</v>
      </c>
      <c r="V747" s="3">
        <f t="shared" si="123"/>
        <v>0</v>
      </c>
      <c r="W747" s="3">
        <f t="shared" si="124"/>
        <v>0</v>
      </c>
      <c r="X747" s="5">
        <f t="shared" si="125"/>
        <v>42</v>
      </c>
      <c r="Y747" s="5">
        <f>IF(U747="Open",Lookups!$B$2-B747,X747)</f>
        <v>42</v>
      </c>
      <c r="Z747" t="str">
        <f t="shared" si="126"/>
        <v>OK</v>
      </c>
      <c r="AA747" t="str">
        <f t="shared" si="127"/>
        <v>2026-04</v>
      </c>
      <c r="AB747" t="str">
        <f t="shared" si="128"/>
        <v>2026-06</v>
      </c>
      <c r="AC747" t="str">
        <f t="shared" si="129"/>
        <v>Q2-2026</v>
      </c>
      <c r="AD747" s="5">
        <f t="shared" si="130"/>
        <v>49</v>
      </c>
      <c r="AE747" t="str">
        <f t="shared" si="131"/>
        <v>Lost</v>
      </c>
    </row>
    <row r="748" spans="1:31">
      <c r="A748" t="s">
        <v>850</v>
      </c>
      <c r="B748" s="1">
        <v>46065</v>
      </c>
      <c r="C748" t="s">
        <v>42</v>
      </c>
      <c r="D748" t="s">
        <v>43</v>
      </c>
      <c r="E748" t="s">
        <v>115</v>
      </c>
      <c r="F748" t="s">
        <v>133</v>
      </c>
      <c r="G748" t="s">
        <v>112</v>
      </c>
      <c r="H748" t="s">
        <v>53</v>
      </c>
      <c r="I748" t="s">
        <v>61</v>
      </c>
      <c r="J748" s="1">
        <v>46114</v>
      </c>
      <c r="K748" s="1">
        <v>46114</v>
      </c>
      <c r="L748" s="3">
        <v>26200</v>
      </c>
      <c r="M748" s="4">
        <v>0</v>
      </c>
      <c r="N748" s="4">
        <v>0</v>
      </c>
      <c r="O748" t="s">
        <v>102</v>
      </c>
      <c r="P748">
        <v>2</v>
      </c>
      <c r="Q748" t="str">
        <f>IFERROR(VLOOKUP(E748,Lookups!$A$5:$B$24,2,FALSE),"Other")</f>
        <v>Outbound</v>
      </c>
      <c r="R748" t="str">
        <f>IFERROR(VLOOKUP(F748,Lookups!$D$5:$F$10,2,FALSE),"Unknown Product")</f>
        <v>Analytics Plus</v>
      </c>
      <c r="S748" t="str">
        <f>IFERROR(VLOOKUP(F748,Lookups!$D$5:$F$10,3,FALSE),"Unknown")</f>
        <v>Analytics</v>
      </c>
      <c r="T748" t="str">
        <f t="shared" si="121"/>
        <v>Mid-Market</v>
      </c>
      <c r="U748" t="str">
        <f t="shared" si="122"/>
        <v>Lost</v>
      </c>
      <c r="V748" s="3">
        <f t="shared" si="123"/>
        <v>0</v>
      </c>
      <c r="W748" s="3">
        <f t="shared" si="124"/>
        <v>0</v>
      </c>
      <c r="X748" s="5">
        <f t="shared" si="125"/>
        <v>49</v>
      </c>
      <c r="Y748" s="5">
        <f>IF(U748="Open",Lookups!$B$2-B748,X748)</f>
        <v>49</v>
      </c>
      <c r="Z748" t="str">
        <f t="shared" si="126"/>
        <v>OK</v>
      </c>
      <c r="AA748" t="str">
        <f t="shared" si="127"/>
        <v>2026-02</v>
      </c>
      <c r="AB748" t="str">
        <f t="shared" si="128"/>
        <v>2026-04</v>
      </c>
      <c r="AC748" t="str">
        <f t="shared" si="129"/>
        <v>Q1-2026</v>
      </c>
      <c r="AD748" s="5">
        <f t="shared" si="130"/>
        <v>64</v>
      </c>
      <c r="AE748" t="str">
        <f t="shared" si="131"/>
        <v>Lost</v>
      </c>
    </row>
    <row r="749" spans="1:31">
      <c r="A749" t="s">
        <v>851</v>
      </c>
      <c r="B749" s="1">
        <v>46225</v>
      </c>
      <c r="C749" t="s">
        <v>69</v>
      </c>
      <c r="D749" t="s">
        <v>57</v>
      </c>
      <c r="E749" t="s">
        <v>70</v>
      </c>
      <c r="F749" t="s">
        <v>71</v>
      </c>
      <c r="G749" t="s">
        <v>60</v>
      </c>
      <c r="H749" t="s">
        <v>84</v>
      </c>
      <c r="I749" t="s">
        <v>73</v>
      </c>
      <c r="J749" s="1">
        <v>46261</v>
      </c>
      <c r="K749" s="1"/>
      <c r="L749" s="3">
        <v>50800</v>
      </c>
      <c r="M749" s="4">
        <v>0</v>
      </c>
      <c r="N749" s="4">
        <v>0.2</v>
      </c>
      <c r="P749">
        <v>2</v>
      </c>
      <c r="Q749" t="str">
        <f>IFERROR(VLOOKUP(E749,Lookups!$A$5:$B$24,2,FALSE),"Other")</f>
        <v>LinkedIn</v>
      </c>
      <c r="R749" t="str">
        <f>IFERROR(VLOOKUP(F749,Lookups!$D$5:$F$10,2,FALSE),"Unknown Product")</f>
        <v>Marketing Automation</v>
      </c>
      <c r="S749" t="str">
        <f>IFERROR(VLOOKUP(F749,Lookups!$D$5:$F$10,3,FALSE),"Unknown")</f>
        <v>Marketing</v>
      </c>
      <c r="T749" t="str">
        <f t="shared" si="121"/>
        <v>Enterprise</v>
      </c>
      <c r="U749" t="str">
        <f t="shared" si="122"/>
        <v>Open</v>
      </c>
      <c r="V749" s="3">
        <f t="shared" si="123"/>
        <v>0</v>
      </c>
      <c r="W749" s="3">
        <f t="shared" si="124"/>
        <v>10160</v>
      </c>
      <c r="X749" s="5" t="str">
        <f t="shared" si="125"/>
        <v/>
      </c>
      <c r="Y749" s="5">
        <f>IF(U749="Open",Lookups!$B$2-B749,X749)</f>
        <v>41</v>
      </c>
      <c r="Z749" t="str">
        <f t="shared" si="126"/>
        <v>STALE</v>
      </c>
      <c r="AA749" t="str">
        <f t="shared" si="127"/>
        <v>2026-07</v>
      </c>
      <c r="AB749" t="str">
        <f t="shared" si="128"/>
        <v/>
      </c>
      <c r="AC749" t="str">
        <f t="shared" si="129"/>
        <v>Q3-2026</v>
      </c>
      <c r="AD749" s="5">
        <f t="shared" si="130"/>
        <v>74</v>
      </c>
      <c r="AE749" t="str">
        <f t="shared" si="131"/>
        <v>Pipeline</v>
      </c>
    </row>
    <row r="750" spans="1:31">
      <c r="A750" t="s">
        <v>852</v>
      </c>
      <c r="B750" s="1">
        <v>46264</v>
      </c>
      <c r="C750" t="s">
        <v>50</v>
      </c>
      <c r="D750" t="s">
        <v>43</v>
      </c>
      <c r="E750" t="s">
        <v>44</v>
      </c>
      <c r="F750" t="s">
        <v>133</v>
      </c>
      <c r="G750" t="s">
        <v>94</v>
      </c>
      <c r="H750" t="s">
        <v>53</v>
      </c>
      <c r="I750" t="s">
        <v>187</v>
      </c>
      <c r="J750" s="1">
        <v>46266</v>
      </c>
      <c r="K750" s="1"/>
      <c r="L750" s="3">
        <v>51100</v>
      </c>
      <c r="M750" s="4">
        <v>0</v>
      </c>
      <c r="N750" s="4">
        <v>0.05</v>
      </c>
      <c r="P750">
        <v>1</v>
      </c>
      <c r="Q750" t="str">
        <f>IFERROR(VLOOKUP(E750,Lookups!$A$5:$B$24,2,FALSE),"Other")</f>
        <v>Organic Search</v>
      </c>
      <c r="R750" t="str">
        <f>IFERROR(VLOOKUP(F750,Lookups!$D$5:$F$10,2,FALSE),"Unknown Product")</f>
        <v>Analytics Plus</v>
      </c>
      <c r="S750" t="str">
        <f>IFERROR(VLOOKUP(F750,Lookups!$D$5:$F$10,3,FALSE),"Unknown")</f>
        <v>Analytics</v>
      </c>
      <c r="T750" t="str">
        <f t="shared" si="121"/>
        <v>Enterprise</v>
      </c>
      <c r="U750" t="str">
        <f t="shared" si="122"/>
        <v>Open</v>
      </c>
      <c r="V750" s="3">
        <f t="shared" si="123"/>
        <v>0</v>
      </c>
      <c r="W750" s="3">
        <f t="shared" si="124"/>
        <v>2555</v>
      </c>
      <c r="X750" s="5" t="str">
        <f t="shared" si="125"/>
        <v/>
      </c>
      <c r="Y750" s="5">
        <f>IF(U750="Open",Lookups!$B$2-B750,X750)</f>
        <v>2</v>
      </c>
      <c r="Z750" t="str">
        <f t="shared" si="126"/>
        <v>OK</v>
      </c>
      <c r="AA750" t="str">
        <f t="shared" si="127"/>
        <v>2026-08</v>
      </c>
      <c r="AB750" t="str">
        <f t="shared" si="128"/>
        <v/>
      </c>
      <c r="AC750" t="str">
        <f t="shared" si="129"/>
        <v>Q3-2026</v>
      </c>
      <c r="AD750" s="5">
        <f t="shared" si="130"/>
        <v>72</v>
      </c>
      <c r="AE750" t="str">
        <f t="shared" si="131"/>
        <v>Pipeline</v>
      </c>
    </row>
    <row r="751" spans="1:31">
      <c r="A751" t="s">
        <v>853</v>
      </c>
      <c r="B751" s="1">
        <v>45782</v>
      </c>
      <c r="C751" t="s">
        <v>56</v>
      </c>
      <c r="D751" t="s">
        <v>57</v>
      </c>
      <c r="E751" t="s">
        <v>83</v>
      </c>
      <c r="F751" t="s">
        <v>67</v>
      </c>
      <c r="G751" t="s">
        <v>112</v>
      </c>
      <c r="H751" t="s">
        <v>53</v>
      </c>
      <c r="I751" t="s">
        <v>61</v>
      </c>
      <c r="J751" s="1">
        <v>45799</v>
      </c>
      <c r="K751" s="1">
        <v>45799</v>
      </c>
      <c r="L751" s="3">
        <v>62900</v>
      </c>
      <c r="M751" s="4">
        <v>0</v>
      </c>
      <c r="N751" s="4">
        <v>0</v>
      </c>
      <c r="O751" t="s">
        <v>110</v>
      </c>
      <c r="P751">
        <v>2</v>
      </c>
      <c r="Q751" t="str">
        <f>IFERROR(VLOOKUP(E751,Lookups!$A$5:$B$24,2,FALSE),"Other")</f>
        <v>Organic Search</v>
      </c>
      <c r="R751" t="str">
        <f>IFERROR(VLOOKUP(F751,Lookups!$D$5:$F$10,2,FALSE),"Unknown Product")</f>
        <v>Revenue Operations Suite</v>
      </c>
      <c r="S751" t="str">
        <f>IFERROR(VLOOKUP(F751,Lookups!$D$5:$F$10,3,FALSE),"Unknown")</f>
        <v>Revenue Ops</v>
      </c>
      <c r="T751" t="str">
        <f t="shared" si="121"/>
        <v>Enterprise</v>
      </c>
      <c r="U751" t="str">
        <f t="shared" si="122"/>
        <v>Lost</v>
      </c>
      <c r="V751" s="3">
        <f t="shared" si="123"/>
        <v>0</v>
      </c>
      <c r="W751" s="3">
        <f t="shared" si="124"/>
        <v>0</v>
      </c>
      <c r="X751" s="5">
        <f t="shared" si="125"/>
        <v>17</v>
      </c>
      <c r="Y751" s="5">
        <f>IF(U751="Open",Lookups!$B$2-B751,X751)</f>
        <v>17</v>
      </c>
      <c r="Z751" t="str">
        <f t="shared" si="126"/>
        <v>OK</v>
      </c>
      <c r="AA751" t="str">
        <f t="shared" si="127"/>
        <v>2025-05</v>
      </c>
      <c r="AB751" t="str">
        <f t="shared" si="128"/>
        <v>2025-05</v>
      </c>
      <c r="AC751" t="str">
        <f t="shared" si="129"/>
        <v>Q2-2025</v>
      </c>
      <c r="AD751" s="5">
        <f t="shared" si="130"/>
        <v>77</v>
      </c>
      <c r="AE751" t="str">
        <f t="shared" si="131"/>
        <v>Lost</v>
      </c>
    </row>
    <row r="752" spans="1:31">
      <c r="A752" t="s">
        <v>854</v>
      </c>
      <c r="B752" s="1">
        <v>45876</v>
      </c>
      <c r="C752" t="s">
        <v>69</v>
      </c>
      <c r="D752" t="s">
        <v>57</v>
      </c>
      <c r="E752" t="s">
        <v>83</v>
      </c>
      <c r="F752" t="s">
        <v>67</v>
      </c>
      <c r="G752" t="s">
        <v>94</v>
      </c>
      <c r="H752" t="s">
        <v>47</v>
      </c>
      <c r="I752" t="s">
        <v>61</v>
      </c>
      <c r="J752" s="1">
        <v>45921</v>
      </c>
      <c r="K752" s="1">
        <v>45921</v>
      </c>
      <c r="L752" s="3">
        <v>37500</v>
      </c>
      <c r="M752" s="4">
        <v>0</v>
      </c>
      <c r="N752" s="4">
        <v>0</v>
      </c>
      <c r="O752" t="s">
        <v>102</v>
      </c>
      <c r="P752">
        <v>4</v>
      </c>
      <c r="Q752" t="str">
        <f>IFERROR(VLOOKUP(E752,Lookups!$A$5:$B$24,2,FALSE),"Other")</f>
        <v>Organic Search</v>
      </c>
      <c r="R752" t="str">
        <f>IFERROR(VLOOKUP(F752,Lookups!$D$5:$F$10,2,FALSE),"Unknown Product")</f>
        <v>Revenue Operations Suite</v>
      </c>
      <c r="S752" t="str">
        <f>IFERROR(VLOOKUP(F752,Lookups!$D$5:$F$10,3,FALSE),"Unknown")</f>
        <v>Revenue Ops</v>
      </c>
      <c r="T752" t="str">
        <f t="shared" si="121"/>
        <v>Mid-Market</v>
      </c>
      <c r="U752" t="str">
        <f t="shared" si="122"/>
        <v>Lost</v>
      </c>
      <c r="V752" s="3">
        <f t="shared" si="123"/>
        <v>0</v>
      </c>
      <c r="W752" s="3">
        <f t="shared" si="124"/>
        <v>0</v>
      </c>
      <c r="X752" s="5">
        <f t="shared" si="125"/>
        <v>45</v>
      </c>
      <c r="Y752" s="5">
        <f>IF(U752="Open",Lookups!$B$2-B752,X752)</f>
        <v>45</v>
      </c>
      <c r="Z752" t="str">
        <f t="shared" si="126"/>
        <v>OK</v>
      </c>
      <c r="AA752" t="str">
        <f t="shared" si="127"/>
        <v>2025-08</v>
      </c>
      <c r="AB752" t="str">
        <f t="shared" si="128"/>
        <v>2025-09</v>
      </c>
      <c r="AC752" t="str">
        <f t="shared" si="129"/>
        <v>Q3-2025</v>
      </c>
      <c r="AD752" s="5">
        <f t="shared" si="130"/>
        <v>57</v>
      </c>
      <c r="AE752" t="str">
        <f t="shared" si="131"/>
        <v>Lost</v>
      </c>
    </row>
    <row r="753" spans="1:31">
      <c r="A753" t="s">
        <v>855</v>
      </c>
      <c r="B753" s="1">
        <v>46156</v>
      </c>
      <c r="C753" t="s">
        <v>64</v>
      </c>
      <c r="D753" t="s">
        <v>57</v>
      </c>
      <c r="E753" t="s">
        <v>92</v>
      </c>
      <c r="F753" t="s">
        <v>59</v>
      </c>
      <c r="G753" t="s">
        <v>72</v>
      </c>
      <c r="H753" t="s">
        <v>53</v>
      </c>
      <c r="I753" t="s">
        <v>54</v>
      </c>
      <c r="J753" s="1">
        <v>46213</v>
      </c>
      <c r="K753" s="1"/>
      <c r="L753" s="3">
        <v>31800</v>
      </c>
      <c r="M753" s="4">
        <v>0.05</v>
      </c>
      <c r="N753" s="4">
        <v>0.65</v>
      </c>
      <c r="P753">
        <v>4</v>
      </c>
      <c r="Q753" t="str">
        <f>IFERROR(VLOOKUP(E753,Lookups!$A$5:$B$24,2,FALSE),"Other")</f>
        <v>Webinar</v>
      </c>
      <c r="R753" t="str">
        <f>IFERROR(VLOOKUP(F753,Lookups!$D$5:$F$10,2,FALSE),"Unknown Product")</f>
        <v>NexaCRM Pro</v>
      </c>
      <c r="S753" t="str">
        <f>IFERROR(VLOOKUP(F753,Lookups!$D$5:$F$10,3,FALSE),"Unknown")</f>
        <v>CRM</v>
      </c>
      <c r="T753" t="str">
        <f t="shared" si="121"/>
        <v>Mid-Market</v>
      </c>
      <c r="U753" t="str">
        <f t="shared" si="122"/>
        <v>Open</v>
      </c>
      <c r="V753" s="3">
        <f t="shared" si="123"/>
        <v>0</v>
      </c>
      <c r="W753" s="3">
        <f t="shared" si="124"/>
        <v>20670</v>
      </c>
      <c r="X753" s="5" t="str">
        <f t="shared" si="125"/>
        <v/>
      </c>
      <c r="Y753" s="5">
        <f>IF(U753="Open",Lookups!$B$2-B753,X753)</f>
        <v>110</v>
      </c>
      <c r="Z753" t="str">
        <f t="shared" si="126"/>
        <v>STALE</v>
      </c>
      <c r="AA753" t="str">
        <f t="shared" si="127"/>
        <v>2026-05</v>
      </c>
      <c r="AB753" t="str">
        <f t="shared" si="128"/>
        <v/>
      </c>
      <c r="AC753" t="str">
        <f t="shared" si="129"/>
        <v>Q2-2026</v>
      </c>
      <c r="AD753" s="5">
        <f t="shared" si="130"/>
        <v>59</v>
      </c>
      <c r="AE753" t="str">
        <f t="shared" si="131"/>
        <v>Best Case</v>
      </c>
    </row>
    <row r="754" spans="1:31">
      <c r="A754" t="s">
        <v>856</v>
      </c>
      <c r="B754" s="1">
        <v>45853</v>
      </c>
      <c r="C754" t="s">
        <v>42</v>
      </c>
      <c r="D754" t="s">
        <v>43</v>
      </c>
      <c r="E754" t="s">
        <v>166</v>
      </c>
      <c r="F754" t="s">
        <v>133</v>
      </c>
      <c r="G754" t="s">
        <v>46</v>
      </c>
      <c r="H754" t="s">
        <v>47</v>
      </c>
      <c r="I754" t="s">
        <v>61</v>
      </c>
      <c r="J754" s="1">
        <v>45875</v>
      </c>
      <c r="K754" s="1">
        <v>45875</v>
      </c>
      <c r="L754" s="3">
        <v>13500</v>
      </c>
      <c r="M754" s="4">
        <v>0</v>
      </c>
      <c r="N754" s="4">
        <v>0</v>
      </c>
      <c r="O754" t="s">
        <v>116</v>
      </c>
      <c r="P754">
        <v>3</v>
      </c>
      <c r="Q754" t="str">
        <f>IFERROR(VLOOKUP(E754,Lookups!$A$5:$B$24,2,FALSE),"Other")</f>
        <v>Referral</v>
      </c>
      <c r="R754" t="str">
        <f>IFERROR(VLOOKUP(F754,Lookups!$D$5:$F$10,2,FALSE),"Unknown Product")</f>
        <v>Analytics Plus</v>
      </c>
      <c r="S754" t="str">
        <f>IFERROR(VLOOKUP(F754,Lookups!$D$5:$F$10,3,FALSE),"Unknown")</f>
        <v>Analytics</v>
      </c>
      <c r="T754" t="str">
        <f t="shared" si="121"/>
        <v>SMB</v>
      </c>
      <c r="U754" t="str">
        <f t="shared" si="122"/>
        <v>Lost</v>
      </c>
      <c r="V754" s="3">
        <f t="shared" si="123"/>
        <v>0</v>
      </c>
      <c r="W754" s="3">
        <f t="shared" si="124"/>
        <v>0</v>
      </c>
      <c r="X754" s="5">
        <f t="shared" si="125"/>
        <v>22</v>
      </c>
      <c r="Y754" s="5">
        <f>IF(U754="Open",Lookups!$B$2-B754,X754)</f>
        <v>22</v>
      </c>
      <c r="Z754" t="str">
        <f t="shared" si="126"/>
        <v>OK</v>
      </c>
      <c r="AA754" t="str">
        <f t="shared" si="127"/>
        <v>2025-07</v>
      </c>
      <c r="AB754" t="str">
        <f t="shared" si="128"/>
        <v>2025-08</v>
      </c>
      <c r="AC754" t="str">
        <f t="shared" si="129"/>
        <v>Q3-2025</v>
      </c>
      <c r="AD754" s="5">
        <f t="shared" si="130"/>
        <v>54</v>
      </c>
      <c r="AE754" t="str">
        <f t="shared" si="131"/>
        <v>Lost</v>
      </c>
    </row>
    <row r="755" spans="1:31">
      <c r="A755" t="s">
        <v>857</v>
      </c>
      <c r="B755" s="1">
        <v>46012</v>
      </c>
      <c r="C755" t="s">
        <v>86</v>
      </c>
      <c r="D755" t="s">
        <v>87</v>
      </c>
      <c r="E755" t="s">
        <v>146</v>
      </c>
      <c r="F755" t="s">
        <v>59</v>
      </c>
      <c r="G755" t="s">
        <v>76</v>
      </c>
      <c r="H755" t="s">
        <v>47</v>
      </c>
      <c r="I755" t="s">
        <v>61</v>
      </c>
      <c r="J755" s="1">
        <v>46020</v>
      </c>
      <c r="K755" s="1">
        <v>46020</v>
      </c>
      <c r="L755" s="3">
        <v>15800</v>
      </c>
      <c r="M755" s="4">
        <v>0</v>
      </c>
      <c r="N755" s="4">
        <v>0</v>
      </c>
      <c r="O755" t="s">
        <v>79</v>
      </c>
      <c r="P755">
        <v>2</v>
      </c>
      <c r="Q755" t="str">
        <f>IFERROR(VLOOKUP(E755,Lookups!$A$5:$B$24,2,FALSE),"Other")</f>
        <v>LinkedIn</v>
      </c>
      <c r="R755" t="str">
        <f>IFERROR(VLOOKUP(F755,Lookups!$D$5:$F$10,2,FALSE),"Unknown Product")</f>
        <v>NexaCRM Pro</v>
      </c>
      <c r="S755" t="str">
        <f>IFERROR(VLOOKUP(F755,Lookups!$D$5:$F$10,3,FALSE),"Unknown")</f>
        <v>CRM</v>
      </c>
      <c r="T755" t="str">
        <f t="shared" si="121"/>
        <v>SMB</v>
      </c>
      <c r="U755" t="str">
        <f t="shared" si="122"/>
        <v>Lost</v>
      </c>
      <c r="V755" s="3">
        <f t="shared" si="123"/>
        <v>0</v>
      </c>
      <c r="W755" s="3">
        <f t="shared" si="124"/>
        <v>0</v>
      </c>
      <c r="X755" s="5">
        <f t="shared" si="125"/>
        <v>8</v>
      </c>
      <c r="Y755" s="5">
        <f>IF(U755="Open",Lookups!$B$2-B755,X755)</f>
        <v>8</v>
      </c>
      <c r="Z755" t="str">
        <f t="shared" si="126"/>
        <v>OK</v>
      </c>
      <c r="AA755" t="str">
        <f t="shared" si="127"/>
        <v>2025-12</v>
      </c>
      <c r="AB755" t="str">
        <f t="shared" si="128"/>
        <v>2025-12</v>
      </c>
      <c r="AC755" t="str">
        <f t="shared" si="129"/>
        <v>Q4-2025</v>
      </c>
      <c r="AD755" s="5">
        <f t="shared" si="130"/>
        <v>43</v>
      </c>
      <c r="AE755" t="str">
        <f t="shared" si="131"/>
        <v>Lost</v>
      </c>
    </row>
    <row r="756" spans="1:31">
      <c r="A756" t="s">
        <v>858</v>
      </c>
      <c r="B756" s="1">
        <v>45781</v>
      </c>
      <c r="C756" t="s">
        <v>86</v>
      </c>
      <c r="D756" t="s">
        <v>87</v>
      </c>
      <c r="E756" t="s">
        <v>127</v>
      </c>
      <c r="F756" t="s">
        <v>71</v>
      </c>
      <c r="G756" t="s">
        <v>112</v>
      </c>
      <c r="H756" t="s">
        <v>47</v>
      </c>
      <c r="I756" t="s">
        <v>61</v>
      </c>
      <c r="J756" s="1">
        <v>45867</v>
      </c>
      <c r="K756" s="1">
        <v>45867</v>
      </c>
      <c r="L756" s="3">
        <v>17000</v>
      </c>
      <c r="M756" s="4">
        <v>0</v>
      </c>
      <c r="N756" s="4">
        <v>0</v>
      </c>
      <c r="O756" t="s">
        <v>116</v>
      </c>
      <c r="P756">
        <v>5</v>
      </c>
      <c r="Q756" t="str">
        <f>IFERROR(VLOOKUP(E756,Lookups!$A$5:$B$24,2,FALSE),"Other")</f>
        <v>Paid Search</v>
      </c>
      <c r="R756" t="str">
        <f>IFERROR(VLOOKUP(F756,Lookups!$D$5:$F$10,2,FALSE),"Unknown Product")</f>
        <v>Marketing Automation</v>
      </c>
      <c r="S756" t="str">
        <f>IFERROR(VLOOKUP(F756,Lookups!$D$5:$F$10,3,FALSE),"Unknown")</f>
        <v>Marketing</v>
      </c>
      <c r="T756" t="str">
        <f t="shared" si="121"/>
        <v>SMB</v>
      </c>
      <c r="U756" t="str">
        <f t="shared" si="122"/>
        <v>Lost</v>
      </c>
      <c r="V756" s="3">
        <f t="shared" si="123"/>
        <v>0</v>
      </c>
      <c r="W756" s="3">
        <f t="shared" si="124"/>
        <v>0</v>
      </c>
      <c r="X756" s="5">
        <f t="shared" si="125"/>
        <v>86</v>
      </c>
      <c r="Y756" s="5">
        <f>IF(U756="Open",Lookups!$B$2-B756,X756)</f>
        <v>86</v>
      </c>
      <c r="Z756" t="str">
        <f t="shared" si="126"/>
        <v>OK</v>
      </c>
      <c r="AA756" t="str">
        <f t="shared" si="127"/>
        <v>2025-05</v>
      </c>
      <c r="AB756" t="str">
        <f t="shared" si="128"/>
        <v>2025-07</v>
      </c>
      <c r="AC756" t="str">
        <f t="shared" si="129"/>
        <v>Q2-2025</v>
      </c>
      <c r="AD756" s="5">
        <f t="shared" si="130"/>
        <v>48</v>
      </c>
      <c r="AE756" t="str">
        <f t="shared" si="131"/>
        <v>Lost</v>
      </c>
    </row>
    <row r="757" spans="1:31">
      <c r="A757" t="s">
        <v>859</v>
      </c>
      <c r="B757" s="1">
        <v>46256</v>
      </c>
      <c r="C757" t="s">
        <v>86</v>
      </c>
      <c r="D757" t="s">
        <v>87</v>
      </c>
      <c r="E757" t="s">
        <v>92</v>
      </c>
      <c r="F757" t="s">
        <v>52</v>
      </c>
      <c r="G757" t="s">
        <v>60</v>
      </c>
      <c r="H757" t="s">
        <v>53</v>
      </c>
      <c r="I757" t="s">
        <v>73</v>
      </c>
      <c r="J757" s="1">
        <v>46262</v>
      </c>
      <c r="K757" s="1"/>
      <c r="L757" s="3">
        <v>13900</v>
      </c>
      <c r="M757" s="4">
        <v>0</v>
      </c>
      <c r="N757" s="4">
        <v>0.2</v>
      </c>
      <c r="P757">
        <v>2</v>
      </c>
      <c r="Q757" t="str">
        <f>IFERROR(VLOOKUP(E757,Lookups!$A$5:$B$24,2,FALSE),"Other")</f>
        <v>Webinar</v>
      </c>
      <c r="R757" t="str">
        <f>IFERROR(VLOOKUP(F757,Lookups!$D$5:$F$10,2,FALSE),"Unknown Product")</f>
        <v>NexaCRM Core</v>
      </c>
      <c r="S757" t="str">
        <f>IFERROR(VLOOKUP(F757,Lookups!$D$5:$F$10,3,FALSE),"Unknown")</f>
        <v>CRM</v>
      </c>
      <c r="T757" t="str">
        <f t="shared" si="121"/>
        <v>SMB</v>
      </c>
      <c r="U757" t="str">
        <f t="shared" si="122"/>
        <v>Open</v>
      </c>
      <c r="V757" s="3">
        <f t="shared" si="123"/>
        <v>0</v>
      </c>
      <c r="W757" s="3">
        <f t="shared" si="124"/>
        <v>2780</v>
      </c>
      <c r="X757" s="5" t="str">
        <f t="shared" si="125"/>
        <v/>
      </c>
      <c r="Y757" s="5">
        <f>IF(U757="Open",Lookups!$B$2-B757,X757)</f>
        <v>10</v>
      </c>
      <c r="Z757" t="str">
        <f t="shared" si="126"/>
        <v>OK</v>
      </c>
      <c r="AA757" t="str">
        <f t="shared" si="127"/>
        <v>2026-08</v>
      </c>
      <c r="AB757" t="str">
        <f t="shared" si="128"/>
        <v/>
      </c>
      <c r="AC757" t="str">
        <f t="shared" si="129"/>
        <v>Q3-2026</v>
      </c>
      <c r="AD757" s="5">
        <f t="shared" si="130"/>
        <v>51</v>
      </c>
      <c r="AE757" t="str">
        <f t="shared" si="131"/>
        <v>Pipeline</v>
      </c>
    </row>
    <row r="758" spans="1:31">
      <c r="A758" t="s">
        <v>860</v>
      </c>
      <c r="B758" s="1">
        <v>45849</v>
      </c>
      <c r="C758" t="s">
        <v>90</v>
      </c>
      <c r="D758" t="s">
        <v>57</v>
      </c>
      <c r="E758" t="s">
        <v>83</v>
      </c>
      <c r="F758" t="s">
        <v>67</v>
      </c>
      <c r="G758" t="s">
        <v>76</v>
      </c>
      <c r="H758" t="s">
        <v>53</v>
      </c>
      <c r="I758" t="s">
        <v>61</v>
      </c>
      <c r="J758" s="1">
        <v>45911</v>
      </c>
      <c r="K758" s="1">
        <v>45911</v>
      </c>
      <c r="L758" s="3">
        <v>67200</v>
      </c>
      <c r="M758" s="4">
        <v>0</v>
      </c>
      <c r="N758" s="4">
        <v>0</v>
      </c>
      <c r="O758" t="s">
        <v>116</v>
      </c>
      <c r="P758">
        <v>5</v>
      </c>
      <c r="Q758" t="str">
        <f>IFERROR(VLOOKUP(E758,Lookups!$A$5:$B$24,2,FALSE),"Other")</f>
        <v>Organic Search</v>
      </c>
      <c r="R758" t="str">
        <f>IFERROR(VLOOKUP(F758,Lookups!$D$5:$F$10,2,FALSE),"Unknown Product")</f>
        <v>Revenue Operations Suite</v>
      </c>
      <c r="S758" t="str">
        <f>IFERROR(VLOOKUP(F758,Lookups!$D$5:$F$10,3,FALSE),"Unknown")</f>
        <v>Revenue Ops</v>
      </c>
      <c r="T758" t="str">
        <f t="shared" si="121"/>
        <v>Enterprise</v>
      </c>
      <c r="U758" t="str">
        <f t="shared" si="122"/>
        <v>Lost</v>
      </c>
      <c r="V758" s="3">
        <f t="shared" si="123"/>
        <v>0</v>
      </c>
      <c r="W758" s="3">
        <f t="shared" si="124"/>
        <v>0</v>
      </c>
      <c r="X758" s="5">
        <f t="shared" si="125"/>
        <v>62</v>
      </c>
      <c r="Y758" s="5">
        <f>IF(U758="Open",Lookups!$B$2-B758,X758)</f>
        <v>62</v>
      </c>
      <c r="Z758" t="str">
        <f t="shared" si="126"/>
        <v>OK</v>
      </c>
      <c r="AA758" t="str">
        <f t="shared" si="127"/>
        <v>2025-07</v>
      </c>
      <c r="AB758" t="str">
        <f t="shared" si="128"/>
        <v>2025-09</v>
      </c>
      <c r="AC758" t="str">
        <f t="shared" si="129"/>
        <v>Q3-2025</v>
      </c>
      <c r="AD758" s="5">
        <f t="shared" si="130"/>
        <v>72</v>
      </c>
      <c r="AE758" t="str">
        <f t="shared" si="131"/>
        <v>Lost</v>
      </c>
    </row>
    <row r="759" spans="1:31">
      <c r="A759" t="s">
        <v>861</v>
      </c>
      <c r="B759" s="1">
        <v>46065</v>
      </c>
      <c r="C759" t="s">
        <v>86</v>
      </c>
      <c r="D759" t="s">
        <v>87</v>
      </c>
      <c r="E759" t="s">
        <v>138</v>
      </c>
      <c r="F759" t="s">
        <v>67</v>
      </c>
      <c r="G759" t="s">
        <v>60</v>
      </c>
      <c r="H759" t="s">
        <v>84</v>
      </c>
      <c r="I759" t="s">
        <v>61</v>
      </c>
      <c r="J759" s="1">
        <v>46100</v>
      </c>
      <c r="K759" s="1">
        <v>46100</v>
      </c>
      <c r="L759" s="3">
        <v>119400</v>
      </c>
      <c r="M759" s="4">
        <v>0</v>
      </c>
      <c r="N759" s="4">
        <v>0</v>
      </c>
      <c r="O759" t="s">
        <v>110</v>
      </c>
      <c r="P759">
        <v>5</v>
      </c>
      <c r="Q759" t="str">
        <f>IFERROR(VLOOKUP(E759,Lookups!$A$5:$B$24,2,FALSE),"Other")</f>
        <v>Organic Search</v>
      </c>
      <c r="R759" t="str">
        <f>IFERROR(VLOOKUP(F759,Lookups!$D$5:$F$10,2,FALSE),"Unknown Product")</f>
        <v>Revenue Operations Suite</v>
      </c>
      <c r="S759" t="str">
        <f>IFERROR(VLOOKUP(F759,Lookups!$D$5:$F$10,3,FALSE),"Unknown")</f>
        <v>Revenue Ops</v>
      </c>
      <c r="T759" t="str">
        <f t="shared" si="121"/>
        <v>Enterprise</v>
      </c>
      <c r="U759" t="str">
        <f t="shared" si="122"/>
        <v>Lost</v>
      </c>
      <c r="V759" s="3">
        <f t="shared" si="123"/>
        <v>0</v>
      </c>
      <c r="W759" s="3">
        <f t="shared" si="124"/>
        <v>0</v>
      </c>
      <c r="X759" s="5">
        <f t="shared" si="125"/>
        <v>35</v>
      </c>
      <c r="Y759" s="5">
        <f>IF(U759="Open",Lookups!$B$2-B759,X759)</f>
        <v>35</v>
      </c>
      <c r="Z759" t="str">
        <f t="shared" si="126"/>
        <v>OK</v>
      </c>
      <c r="AA759" t="str">
        <f t="shared" si="127"/>
        <v>2026-02</v>
      </c>
      <c r="AB759" t="str">
        <f t="shared" si="128"/>
        <v>2026-03</v>
      </c>
      <c r="AC759" t="str">
        <f t="shared" si="129"/>
        <v>Q1-2026</v>
      </c>
      <c r="AD759" s="5">
        <f t="shared" si="130"/>
        <v>80</v>
      </c>
      <c r="AE759" t="str">
        <f t="shared" si="131"/>
        <v>Lost</v>
      </c>
    </row>
    <row r="760" spans="1:31">
      <c r="A760" t="s">
        <v>862</v>
      </c>
      <c r="B760" s="1">
        <v>46194</v>
      </c>
      <c r="C760" t="s">
        <v>90</v>
      </c>
      <c r="D760" t="s">
        <v>57</v>
      </c>
      <c r="E760" t="s">
        <v>65</v>
      </c>
      <c r="F760" t="s">
        <v>45</v>
      </c>
      <c r="G760" t="s">
        <v>76</v>
      </c>
      <c r="H760" t="s">
        <v>47</v>
      </c>
      <c r="I760" t="s">
        <v>61</v>
      </c>
      <c r="J760" s="1">
        <v>46266</v>
      </c>
      <c r="K760" s="1">
        <v>46266</v>
      </c>
      <c r="L760" s="3">
        <v>15600</v>
      </c>
      <c r="M760" s="4">
        <v>0</v>
      </c>
      <c r="N760" s="4">
        <v>0</v>
      </c>
      <c r="O760" t="s">
        <v>81</v>
      </c>
      <c r="P760">
        <v>2</v>
      </c>
      <c r="Q760" t="str">
        <f>IFERROR(VLOOKUP(E760,Lookups!$A$5:$B$24,2,FALSE),"Other")</f>
        <v>Paid Search</v>
      </c>
      <c r="R760" t="str">
        <f>IFERROR(VLOOKUP(F760,Lookups!$D$5:$F$10,2,FALSE),"Unknown Product")</f>
        <v>Service Cloud</v>
      </c>
      <c r="S760" t="str">
        <f>IFERROR(VLOOKUP(F760,Lookups!$D$5:$F$10,3,FALSE),"Unknown")</f>
        <v>Customer Service</v>
      </c>
      <c r="T760" t="str">
        <f t="shared" si="121"/>
        <v>SMB</v>
      </c>
      <c r="U760" t="str">
        <f t="shared" si="122"/>
        <v>Lost</v>
      </c>
      <c r="V760" s="3">
        <f t="shared" si="123"/>
        <v>0</v>
      </c>
      <c r="W760" s="3">
        <f t="shared" si="124"/>
        <v>0</v>
      </c>
      <c r="X760" s="5">
        <f t="shared" si="125"/>
        <v>72</v>
      </c>
      <c r="Y760" s="5">
        <f>IF(U760="Open",Lookups!$B$2-B760,X760)</f>
        <v>72</v>
      </c>
      <c r="Z760" t="str">
        <f t="shared" si="126"/>
        <v>OK</v>
      </c>
      <c r="AA760" t="str">
        <f t="shared" si="127"/>
        <v>2026-06</v>
      </c>
      <c r="AB760" t="str">
        <f t="shared" si="128"/>
        <v>2026-09</v>
      </c>
      <c r="AC760" t="str">
        <f t="shared" si="129"/>
        <v>Q2-2026</v>
      </c>
      <c r="AD760" s="5">
        <f t="shared" si="130"/>
        <v>43</v>
      </c>
      <c r="AE760" t="str">
        <f t="shared" si="131"/>
        <v>Lost</v>
      </c>
    </row>
    <row r="761" spans="1:31">
      <c r="A761" t="s">
        <v>863</v>
      </c>
      <c r="B761" s="1">
        <v>46018</v>
      </c>
      <c r="C761" t="s">
        <v>90</v>
      </c>
      <c r="D761" t="s">
        <v>57</v>
      </c>
      <c r="E761" t="s">
        <v>96</v>
      </c>
      <c r="F761" t="s">
        <v>59</v>
      </c>
      <c r="G761" t="s">
        <v>46</v>
      </c>
      <c r="H761" t="s">
        <v>47</v>
      </c>
      <c r="I761" t="s">
        <v>61</v>
      </c>
      <c r="J761" s="1">
        <v>46055</v>
      </c>
      <c r="K761" s="1">
        <v>46055</v>
      </c>
      <c r="L761" s="3">
        <v>18400</v>
      </c>
      <c r="M761" s="4">
        <v>0</v>
      </c>
      <c r="N761" s="4">
        <v>0</v>
      </c>
      <c r="O761" t="s">
        <v>79</v>
      </c>
      <c r="P761">
        <v>3</v>
      </c>
      <c r="Q761" t="str">
        <f>IFERROR(VLOOKUP(E761,Lookups!$A$5:$B$24,2,FALSE),"Other")</f>
        <v>LinkedIn</v>
      </c>
      <c r="R761" t="str">
        <f>IFERROR(VLOOKUP(F761,Lookups!$D$5:$F$10,2,FALSE),"Unknown Product")</f>
        <v>NexaCRM Pro</v>
      </c>
      <c r="S761" t="str">
        <f>IFERROR(VLOOKUP(F761,Lookups!$D$5:$F$10,3,FALSE),"Unknown")</f>
        <v>CRM</v>
      </c>
      <c r="T761" t="str">
        <f t="shared" si="121"/>
        <v>SMB</v>
      </c>
      <c r="U761" t="str">
        <f t="shared" si="122"/>
        <v>Lost</v>
      </c>
      <c r="V761" s="3">
        <f t="shared" si="123"/>
        <v>0</v>
      </c>
      <c r="W761" s="3">
        <f t="shared" si="124"/>
        <v>0</v>
      </c>
      <c r="X761" s="5">
        <f t="shared" si="125"/>
        <v>37</v>
      </c>
      <c r="Y761" s="5">
        <f>IF(U761="Open",Lookups!$B$2-B761,X761)</f>
        <v>37</v>
      </c>
      <c r="Z761" t="str">
        <f t="shared" si="126"/>
        <v>OK</v>
      </c>
      <c r="AA761" t="str">
        <f t="shared" si="127"/>
        <v>2025-12</v>
      </c>
      <c r="AB761" t="str">
        <f t="shared" si="128"/>
        <v>2026-02</v>
      </c>
      <c r="AC761" t="str">
        <f t="shared" si="129"/>
        <v>Q4-2025</v>
      </c>
      <c r="AD761" s="5">
        <f t="shared" si="130"/>
        <v>43</v>
      </c>
      <c r="AE761" t="str">
        <f t="shared" si="131"/>
        <v>Lost</v>
      </c>
    </row>
    <row r="762" spans="1:31">
      <c r="A762" t="s">
        <v>864</v>
      </c>
      <c r="B762" s="1">
        <v>46007</v>
      </c>
      <c r="C762" t="s">
        <v>64</v>
      </c>
      <c r="D762" t="s">
        <v>57</v>
      </c>
      <c r="E762" t="s">
        <v>98</v>
      </c>
      <c r="F762" t="s">
        <v>67</v>
      </c>
      <c r="G762" t="s">
        <v>112</v>
      </c>
      <c r="H762" t="s">
        <v>53</v>
      </c>
      <c r="I762" t="s">
        <v>48</v>
      </c>
      <c r="J762" s="1">
        <v>46164</v>
      </c>
      <c r="K762" s="1"/>
      <c r="L762" s="3">
        <v>70300</v>
      </c>
      <c r="M762" s="4">
        <v>0.05</v>
      </c>
      <c r="N762" s="4">
        <v>0.85</v>
      </c>
      <c r="P762">
        <v>5</v>
      </c>
      <c r="Q762" t="str">
        <f>IFERROR(VLOOKUP(E762,Lookups!$A$5:$B$24,2,FALSE),"Other")</f>
        <v>Outbound</v>
      </c>
      <c r="R762" t="str">
        <f>IFERROR(VLOOKUP(F762,Lookups!$D$5:$F$10,2,FALSE),"Unknown Product")</f>
        <v>Revenue Operations Suite</v>
      </c>
      <c r="S762" t="str">
        <f>IFERROR(VLOOKUP(F762,Lookups!$D$5:$F$10,3,FALSE),"Unknown")</f>
        <v>Revenue Ops</v>
      </c>
      <c r="T762" t="str">
        <f t="shared" si="121"/>
        <v>Enterprise</v>
      </c>
      <c r="U762" t="str">
        <f t="shared" si="122"/>
        <v>Open</v>
      </c>
      <c r="V762" s="3">
        <f t="shared" si="123"/>
        <v>0</v>
      </c>
      <c r="W762" s="3">
        <f t="shared" si="124"/>
        <v>59755</v>
      </c>
      <c r="X762" s="5" t="str">
        <f t="shared" si="125"/>
        <v/>
      </c>
      <c r="Y762" s="5">
        <f>IF(U762="Open",Lookups!$B$2-B762,X762)</f>
        <v>259</v>
      </c>
      <c r="Z762" t="str">
        <f t="shared" si="126"/>
        <v>STALE</v>
      </c>
      <c r="AA762" t="str">
        <f t="shared" si="127"/>
        <v>2025-12</v>
      </c>
      <c r="AB762" t="str">
        <f t="shared" si="128"/>
        <v/>
      </c>
      <c r="AC762" t="str">
        <f t="shared" si="129"/>
        <v>Q4-2025</v>
      </c>
      <c r="AD762" s="5">
        <f t="shared" si="130"/>
        <v>71</v>
      </c>
      <c r="AE762" t="str">
        <f t="shared" si="131"/>
        <v>Commit</v>
      </c>
    </row>
    <row r="763" spans="1:31">
      <c r="A763" t="s">
        <v>865</v>
      </c>
      <c r="B763" s="1">
        <v>46215</v>
      </c>
      <c r="C763" t="s">
        <v>64</v>
      </c>
      <c r="D763" t="s">
        <v>57</v>
      </c>
      <c r="E763" t="s">
        <v>160</v>
      </c>
      <c r="F763" t="s">
        <v>45</v>
      </c>
      <c r="G763" t="s">
        <v>94</v>
      </c>
      <c r="H763" t="s">
        <v>84</v>
      </c>
      <c r="I763" t="s">
        <v>105</v>
      </c>
      <c r="J763" s="1">
        <v>46246</v>
      </c>
      <c r="K763" s="1"/>
      <c r="L763" s="3">
        <v>86100</v>
      </c>
      <c r="M763" s="4">
        <v>0</v>
      </c>
      <c r="N763" s="4">
        <v>0.4</v>
      </c>
      <c r="P763">
        <v>3</v>
      </c>
      <c r="Q763" t="str">
        <f>IFERROR(VLOOKUP(E763,Lookups!$A$5:$B$24,2,FALSE),"Other")</f>
        <v>Email</v>
      </c>
      <c r="R763" t="str">
        <f>IFERROR(VLOOKUP(F763,Lookups!$D$5:$F$10,2,FALSE),"Unknown Product")</f>
        <v>Service Cloud</v>
      </c>
      <c r="S763" t="str">
        <f>IFERROR(VLOOKUP(F763,Lookups!$D$5:$F$10,3,FALSE),"Unknown")</f>
        <v>Customer Service</v>
      </c>
      <c r="T763" t="str">
        <f t="shared" si="121"/>
        <v>Enterprise</v>
      </c>
      <c r="U763" t="str">
        <f t="shared" si="122"/>
        <v>Open</v>
      </c>
      <c r="V763" s="3">
        <f t="shared" si="123"/>
        <v>0</v>
      </c>
      <c r="W763" s="3">
        <f t="shared" si="124"/>
        <v>34440</v>
      </c>
      <c r="X763" s="5" t="str">
        <f t="shared" si="125"/>
        <v/>
      </c>
      <c r="Y763" s="5">
        <f>IF(U763="Open",Lookups!$B$2-B763,X763)</f>
        <v>51</v>
      </c>
      <c r="Z763" t="str">
        <f t="shared" si="126"/>
        <v>STALE</v>
      </c>
      <c r="AA763" t="str">
        <f t="shared" si="127"/>
        <v>2026-07</v>
      </c>
      <c r="AB763" t="str">
        <f t="shared" si="128"/>
        <v/>
      </c>
      <c r="AC763" t="str">
        <f t="shared" si="129"/>
        <v>Q3-2026</v>
      </c>
      <c r="AD763" s="5">
        <f t="shared" si="130"/>
        <v>78</v>
      </c>
      <c r="AE763" t="str">
        <f t="shared" si="131"/>
        <v>Pipeline</v>
      </c>
    </row>
    <row r="764" spans="1:31">
      <c r="A764" t="s">
        <v>866</v>
      </c>
      <c r="B764" s="1">
        <v>46016</v>
      </c>
      <c r="C764" t="s">
        <v>148</v>
      </c>
      <c r="D764" t="s">
        <v>43</v>
      </c>
      <c r="E764" t="s">
        <v>166</v>
      </c>
      <c r="F764" t="s">
        <v>45</v>
      </c>
      <c r="G764" t="s">
        <v>72</v>
      </c>
      <c r="H764" t="s">
        <v>47</v>
      </c>
      <c r="I764" t="s">
        <v>61</v>
      </c>
      <c r="J764" s="1">
        <v>46066</v>
      </c>
      <c r="K764" s="1">
        <v>46066</v>
      </c>
      <c r="L764" s="3">
        <v>19900</v>
      </c>
      <c r="M764" s="4">
        <v>0</v>
      </c>
      <c r="N764" s="4">
        <v>0</v>
      </c>
      <c r="O764" t="s">
        <v>79</v>
      </c>
      <c r="P764">
        <v>5</v>
      </c>
      <c r="Q764" t="str">
        <f>IFERROR(VLOOKUP(E764,Lookups!$A$5:$B$24,2,FALSE),"Other")</f>
        <v>Referral</v>
      </c>
      <c r="R764" t="str">
        <f>IFERROR(VLOOKUP(F764,Lookups!$D$5:$F$10,2,FALSE),"Unknown Product")</f>
        <v>Service Cloud</v>
      </c>
      <c r="S764" t="str">
        <f>IFERROR(VLOOKUP(F764,Lookups!$D$5:$F$10,3,FALSE),"Unknown")</f>
        <v>Customer Service</v>
      </c>
      <c r="T764" t="str">
        <f t="shared" si="121"/>
        <v>SMB</v>
      </c>
      <c r="U764" t="str">
        <f t="shared" si="122"/>
        <v>Lost</v>
      </c>
      <c r="V764" s="3">
        <f t="shared" si="123"/>
        <v>0</v>
      </c>
      <c r="W764" s="3">
        <f t="shared" si="124"/>
        <v>0</v>
      </c>
      <c r="X764" s="5">
        <f t="shared" si="125"/>
        <v>50</v>
      </c>
      <c r="Y764" s="5">
        <f>IF(U764="Open",Lookups!$B$2-B764,X764)</f>
        <v>50</v>
      </c>
      <c r="Z764" t="str">
        <f t="shared" si="126"/>
        <v>OK</v>
      </c>
      <c r="AA764" t="str">
        <f t="shared" si="127"/>
        <v>2025-12</v>
      </c>
      <c r="AB764" t="str">
        <f t="shared" si="128"/>
        <v>2026-02</v>
      </c>
      <c r="AC764" t="str">
        <f t="shared" si="129"/>
        <v>Q4-2025</v>
      </c>
      <c r="AD764" s="5">
        <f t="shared" si="130"/>
        <v>54</v>
      </c>
      <c r="AE764" t="str">
        <f t="shared" si="131"/>
        <v>Lost</v>
      </c>
    </row>
    <row r="765" spans="1:31">
      <c r="A765" t="s">
        <v>867</v>
      </c>
      <c r="B765" s="1">
        <v>45879</v>
      </c>
      <c r="C765" t="s">
        <v>42</v>
      </c>
      <c r="D765" t="s">
        <v>43</v>
      </c>
      <c r="E765" t="s">
        <v>166</v>
      </c>
      <c r="F765" t="s">
        <v>71</v>
      </c>
      <c r="G765" t="s">
        <v>94</v>
      </c>
      <c r="H765" t="s">
        <v>47</v>
      </c>
      <c r="I765" t="s">
        <v>61</v>
      </c>
      <c r="J765" s="1">
        <v>45903</v>
      </c>
      <c r="K765" s="1">
        <v>45903</v>
      </c>
      <c r="L765" s="3">
        <v>15300</v>
      </c>
      <c r="M765" s="4">
        <v>0</v>
      </c>
      <c r="N765" s="4">
        <v>0</v>
      </c>
      <c r="O765" t="s">
        <v>79</v>
      </c>
      <c r="P765">
        <v>5</v>
      </c>
      <c r="Q765" t="str">
        <f>IFERROR(VLOOKUP(E765,Lookups!$A$5:$B$24,2,FALSE),"Other")</f>
        <v>Referral</v>
      </c>
      <c r="R765" t="str">
        <f>IFERROR(VLOOKUP(F765,Lookups!$D$5:$F$10,2,FALSE),"Unknown Product")</f>
        <v>Marketing Automation</v>
      </c>
      <c r="S765" t="str">
        <f>IFERROR(VLOOKUP(F765,Lookups!$D$5:$F$10,3,FALSE),"Unknown")</f>
        <v>Marketing</v>
      </c>
      <c r="T765" t="str">
        <f t="shared" si="121"/>
        <v>SMB</v>
      </c>
      <c r="U765" t="str">
        <f t="shared" si="122"/>
        <v>Lost</v>
      </c>
      <c r="V765" s="3">
        <f t="shared" si="123"/>
        <v>0</v>
      </c>
      <c r="W765" s="3">
        <f t="shared" si="124"/>
        <v>0</v>
      </c>
      <c r="X765" s="5">
        <f t="shared" si="125"/>
        <v>24</v>
      </c>
      <c r="Y765" s="5">
        <f>IF(U765="Open",Lookups!$B$2-B765,X765)</f>
        <v>24</v>
      </c>
      <c r="Z765" t="str">
        <f t="shared" si="126"/>
        <v>OK</v>
      </c>
      <c r="AA765" t="str">
        <f t="shared" si="127"/>
        <v>2025-08</v>
      </c>
      <c r="AB765" t="str">
        <f t="shared" si="128"/>
        <v>2025-09</v>
      </c>
      <c r="AC765" t="str">
        <f t="shared" si="129"/>
        <v>Q3-2025</v>
      </c>
      <c r="AD765" s="5">
        <f t="shared" si="130"/>
        <v>54</v>
      </c>
      <c r="AE765" t="str">
        <f t="shared" si="131"/>
        <v>Lost</v>
      </c>
    </row>
    <row r="766" spans="1:31">
      <c r="A766" t="s">
        <v>868</v>
      </c>
      <c r="B766" s="1">
        <v>45769</v>
      </c>
      <c r="C766" t="s">
        <v>56</v>
      </c>
      <c r="D766" t="s">
        <v>57</v>
      </c>
      <c r="E766" t="s">
        <v>83</v>
      </c>
      <c r="F766" t="s">
        <v>45</v>
      </c>
      <c r="G766" t="s">
        <v>46</v>
      </c>
      <c r="H766" t="s">
        <v>53</v>
      </c>
      <c r="I766" t="s">
        <v>61</v>
      </c>
      <c r="J766" s="1">
        <v>45777</v>
      </c>
      <c r="K766" s="1">
        <v>45777</v>
      </c>
      <c r="L766" s="3">
        <v>41500</v>
      </c>
      <c r="M766" s="4">
        <v>0</v>
      </c>
      <c r="N766" s="4">
        <v>0</v>
      </c>
      <c r="O766" t="s">
        <v>81</v>
      </c>
      <c r="P766">
        <v>4</v>
      </c>
      <c r="Q766" t="str">
        <f>IFERROR(VLOOKUP(E766,Lookups!$A$5:$B$24,2,FALSE),"Other")</f>
        <v>Organic Search</v>
      </c>
      <c r="R766" t="str">
        <f>IFERROR(VLOOKUP(F766,Lookups!$D$5:$F$10,2,FALSE),"Unknown Product")</f>
        <v>Service Cloud</v>
      </c>
      <c r="S766" t="str">
        <f>IFERROR(VLOOKUP(F766,Lookups!$D$5:$F$10,3,FALSE),"Unknown")</f>
        <v>Customer Service</v>
      </c>
      <c r="T766" t="str">
        <f t="shared" si="121"/>
        <v>Mid-Market</v>
      </c>
      <c r="U766" t="str">
        <f t="shared" si="122"/>
        <v>Lost</v>
      </c>
      <c r="V766" s="3">
        <f t="shared" si="123"/>
        <v>0</v>
      </c>
      <c r="W766" s="3">
        <f t="shared" si="124"/>
        <v>0</v>
      </c>
      <c r="X766" s="5">
        <f t="shared" si="125"/>
        <v>8</v>
      </c>
      <c r="Y766" s="5">
        <f>IF(U766="Open",Lookups!$B$2-B766,X766)</f>
        <v>8</v>
      </c>
      <c r="Z766" t="str">
        <f t="shared" si="126"/>
        <v>OK</v>
      </c>
      <c r="AA766" t="str">
        <f t="shared" si="127"/>
        <v>2025-04</v>
      </c>
      <c r="AB766" t="str">
        <f t="shared" si="128"/>
        <v>2025-04</v>
      </c>
      <c r="AC766" t="str">
        <f t="shared" si="129"/>
        <v>Q2-2025</v>
      </c>
      <c r="AD766" s="5">
        <f t="shared" si="130"/>
        <v>65</v>
      </c>
      <c r="AE766" t="str">
        <f t="shared" si="131"/>
        <v>Lost</v>
      </c>
    </row>
    <row r="767" spans="1:31">
      <c r="A767" t="s">
        <v>869</v>
      </c>
      <c r="B767" s="1">
        <v>45998</v>
      </c>
      <c r="C767" t="s">
        <v>50</v>
      </c>
      <c r="D767" t="s">
        <v>43</v>
      </c>
      <c r="E767" t="s">
        <v>44</v>
      </c>
      <c r="F767" t="s">
        <v>59</v>
      </c>
      <c r="G767" t="s">
        <v>72</v>
      </c>
      <c r="H767" t="s">
        <v>84</v>
      </c>
      <c r="I767" t="s">
        <v>77</v>
      </c>
      <c r="J767" s="1">
        <v>46086</v>
      </c>
      <c r="K767" s="1">
        <v>46086</v>
      </c>
      <c r="L767" s="3">
        <v>89100</v>
      </c>
      <c r="M767" s="4">
        <v>0.1</v>
      </c>
      <c r="N767" s="4">
        <v>1</v>
      </c>
      <c r="P767">
        <v>6</v>
      </c>
      <c r="Q767" t="str">
        <f>IFERROR(VLOOKUP(E767,Lookups!$A$5:$B$24,2,FALSE),"Other")</f>
        <v>Organic Search</v>
      </c>
      <c r="R767" t="str">
        <f>IFERROR(VLOOKUP(F767,Lookups!$D$5:$F$10,2,FALSE),"Unknown Product")</f>
        <v>NexaCRM Pro</v>
      </c>
      <c r="S767" t="str">
        <f>IFERROR(VLOOKUP(F767,Lookups!$D$5:$F$10,3,FALSE),"Unknown")</f>
        <v>CRM</v>
      </c>
      <c r="T767" t="str">
        <f t="shared" si="121"/>
        <v>Enterprise</v>
      </c>
      <c r="U767" t="str">
        <f t="shared" si="122"/>
        <v>Won</v>
      </c>
      <c r="V767" s="3">
        <f t="shared" si="123"/>
        <v>80190</v>
      </c>
      <c r="W767" s="3">
        <f t="shared" si="124"/>
        <v>0</v>
      </c>
      <c r="X767" s="5">
        <f t="shared" si="125"/>
        <v>88</v>
      </c>
      <c r="Y767" s="5">
        <f>IF(U767="Open",Lookups!$B$2-B767,X767)</f>
        <v>88</v>
      </c>
      <c r="Z767" t="str">
        <f t="shared" si="126"/>
        <v>OK</v>
      </c>
      <c r="AA767" t="str">
        <f t="shared" si="127"/>
        <v>2025-12</v>
      </c>
      <c r="AB767" t="str">
        <f t="shared" si="128"/>
        <v>2026-03</v>
      </c>
      <c r="AC767" t="str">
        <f t="shared" si="129"/>
        <v>Q4-2025</v>
      </c>
      <c r="AD767" s="5">
        <f t="shared" si="130"/>
        <v>80</v>
      </c>
      <c r="AE767" t="str">
        <f t="shared" si="131"/>
        <v>Won</v>
      </c>
    </row>
    <row r="768" spans="1:31">
      <c r="A768" t="s">
        <v>870</v>
      </c>
      <c r="B768" s="1">
        <v>46019</v>
      </c>
      <c r="C768" t="s">
        <v>50</v>
      </c>
      <c r="D768" t="s">
        <v>43</v>
      </c>
      <c r="E768" t="s">
        <v>96</v>
      </c>
      <c r="F768" t="s">
        <v>45</v>
      </c>
      <c r="G768" t="s">
        <v>112</v>
      </c>
      <c r="H768" t="s">
        <v>84</v>
      </c>
      <c r="I768" t="s">
        <v>61</v>
      </c>
      <c r="J768" s="1">
        <v>46085</v>
      </c>
      <c r="K768" s="1">
        <v>46085</v>
      </c>
      <c r="L768" s="3">
        <v>89600</v>
      </c>
      <c r="M768" s="4">
        <v>0</v>
      </c>
      <c r="N768" s="4">
        <v>0</v>
      </c>
      <c r="O768" t="s">
        <v>110</v>
      </c>
      <c r="P768">
        <v>4</v>
      </c>
      <c r="Q768" t="str">
        <f>IFERROR(VLOOKUP(E768,Lookups!$A$5:$B$24,2,FALSE),"Other")</f>
        <v>LinkedIn</v>
      </c>
      <c r="R768" t="str">
        <f>IFERROR(VLOOKUP(F768,Lookups!$D$5:$F$10,2,FALSE),"Unknown Product")</f>
        <v>Service Cloud</v>
      </c>
      <c r="S768" t="str">
        <f>IFERROR(VLOOKUP(F768,Lookups!$D$5:$F$10,3,FALSE),"Unknown")</f>
        <v>Customer Service</v>
      </c>
      <c r="T768" t="str">
        <f t="shared" si="121"/>
        <v>Enterprise</v>
      </c>
      <c r="U768" t="str">
        <f t="shared" si="122"/>
        <v>Lost</v>
      </c>
      <c r="V768" s="3">
        <f t="shared" si="123"/>
        <v>0</v>
      </c>
      <c r="W768" s="3">
        <f t="shared" si="124"/>
        <v>0</v>
      </c>
      <c r="X768" s="5">
        <f t="shared" si="125"/>
        <v>66</v>
      </c>
      <c r="Y768" s="5">
        <f>IF(U768="Open",Lookups!$B$2-B768,X768)</f>
        <v>66</v>
      </c>
      <c r="Z768" t="str">
        <f t="shared" si="126"/>
        <v>OK</v>
      </c>
      <c r="AA768" t="str">
        <f t="shared" si="127"/>
        <v>2025-12</v>
      </c>
      <c r="AB768" t="str">
        <f t="shared" si="128"/>
        <v>2026-03</v>
      </c>
      <c r="AC768" t="str">
        <f t="shared" si="129"/>
        <v>Q4-2025</v>
      </c>
      <c r="AD768" s="5">
        <f t="shared" si="130"/>
        <v>79</v>
      </c>
      <c r="AE768" t="str">
        <f t="shared" si="131"/>
        <v>Lost</v>
      </c>
    </row>
    <row r="769" spans="1:31">
      <c r="A769" t="s">
        <v>871</v>
      </c>
      <c r="B769" s="1">
        <v>46111</v>
      </c>
      <c r="C769" t="s">
        <v>64</v>
      </c>
      <c r="D769" t="s">
        <v>57</v>
      </c>
      <c r="E769" t="s">
        <v>138</v>
      </c>
      <c r="F769" t="s">
        <v>67</v>
      </c>
      <c r="G769" t="s">
        <v>76</v>
      </c>
      <c r="H769" t="s">
        <v>47</v>
      </c>
      <c r="I769" t="s">
        <v>54</v>
      </c>
      <c r="J769" s="1">
        <v>46190</v>
      </c>
      <c r="K769" s="1"/>
      <c r="L769" s="3">
        <v>27600</v>
      </c>
      <c r="M769" s="4">
        <v>0.05</v>
      </c>
      <c r="N769" s="4">
        <v>0.65</v>
      </c>
      <c r="P769">
        <v>4</v>
      </c>
      <c r="Q769" t="str">
        <f>IFERROR(VLOOKUP(E769,Lookups!$A$5:$B$24,2,FALSE),"Other")</f>
        <v>Organic Search</v>
      </c>
      <c r="R769" t="str">
        <f>IFERROR(VLOOKUP(F769,Lookups!$D$5:$F$10,2,FALSE),"Unknown Product")</f>
        <v>Revenue Operations Suite</v>
      </c>
      <c r="S769" t="str">
        <f>IFERROR(VLOOKUP(F769,Lookups!$D$5:$F$10,3,FALSE),"Unknown")</f>
        <v>Revenue Ops</v>
      </c>
      <c r="T769" t="str">
        <f t="shared" si="121"/>
        <v>Mid-Market</v>
      </c>
      <c r="U769" t="str">
        <f t="shared" si="122"/>
        <v>Open</v>
      </c>
      <c r="V769" s="3">
        <f t="shared" si="123"/>
        <v>0</v>
      </c>
      <c r="W769" s="3">
        <f t="shared" si="124"/>
        <v>17940</v>
      </c>
      <c r="X769" s="5" t="str">
        <f t="shared" si="125"/>
        <v/>
      </c>
      <c r="Y769" s="5">
        <f>IF(U769="Open",Lookups!$B$2-B769,X769)</f>
        <v>155</v>
      </c>
      <c r="Z769" t="str">
        <f t="shared" si="126"/>
        <v>STALE</v>
      </c>
      <c r="AA769" t="str">
        <f t="shared" si="127"/>
        <v>2026-03</v>
      </c>
      <c r="AB769" t="str">
        <f t="shared" si="128"/>
        <v/>
      </c>
      <c r="AC769" t="str">
        <f t="shared" si="129"/>
        <v>Q1-2026</v>
      </c>
      <c r="AD769" s="5">
        <f t="shared" si="130"/>
        <v>57</v>
      </c>
      <c r="AE769" t="str">
        <f t="shared" si="131"/>
        <v>Best Case</v>
      </c>
    </row>
    <row r="770" spans="1:31">
      <c r="A770" t="s">
        <v>872</v>
      </c>
      <c r="B770" s="1">
        <v>45983</v>
      </c>
      <c r="C770" t="s">
        <v>42</v>
      </c>
      <c r="D770" t="s">
        <v>43</v>
      </c>
      <c r="E770" t="s">
        <v>107</v>
      </c>
      <c r="F770" t="s">
        <v>59</v>
      </c>
      <c r="G770" t="s">
        <v>99</v>
      </c>
      <c r="H770" t="s">
        <v>84</v>
      </c>
      <c r="I770" t="s">
        <v>61</v>
      </c>
      <c r="J770" s="1">
        <v>45996</v>
      </c>
      <c r="K770" s="1">
        <v>45996</v>
      </c>
      <c r="L770" s="3">
        <v>71600</v>
      </c>
      <c r="M770" s="4">
        <v>0</v>
      </c>
      <c r="N770" s="4">
        <v>0</v>
      </c>
      <c r="O770" t="s">
        <v>79</v>
      </c>
      <c r="P770">
        <v>5</v>
      </c>
      <c r="Q770" t="str">
        <f>IFERROR(VLOOKUP(E770,Lookups!$A$5:$B$24,2,FALSE),"Other")</f>
        <v>Referral</v>
      </c>
      <c r="R770" t="str">
        <f>IFERROR(VLOOKUP(F770,Lookups!$D$5:$F$10,2,FALSE),"Unknown Product")</f>
        <v>NexaCRM Pro</v>
      </c>
      <c r="S770" t="str">
        <f>IFERROR(VLOOKUP(F770,Lookups!$D$5:$F$10,3,FALSE),"Unknown")</f>
        <v>CRM</v>
      </c>
      <c r="T770" t="str">
        <f t="shared" ref="T770:T833" si="132">IF(L770&gt;=50000,"Enterprise",IF(L770&gt;=20000,"Mid-Market","SMB"))</f>
        <v>Enterprise</v>
      </c>
      <c r="U770" t="str">
        <f t="shared" ref="U770:U833" si="133">IF(I770="Closed Won","Won",IF(I770="Closed Lost","Lost","Open"))</f>
        <v>Lost</v>
      </c>
      <c r="V770" s="3">
        <f t="shared" ref="V770:V833" si="134">IF(U770="Won",L770*(1-M770),0)</f>
        <v>0</v>
      </c>
      <c r="W770" s="3">
        <f t="shared" ref="W770:W833" si="135">IF(U770="Open",L770*N770,0)</f>
        <v>0</v>
      </c>
      <c r="X770" s="5">
        <f t="shared" ref="X770:X833" si="136">IF(U770="Open","",IFERROR(K770-B770,""))</f>
        <v>13</v>
      </c>
      <c r="Y770" s="5">
        <f>IF(U770="Open",Lookups!$B$2-B770,X770)</f>
        <v>13</v>
      </c>
      <c r="Z770" t="str">
        <f t="shared" ref="Z770:Z833" si="137">IF(AND(U770="Open",Y770&gt;30),"STALE","OK")</f>
        <v>OK</v>
      </c>
      <c r="AA770" t="str">
        <f t="shared" ref="AA770:AA833" si="138">TEXT(B770,"yyyy-mm")</f>
        <v>2025-11</v>
      </c>
      <c r="AB770" t="str">
        <f t="shared" ref="AB770:AB833" si="139">IF(K770="","",TEXT(K770,"yyyy-mm"))</f>
        <v>2025-12</v>
      </c>
      <c r="AC770" t="str">
        <f t="shared" ref="AC770:AC833" si="140">"Q"&amp;ROUNDUP(MONTH(B770)/3,0)&amp;"-"&amp;YEAR(B770)</f>
        <v>Q4-2025</v>
      </c>
      <c r="AD770" s="5">
        <f t="shared" ref="AD770:AD833" si="141">MIN(100,IF(H770="Enterprise",30,IF(H770="Mid-Market",22,14))+IF(T770="Enterprise",25,IF(T770="Mid-Market",18,10))+IF(Q770="Referral",25,IF(Q770="Organic Search",20,IF(Q770="Email",18,14)))+IF(G770="Technology",10,5))</f>
        <v>85</v>
      </c>
      <c r="AE770" t="str">
        <f t="shared" ref="AE770:AE833" si="142">IF(U770&lt;&gt;"Open",U770,IF(N770&gt;=0.8,"Commit",IF(N770&gt;=0.5,"Best Case","Pipeline")))</f>
        <v>Lost</v>
      </c>
    </row>
    <row r="771" spans="1:31">
      <c r="A771" t="s">
        <v>873</v>
      </c>
      <c r="B771" s="1">
        <v>45805</v>
      </c>
      <c r="C771" t="s">
        <v>69</v>
      </c>
      <c r="D771" t="s">
        <v>57</v>
      </c>
      <c r="E771" t="s">
        <v>51</v>
      </c>
      <c r="F771" t="s">
        <v>71</v>
      </c>
      <c r="G771" t="s">
        <v>76</v>
      </c>
      <c r="H771" t="s">
        <v>47</v>
      </c>
      <c r="I771" t="s">
        <v>61</v>
      </c>
      <c r="J771" s="1">
        <v>45858</v>
      </c>
      <c r="K771" s="1">
        <v>45858</v>
      </c>
      <c r="L771" s="3">
        <v>20700</v>
      </c>
      <c r="M771" s="4">
        <v>0</v>
      </c>
      <c r="N771" s="4">
        <v>0</v>
      </c>
      <c r="O771" t="s">
        <v>81</v>
      </c>
      <c r="P771">
        <v>3</v>
      </c>
      <c r="Q771" t="str">
        <f>IFERROR(VLOOKUP(E771,Lookups!$A$5:$B$24,2,FALSE),"Other")</f>
        <v>Paid Search</v>
      </c>
      <c r="R771" t="str">
        <f>IFERROR(VLOOKUP(F771,Lookups!$D$5:$F$10,2,FALSE),"Unknown Product")</f>
        <v>Marketing Automation</v>
      </c>
      <c r="S771" t="str">
        <f>IFERROR(VLOOKUP(F771,Lookups!$D$5:$F$10,3,FALSE),"Unknown")</f>
        <v>Marketing</v>
      </c>
      <c r="T771" t="str">
        <f t="shared" si="132"/>
        <v>Mid-Market</v>
      </c>
      <c r="U771" t="str">
        <f t="shared" si="133"/>
        <v>Lost</v>
      </c>
      <c r="V771" s="3">
        <f t="shared" si="134"/>
        <v>0</v>
      </c>
      <c r="W771" s="3">
        <f t="shared" si="135"/>
        <v>0</v>
      </c>
      <c r="X771" s="5">
        <f t="shared" si="136"/>
        <v>53</v>
      </c>
      <c r="Y771" s="5">
        <f>IF(U771="Open",Lookups!$B$2-B771,X771)</f>
        <v>53</v>
      </c>
      <c r="Z771" t="str">
        <f t="shared" si="137"/>
        <v>OK</v>
      </c>
      <c r="AA771" t="str">
        <f t="shared" si="138"/>
        <v>2025-05</v>
      </c>
      <c r="AB771" t="str">
        <f t="shared" si="139"/>
        <v>2025-07</v>
      </c>
      <c r="AC771" t="str">
        <f t="shared" si="140"/>
        <v>Q2-2025</v>
      </c>
      <c r="AD771" s="5">
        <f t="shared" si="141"/>
        <v>51</v>
      </c>
      <c r="AE771" t="str">
        <f t="shared" si="142"/>
        <v>Lost</v>
      </c>
    </row>
    <row r="772" spans="1:31">
      <c r="A772" t="s">
        <v>874</v>
      </c>
      <c r="B772" s="1">
        <v>45684</v>
      </c>
      <c r="C772" t="s">
        <v>64</v>
      </c>
      <c r="D772" t="s">
        <v>57</v>
      </c>
      <c r="E772" t="s">
        <v>166</v>
      </c>
      <c r="F772" t="s">
        <v>133</v>
      </c>
      <c r="G772" t="s">
        <v>94</v>
      </c>
      <c r="H772" t="s">
        <v>53</v>
      </c>
      <c r="I772" t="s">
        <v>61</v>
      </c>
      <c r="J772" s="1">
        <v>45740</v>
      </c>
      <c r="K772" s="1">
        <v>45740</v>
      </c>
      <c r="L772" s="3">
        <v>31800</v>
      </c>
      <c r="M772" s="4">
        <v>0</v>
      </c>
      <c r="N772" s="4">
        <v>0</v>
      </c>
      <c r="O772" t="s">
        <v>116</v>
      </c>
      <c r="P772">
        <v>4</v>
      </c>
      <c r="Q772" t="str">
        <f>IFERROR(VLOOKUP(E772,Lookups!$A$5:$B$24,2,FALSE),"Other")</f>
        <v>Referral</v>
      </c>
      <c r="R772" t="str">
        <f>IFERROR(VLOOKUP(F772,Lookups!$D$5:$F$10,2,FALSE),"Unknown Product")</f>
        <v>Analytics Plus</v>
      </c>
      <c r="S772" t="str">
        <f>IFERROR(VLOOKUP(F772,Lookups!$D$5:$F$10,3,FALSE),"Unknown")</f>
        <v>Analytics</v>
      </c>
      <c r="T772" t="str">
        <f t="shared" si="132"/>
        <v>Mid-Market</v>
      </c>
      <c r="U772" t="str">
        <f t="shared" si="133"/>
        <v>Lost</v>
      </c>
      <c r="V772" s="3">
        <f t="shared" si="134"/>
        <v>0</v>
      </c>
      <c r="W772" s="3">
        <f t="shared" si="135"/>
        <v>0</v>
      </c>
      <c r="X772" s="5">
        <f t="shared" si="136"/>
        <v>56</v>
      </c>
      <c r="Y772" s="5">
        <f>IF(U772="Open",Lookups!$B$2-B772,X772)</f>
        <v>56</v>
      </c>
      <c r="Z772" t="str">
        <f t="shared" si="137"/>
        <v>OK</v>
      </c>
      <c r="AA772" t="str">
        <f t="shared" si="138"/>
        <v>2025-01</v>
      </c>
      <c r="AB772" t="str">
        <f t="shared" si="139"/>
        <v>2025-03</v>
      </c>
      <c r="AC772" t="str">
        <f t="shared" si="140"/>
        <v>Q1-2025</v>
      </c>
      <c r="AD772" s="5">
        <f t="shared" si="141"/>
        <v>70</v>
      </c>
      <c r="AE772" t="str">
        <f t="shared" si="142"/>
        <v>Lost</v>
      </c>
    </row>
    <row r="773" spans="1:31">
      <c r="A773" t="s">
        <v>875</v>
      </c>
      <c r="B773" s="1">
        <v>45972</v>
      </c>
      <c r="C773" t="s">
        <v>42</v>
      </c>
      <c r="D773" t="s">
        <v>43</v>
      </c>
      <c r="E773" t="s">
        <v>123</v>
      </c>
      <c r="F773" t="s">
        <v>52</v>
      </c>
      <c r="G773" t="s">
        <v>94</v>
      </c>
      <c r="H773" t="s">
        <v>84</v>
      </c>
      <c r="I773" t="s">
        <v>61</v>
      </c>
      <c r="J773" s="1">
        <v>46014</v>
      </c>
      <c r="K773" s="1">
        <v>46014</v>
      </c>
      <c r="L773" s="3">
        <v>27900</v>
      </c>
      <c r="M773" s="4">
        <v>0</v>
      </c>
      <c r="N773" s="4">
        <v>0</v>
      </c>
      <c r="O773" t="s">
        <v>81</v>
      </c>
      <c r="P773">
        <v>3</v>
      </c>
      <c r="Q773" t="str">
        <f>IFERROR(VLOOKUP(E773,Lookups!$A$5:$B$24,2,FALSE),"Other")</f>
        <v>Email</v>
      </c>
      <c r="R773" t="str">
        <f>IFERROR(VLOOKUP(F773,Lookups!$D$5:$F$10,2,FALSE),"Unknown Product")</f>
        <v>NexaCRM Core</v>
      </c>
      <c r="S773" t="str">
        <f>IFERROR(VLOOKUP(F773,Lookups!$D$5:$F$10,3,FALSE),"Unknown")</f>
        <v>CRM</v>
      </c>
      <c r="T773" t="str">
        <f t="shared" si="132"/>
        <v>Mid-Market</v>
      </c>
      <c r="U773" t="str">
        <f t="shared" si="133"/>
        <v>Lost</v>
      </c>
      <c r="V773" s="3">
        <f t="shared" si="134"/>
        <v>0</v>
      </c>
      <c r="W773" s="3">
        <f t="shared" si="135"/>
        <v>0</v>
      </c>
      <c r="X773" s="5">
        <f t="shared" si="136"/>
        <v>42</v>
      </c>
      <c r="Y773" s="5">
        <f>IF(U773="Open",Lookups!$B$2-B773,X773)</f>
        <v>42</v>
      </c>
      <c r="Z773" t="str">
        <f t="shared" si="137"/>
        <v>OK</v>
      </c>
      <c r="AA773" t="str">
        <f t="shared" si="138"/>
        <v>2025-11</v>
      </c>
      <c r="AB773" t="str">
        <f t="shared" si="139"/>
        <v>2025-12</v>
      </c>
      <c r="AC773" t="str">
        <f t="shared" si="140"/>
        <v>Q4-2025</v>
      </c>
      <c r="AD773" s="5">
        <f t="shared" si="141"/>
        <v>71</v>
      </c>
      <c r="AE773" t="str">
        <f t="shared" si="142"/>
        <v>Lost</v>
      </c>
    </row>
    <row r="774" spans="1:31">
      <c r="A774" t="s">
        <v>876</v>
      </c>
      <c r="B774" s="1">
        <v>46210</v>
      </c>
      <c r="C774" t="s">
        <v>86</v>
      </c>
      <c r="D774" t="s">
        <v>87</v>
      </c>
      <c r="E774" t="s">
        <v>44</v>
      </c>
      <c r="F774" t="s">
        <v>59</v>
      </c>
      <c r="G774" t="s">
        <v>112</v>
      </c>
      <c r="H774" t="s">
        <v>53</v>
      </c>
      <c r="I774" t="s">
        <v>61</v>
      </c>
      <c r="J774" s="1">
        <v>46266</v>
      </c>
      <c r="K774" s="1">
        <v>46266</v>
      </c>
      <c r="L774" s="3">
        <v>20200</v>
      </c>
      <c r="M774" s="4">
        <v>0</v>
      </c>
      <c r="N774" s="4">
        <v>0</v>
      </c>
      <c r="O774" t="s">
        <v>79</v>
      </c>
      <c r="P774">
        <v>3</v>
      </c>
      <c r="Q774" t="str">
        <f>IFERROR(VLOOKUP(E774,Lookups!$A$5:$B$24,2,FALSE),"Other")</f>
        <v>Organic Search</v>
      </c>
      <c r="R774" t="str">
        <f>IFERROR(VLOOKUP(F774,Lookups!$D$5:$F$10,2,FALSE),"Unknown Product")</f>
        <v>NexaCRM Pro</v>
      </c>
      <c r="S774" t="str">
        <f>IFERROR(VLOOKUP(F774,Lookups!$D$5:$F$10,3,FALSE),"Unknown")</f>
        <v>CRM</v>
      </c>
      <c r="T774" t="str">
        <f t="shared" si="132"/>
        <v>Mid-Market</v>
      </c>
      <c r="U774" t="str">
        <f t="shared" si="133"/>
        <v>Lost</v>
      </c>
      <c r="V774" s="3">
        <f t="shared" si="134"/>
        <v>0</v>
      </c>
      <c r="W774" s="3">
        <f t="shared" si="135"/>
        <v>0</v>
      </c>
      <c r="X774" s="5">
        <f t="shared" si="136"/>
        <v>56</v>
      </c>
      <c r="Y774" s="5">
        <f>IF(U774="Open",Lookups!$B$2-B774,X774)</f>
        <v>56</v>
      </c>
      <c r="Z774" t="str">
        <f t="shared" si="137"/>
        <v>OK</v>
      </c>
      <c r="AA774" t="str">
        <f t="shared" si="138"/>
        <v>2026-07</v>
      </c>
      <c r="AB774" t="str">
        <f t="shared" si="139"/>
        <v>2026-09</v>
      </c>
      <c r="AC774" t="str">
        <f t="shared" si="140"/>
        <v>Q3-2026</v>
      </c>
      <c r="AD774" s="5">
        <f t="shared" si="141"/>
        <v>70</v>
      </c>
      <c r="AE774" t="str">
        <f t="shared" si="142"/>
        <v>Lost</v>
      </c>
    </row>
    <row r="775" spans="1:31">
      <c r="A775" t="s">
        <v>877</v>
      </c>
      <c r="B775" s="1">
        <v>45933</v>
      </c>
      <c r="C775" t="s">
        <v>56</v>
      </c>
      <c r="D775" t="s">
        <v>57</v>
      </c>
      <c r="E775" t="s">
        <v>146</v>
      </c>
      <c r="F775" t="s">
        <v>45</v>
      </c>
      <c r="G775" t="s">
        <v>76</v>
      </c>
      <c r="H775" t="s">
        <v>53</v>
      </c>
      <c r="I775" t="s">
        <v>77</v>
      </c>
      <c r="J775" s="1">
        <v>45989</v>
      </c>
      <c r="K775" s="1">
        <v>45989</v>
      </c>
      <c r="L775" s="3">
        <v>44600</v>
      </c>
      <c r="M775" s="4">
        <v>0.03</v>
      </c>
      <c r="N775" s="4">
        <v>1</v>
      </c>
      <c r="P775">
        <v>6</v>
      </c>
      <c r="Q775" t="str">
        <f>IFERROR(VLOOKUP(E775,Lookups!$A$5:$B$24,2,FALSE),"Other")</f>
        <v>LinkedIn</v>
      </c>
      <c r="R775" t="str">
        <f>IFERROR(VLOOKUP(F775,Lookups!$D$5:$F$10,2,FALSE),"Unknown Product")</f>
        <v>Service Cloud</v>
      </c>
      <c r="S775" t="str">
        <f>IFERROR(VLOOKUP(F775,Lookups!$D$5:$F$10,3,FALSE),"Unknown")</f>
        <v>Customer Service</v>
      </c>
      <c r="T775" t="str">
        <f t="shared" si="132"/>
        <v>Mid-Market</v>
      </c>
      <c r="U775" t="str">
        <f t="shared" si="133"/>
        <v>Won</v>
      </c>
      <c r="V775" s="3">
        <f t="shared" si="134"/>
        <v>43262</v>
      </c>
      <c r="W775" s="3">
        <f t="shared" si="135"/>
        <v>0</v>
      </c>
      <c r="X775" s="5">
        <f t="shared" si="136"/>
        <v>56</v>
      </c>
      <c r="Y775" s="5">
        <f>IF(U775="Open",Lookups!$B$2-B775,X775)</f>
        <v>56</v>
      </c>
      <c r="Z775" t="str">
        <f t="shared" si="137"/>
        <v>OK</v>
      </c>
      <c r="AA775" t="str">
        <f t="shared" si="138"/>
        <v>2025-10</v>
      </c>
      <c r="AB775" t="str">
        <f t="shared" si="139"/>
        <v>2025-11</v>
      </c>
      <c r="AC775" t="str">
        <f t="shared" si="140"/>
        <v>Q4-2025</v>
      </c>
      <c r="AD775" s="5">
        <f t="shared" si="141"/>
        <v>59</v>
      </c>
      <c r="AE775" t="str">
        <f t="shared" si="142"/>
        <v>Won</v>
      </c>
    </row>
    <row r="776" spans="1:31">
      <c r="A776" t="s">
        <v>878</v>
      </c>
      <c r="B776" s="1">
        <v>45987</v>
      </c>
      <c r="C776" t="s">
        <v>50</v>
      </c>
      <c r="D776" t="s">
        <v>43</v>
      </c>
      <c r="E776" t="s">
        <v>160</v>
      </c>
      <c r="F776" t="s">
        <v>59</v>
      </c>
      <c r="G776" t="s">
        <v>99</v>
      </c>
      <c r="H776" t="s">
        <v>47</v>
      </c>
      <c r="I776" t="s">
        <v>77</v>
      </c>
      <c r="J776" s="1">
        <v>46066</v>
      </c>
      <c r="K776" s="1">
        <v>46066</v>
      </c>
      <c r="L776" s="3">
        <v>16800</v>
      </c>
      <c r="M776" s="4">
        <v>0.08</v>
      </c>
      <c r="N776" s="4">
        <v>1</v>
      </c>
      <c r="P776">
        <v>6</v>
      </c>
      <c r="Q776" t="str">
        <f>IFERROR(VLOOKUP(E776,Lookups!$A$5:$B$24,2,FALSE),"Other")</f>
        <v>Email</v>
      </c>
      <c r="R776" t="str">
        <f>IFERROR(VLOOKUP(F776,Lookups!$D$5:$F$10,2,FALSE),"Unknown Product")</f>
        <v>NexaCRM Pro</v>
      </c>
      <c r="S776" t="str">
        <f>IFERROR(VLOOKUP(F776,Lookups!$D$5:$F$10,3,FALSE),"Unknown")</f>
        <v>CRM</v>
      </c>
      <c r="T776" t="str">
        <f t="shared" si="132"/>
        <v>SMB</v>
      </c>
      <c r="U776" t="str">
        <f t="shared" si="133"/>
        <v>Won</v>
      </c>
      <c r="V776" s="3">
        <f t="shared" si="134"/>
        <v>15456</v>
      </c>
      <c r="W776" s="3">
        <f t="shared" si="135"/>
        <v>0</v>
      </c>
      <c r="X776" s="5">
        <f t="shared" si="136"/>
        <v>79</v>
      </c>
      <c r="Y776" s="5">
        <f>IF(U776="Open",Lookups!$B$2-B776,X776)</f>
        <v>79</v>
      </c>
      <c r="Z776" t="str">
        <f t="shared" si="137"/>
        <v>OK</v>
      </c>
      <c r="AA776" t="str">
        <f t="shared" si="138"/>
        <v>2025-11</v>
      </c>
      <c r="AB776" t="str">
        <f t="shared" si="139"/>
        <v>2026-02</v>
      </c>
      <c r="AC776" t="str">
        <f t="shared" si="140"/>
        <v>Q4-2025</v>
      </c>
      <c r="AD776" s="5">
        <f t="shared" si="141"/>
        <v>47</v>
      </c>
      <c r="AE776" t="str">
        <f t="shared" si="142"/>
        <v>Won</v>
      </c>
    </row>
    <row r="777" spans="1:31">
      <c r="A777" t="s">
        <v>879</v>
      </c>
      <c r="B777" s="1">
        <v>45785</v>
      </c>
      <c r="C777" t="s">
        <v>148</v>
      </c>
      <c r="D777" t="s">
        <v>43</v>
      </c>
      <c r="E777" t="s">
        <v>96</v>
      </c>
      <c r="F777" t="s">
        <v>133</v>
      </c>
      <c r="G777" t="s">
        <v>76</v>
      </c>
      <c r="H777" t="s">
        <v>53</v>
      </c>
      <c r="I777" t="s">
        <v>61</v>
      </c>
      <c r="J777" s="1">
        <v>45833</v>
      </c>
      <c r="K777" s="1">
        <v>45833</v>
      </c>
      <c r="L777" s="3">
        <v>28200</v>
      </c>
      <c r="M777" s="4">
        <v>0</v>
      </c>
      <c r="N777" s="4">
        <v>0</v>
      </c>
      <c r="O777" t="s">
        <v>62</v>
      </c>
      <c r="P777">
        <v>3</v>
      </c>
      <c r="Q777" t="str">
        <f>IFERROR(VLOOKUP(E777,Lookups!$A$5:$B$24,2,FALSE),"Other")</f>
        <v>LinkedIn</v>
      </c>
      <c r="R777" t="str">
        <f>IFERROR(VLOOKUP(F777,Lookups!$D$5:$F$10,2,FALSE),"Unknown Product")</f>
        <v>Analytics Plus</v>
      </c>
      <c r="S777" t="str">
        <f>IFERROR(VLOOKUP(F777,Lookups!$D$5:$F$10,3,FALSE),"Unknown")</f>
        <v>Analytics</v>
      </c>
      <c r="T777" t="str">
        <f t="shared" si="132"/>
        <v>Mid-Market</v>
      </c>
      <c r="U777" t="str">
        <f t="shared" si="133"/>
        <v>Lost</v>
      </c>
      <c r="V777" s="3">
        <f t="shared" si="134"/>
        <v>0</v>
      </c>
      <c r="W777" s="3">
        <f t="shared" si="135"/>
        <v>0</v>
      </c>
      <c r="X777" s="5">
        <f t="shared" si="136"/>
        <v>48</v>
      </c>
      <c r="Y777" s="5">
        <f>IF(U777="Open",Lookups!$B$2-B777,X777)</f>
        <v>48</v>
      </c>
      <c r="Z777" t="str">
        <f t="shared" si="137"/>
        <v>OK</v>
      </c>
      <c r="AA777" t="str">
        <f t="shared" si="138"/>
        <v>2025-05</v>
      </c>
      <c r="AB777" t="str">
        <f t="shared" si="139"/>
        <v>2025-06</v>
      </c>
      <c r="AC777" t="str">
        <f t="shared" si="140"/>
        <v>Q2-2025</v>
      </c>
      <c r="AD777" s="5">
        <f t="shared" si="141"/>
        <v>59</v>
      </c>
      <c r="AE777" t="str">
        <f t="shared" si="142"/>
        <v>Lost</v>
      </c>
    </row>
    <row r="778" spans="1:31">
      <c r="A778" t="s">
        <v>880</v>
      </c>
      <c r="B778" s="1">
        <v>45707</v>
      </c>
      <c r="C778" t="s">
        <v>148</v>
      </c>
      <c r="D778" t="s">
        <v>43</v>
      </c>
      <c r="E778" t="s">
        <v>123</v>
      </c>
      <c r="F778" t="s">
        <v>45</v>
      </c>
      <c r="G778" t="s">
        <v>60</v>
      </c>
      <c r="H778" t="s">
        <v>47</v>
      </c>
      <c r="I778" t="s">
        <v>61</v>
      </c>
      <c r="J778" s="1">
        <v>45720</v>
      </c>
      <c r="K778" s="1">
        <v>45720</v>
      </c>
      <c r="L778" s="3">
        <v>27800</v>
      </c>
      <c r="M778" s="4">
        <v>0</v>
      </c>
      <c r="N778" s="4">
        <v>0</v>
      </c>
      <c r="O778" t="s">
        <v>81</v>
      </c>
      <c r="P778">
        <v>2</v>
      </c>
      <c r="Q778" t="str">
        <f>IFERROR(VLOOKUP(E778,Lookups!$A$5:$B$24,2,FALSE),"Other")</f>
        <v>Email</v>
      </c>
      <c r="R778" t="str">
        <f>IFERROR(VLOOKUP(F778,Lookups!$D$5:$F$10,2,FALSE),"Unknown Product")</f>
        <v>Service Cloud</v>
      </c>
      <c r="S778" t="str">
        <f>IFERROR(VLOOKUP(F778,Lookups!$D$5:$F$10,3,FALSE),"Unknown")</f>
        <v>Customer Service</v>
      </c>
      <c r="T778" t="str">
        <f t="shared" si="132"/>
        <v>Mid-Market</v>
      </c>
      <c r="U778" t="str">
        <f t="shared" si="133"/>
        <v>Lost</v>
      </c>
      <c r="V778" s="3">
        <f t="shared" si="134"/>
        <v>0</v>
      </c>
      <c r="W778" s="3">
        <f t="shared" si="135"/>
        <v>0</v>
      </c>
      <c r="X778" s="5">
        <f t="shared" si="136"/>
        <v>13</v>
      </c>
      <c r="Y778" s="5">
        <f>IF(U778="Open",Lookups!$B$2-B778,X778)</f>
        <v>13</v>
      </c>
      <c r="Z778" t="str">
        <f t="shared" si="137"/>
        <v>OK</v>
      </c>
      <c r="AA778" t="str">
        <f t="shared" si="138"/>
        <v>2025-02</v>
      </c>
      <c r="AB778" t="str">
        <f t="shared" si="139"/>
        <v>2025-03</v>
      </c>
      <c r="AC778" t="str">
        <f t="shared" si="140"/>
        <v>Q1-2025</v>
      </c>
      <c r="AD778" s="5">
        <f t="shared" si="141"/>
        <v>55</v>
      </c>
      <c r="AE778" t="str">
        <f t="shared" si="142"/>
        <v>Lost</v>
      </c>
    </row>
    <row r="779" spans="1:31">
      <c r="A779" t="s">
        <v>881</v>
      </c>
      <c r="B779" s="1">
        <v>46129</v>
      </c>
      <c r="C779" t="s">
        <v>90</v>
      </c>
      <c r="D779" t="s">
        <v>57</v>
      </c>
      <c r="E779" t="s">
        <v>65</v>
      </c>
      <c r="F779" t="s">
        <v>133</v>
      </c>
      <c r="G779" t="s">
        <v>94</v>
      </c>
      <c r="H779" t="s">
        <v>53</v>
      </c>
      <c r="I779" t="s">
        <v>61</v>
      </c>
      <c r="J779" s="1">
        <v>46198</v>
      </c>
      <c r="K779" s="1">
        <v>46198</v>
      </c>
      <c r="L779" s="3">
        <v>52200</v>
      </c>
      <c r="M779" s="4">
        <v>0</v>
      </c>
      <c r="N779" s="4">
        <v>0</v>
      </c>
      <c r="O779" t="s">
        <v>62</v>
      </c>
      <c r="P779">
        <v>2</v>
      </c>
      <c r="Q779" t="str">
        <f>IFERROR(VLOOKUP(E779,Lookups!$A$5:$B$24,2,FALSE),"Other")</f>
        <v>Paid Search</v>
      </c>
      <c r="R779" t="str">
        <f>IFERROR(VLOOKUP(F779,Lookups!$D$5:$F$10,2,FALSE),"Unknown Product")</f>
        <v>Analytics Plus</v>
      </c>
      <c r="S779" t="str">
        <f>IFERROR(VLOOKUP(F779,Lookups!$D$5:$F$10,3,FALSE),"Unknown")</f>
        <v>Analytics</v>
      </c>
      <c r="T779" t="str">
        <f t="shared" si="132"/>
        <v>Enterprise</v>
      </c>
      <c r="U779" t="str">
        <f t="shared" si="133"/>
        <v>Lost</v>
      </c>
      <c r="V779" s="3">
        <f t="shared" si="134"/>
        <v>0</v>
      </c>
      <c r="W779" s="3">
        <f t="shared" si="135"/>
        <v>0</v>
      </c>
      <c r="X779" s="5">
        <f t="shared" si="136"/>
        <v>69</v>
      </c>
      <c r="Y779" s="5">
        <f>IF(U779="Open",Lookups!$B$2-B779,X779)</f>
        <v>69</v>
      </c>
      <c r="Z779" t="str">
        <f t="shared" si="137"/>
        <v>OK</v>
      </c>
      <c r="AA779" t="str">
        <f t="shared" si="138"/>
        <v>2026-04</v>
      </c>
      <c r="AB779" t="str">
        <f t="shared" si="139"/>
        <v>2026-06</v>
      </c>
      <c r="AC779" t="str">
        <f t="shared" si="140"/>
        <v>Q2-2026</v>
      </c>
      <c r="AD779" s="5">
        <f t="shared" si="141"/>
        <v>66</v>
      </c>
      <c r="AE779" t="str">
        <f t="shared" si="142"/>
        <v>Lost</v>
      </c>
    </row>
    <row r="780" spans="1:31">
      <c r="A780" t="s">
        <v>882</v>
      </c>
      <c r="B780" s="1">
        <v>45945</v>
      </c>
      <c r="C780" t="s">
        <v>90</v>
      </c>
      <c r="D780" t="s">
        <v>57</v>
      </c>
      <c r="E780" t="s">
        <v>138</v>
      </c>
      <c r="F780" t="s">
        <v>52</v>
      </c>
      <c r="G780" t="s">
        <v>112</v>
      </c>
      <c r="H780" t="s">
        <v>47</v>
      </c>
      <c r="I780" t="s">
        <v>77</v>
      </c>
      <c r="J780" s="1">
        <v>46049</v>
      </c>
      <c r="K780" s="1">
        <v>46049</v>
      </c>
      <c r="L780" s="3">
        <v>8100</v>
      </c>
      <c r="M780" s="4">
        <v>0.12</v>
      </c>
      <c r="N780" s="4">
        <v>1</v>
      </c>
      <c r="P780">
        <v>6</v>
      </c>
      <c r="Q780" t="str">
        <f>IFERROR(VLOOKUP(E780,Lookups!$A$5:$B$24,2,FALSE),"Other")</f>
        <v>Organic Search</v>
      </c>
      <c r="R780" t="str">
        <f>IFERROR(VLOOKUP(F780,Lookups!$D$5:$F$10,2,FALSE),"Unknown Product")</f>
        <v>NexaCRM Core</v>
      </c>
      <c r="S780" t="str">
        <f>IFERROR(VLOOKUP(F780,Lookups!$D$5:$F$10,3,FALSE),"Unknown")</f>
        <v>CRM</v>
      </c>
      <c r="T780" t="str">
        <f t="shared" si="132"/>
        <v>SMB</v>
      </c>
      <c r="U780" t="str">
        <f t="shared" si="133"/>
        <v>Won</v>
      </c>
      <c r="V780" s="3">
        <f t="shared" si="134"/>
        <v>7128</v>
      </c>
      <c r="W780" s="3">
        <f t="shared" si="135"/>
        <v>0</v>
      </c>
      <c r="X780" s="5">
        <f t="shared" si="136"/>
        <v>104</v>
      </c>
      <c r="Y780" s="5">
        <f>IF(U780="Open",Lookups!$B$2-B780,X780)</f>
        <v>104</v>
      </c>
      <c r="Z780" t="str">
        <f t="shared" si="137"/>
        <v>OK</v>
      </c>
      <c r="AA780" t="str">
        <f t="shared" si="138"/>
        <v>2025-10</v>
      </c>
      <c r="AB780" t="str">
        <f t="shared" si="139"/>
        <v>2026-01</v>
      </c>
      <c r="AC780" t="str">
        <f t="shared" si="140"/>
        <v>Q4-2025</v>
      </c>
      <c r="AD780" s="5">
        <f t="shared" si="141"/>
        <v>54</v>
      </c>
      <c r="AE780" t="str">
        <f t="shared" si="142"/>
        <v>Won</v>
      </c>
    </row>
    <row r="781" spans="1:31">
      <c r="A781" t="s">
        <v>883</v>
      </c>
      <c r="B781" s="1">
        <v>46225</v>
      </c>
      <c r="C781" t="s">
        <v>42</v>
      </c>
      <c r="D781" t="s">
        <v>43</v>
      </c>
      <c r="E781" t="s">
        <v>160</v>
      </c>
      <c r="F781" t="s">
        <v>52</v>
      </c>
      <c r="G781" t="s">
        <v>72</v>
      </c>
      <c r="H781" t="s">
        <v>47</v>
      </c>
      <c r="I781" t="s">
        <v>187</v>
      </c>
      <c r="J781" s="1">
        <v>46250</v>
      </c>
      <c r="K781" s="1"/>
      <c r="L781" s="3">
        <v>9500</v>
      </c>
      <c r="M781" s="4">
        <v>0.03</v>
      </c>
      <c r="N781" s="4">
        <v>0.05</v>
      </c>
      <c r="P781">
        <v>1</v>
      </c>
      <c r="Q781" t="str">
        <f>IFERROR(VLOOKUP(E781,Lookups!$A$5:$B$24,2,FALSE),"Other")</f>
        <v>Email</v>
      </c>
      <c r="R781" t="str">
        <f>IFERROR(VLOOKUP(F781,Lookups!$D$5:$F$10,2,FALSE),"Unknown Product")</f>
        <v>NexaCRM Core</v>
      </c>
      <c r="S781" t="str">
        <f>IFERROR(VLOOKUP(F781,Lookups!$D$5:$F$10,3,FALSE),"Unknown")</f>
        <v>CRM</v>
      </c>
      <c r="T781" t="str">
        <f t="shared" si="132"/>
        <v>SMB</v>
      </c>
      <c r="U781" t="str">
        <f t="shared" si="133"/>
        <v>Open</v>
      </c>
      <c r="V781" s="3">
        <f t="shared" si="134"/>
        <v>0</v>
      </c>
      <c r="W781" s="3">
        <f t="shared" si="135"/>
        <v>475</v>
      </c>
      <c r="X781" s="5" t="str">
        <f t="shared" si="136"/>
        <v/>
      </c>
      <c r="Y781" s="5">
        <f>IF(U781="Open",Lookups!$B$2-B781,X781)</f>
        <v>41</v>
      </c>
      <c r="Z781" t="str">
        <f t="shared" si="137"/>
        <v>STALE</v>
      </c>
      <c r="AA781" t="str">
        <f t="shared" si="138"/>
        <v>2026-07</v>
      </c>
      <c r="AB781" t="str">
        <f t="shared" si="139"/>
        <v/>
      </c>
      <c r="AC781" t="str">
        <f t="shared" si="140"/>
        <v>Q3-2026</v>
      </c>
      <c r="AD781" s="5">
        <f t="shared" si="141"/>
        <v>47</v>
      </c>
      <c r="AE781" t="str">
        <f t="shared" si="142"/>
        <v>Pipeline</v>
      </c>
    </row>
    <row r="782" spans="1:31">
      <c r="A782" t="s">
        <v>884</v>
      </c>
      <c r="B782" s="1">
        <v>45752</v>
      </c>
      <c r="C782" t="s">
        <v>42</v>
      </c>
      <c r="D782" t="s">
        <v>43</v>
      </c>
      <c r="E782" t="s">
        <v>88</v>
      </c>
      <c r="F782" t="s">
        <v>52</v>
      </c>
      <c r="G782" t="s">
        <v>99</v>
      </c>
      <c r="H782" t="s">
        <v>53</v>
      </c>
      <c r="I782" t="s">
        <v>61</v>
      </c>
      <c r="J782" s="1">
        <v>45776</v>
      </c>
      <c r="K782" s="1">
        <v>45776</v>
      </c>
      <c r="L782" s="3">
        <v>10400</v>
      </c>
      <c r="M782" s="4">
        <v>0</v>
      </c>
      <c r="N782" s="4">
        <v>0</v>
      </c>
      <c r="O782" t="s">
        <v>116</v>
      </c>
      <c r="P782">
        <v>2</v>
      </c>
      <c r="Q782" t="str">
        <f>IFERROR(VLOOKUP(E782,Lookups!$A$5:$B$24,2,FALSE),"Other")</f>
        <v>Other</v>
      </c>
      <c r="R782" t="str">
        <f>IFERROR(VLOOKUP(F782,Lookups!$D$5:$F$10,2,FALSE),"Unknown Product")</f>
        <v>NexaCRM Core</v>
      </c>
      <c r="S782" t="str">
        <f>IFERROR(VLOOKUP(F782,Lookups!$D$5:$F$10,3,FALSE),"Unknown")</f>
        <v>CRM</v>
      </c>
      <c r="T782" t="str">
        <f t="shared" si="132"/>
        <v>SMB</v>
      </c>
      <c r="U782" t="str">
        <f t="shared" si="133"/>
        <v>Lost</v>
      </c>
      <c r="V782" s="3">
        <f t="shared" si="134"/>
        <v>0</v>
      </c>
      <c r="W782" s="3">
        <f t="shared" si="135"/>
        <v>0</v>
      </c>
      <c r="X782" s="5">
        <f t="shared" si="136"/>
        <v>24</v>
      </c>
      <c r="Y782" s="5">
        <f>IF(U782="Open",Lookups!$B$2-B782,X782)</f>
        <v>24</v>
      </c>
      <c r="Z782" t="str">
        <f t="shared" si="137"/>
        <v>OK</v>
      </c>
      <c r="AA782" t="str">
        <f t="shared" si="138"/>
        <v>2025-04</v>
      </c>
      <c r="AB782" t="str">
        <f t="shared" si="139"/>
        <v>2025-04</v>
      </c>
      <c r="AC782" t="str">
        <f t="shared" si="140"/>
        <v>Q2-2025</v>
      </c>
      <c r="AD782" s="5">
        <f t="shared" si="141"/>
        <v>51</v>
      </c>
      <c r="AE782" t="str">
        <f t="shared" si="142"/>
        <v>Lost</v>
      </c>
    </row>
    <row r="783" spans="1:31">
      <c r="A783" t="s">
        <v>885</v>
      </c>
      <c r="B783" s="1">
        <v>46114</v>
      </c>
      <c r="C783" t="s">
        <v>148</v>
      </c>
      <c r="D783" t="s">
        <v>43</v>
      </c>
      <c r="E783" t="s">
        <v>51</v>
      </c>
      <c r="F783" t="s">
        <v>133</v>
      </c>
      <c r="G783" t="s">
        <v>99</v>
      </c>
      <c r="H783" t="s">
        <v>84</v>
      </c>
      <c r="I783" t="s">
        <v>61</v>
      </c>
      <c r="J783" s="1">
        <v>46170</v>
      </c>
      <c r="K783" s="1">
        <v>46170</v>
      </c>
      <c r="L783" s="3">
        <v>80600</v>
      </c>
      <c r="M783" s="4">
        <v>0</v>
      </c>
      <c r="N783" s="4">
        <v>0</v>
      </c>
      <c r="O783" t="s">
        <v>79</v>
      </c>
      <c r="P783">
        <v>2</v>
      </c>
      <c r="Q783" t="str">
        <f>IFERROR(VLOOKUP(E783,Lookups!$A$5:$B$24,2,FALSE),"Other")</f>
        <v>Paid Search</v>
      </c>
      <c r="R783" t="str">
        <f>IFERROR(VLOOKUP(F783,Lookups!$D$5:$F$10,2,FALSE),"Unknown Product")</f>
        <v>Analytics Plus</v>
      </c>
      <c r="S783" t="str">
        <f>IFERROR(VLOOKUP(F783,Lookups!$D$5:$F$10,3,FALSE),"Unknown")</f>
        <v>Analytics</v>
      </c>
      <c r="T783" t="str">
        <f t="shared" si="132"/>
        <v>Enterprise</v>
      </c>
      <c r="U783" t="str">
        <f t="shared" si="133"/>
        <v>Lost</v>
      </c>
      <c r="V783" s="3">
        <f t="shared" si="134"/>
        <v>0</v>
      </c>
      <c r="W783" s="3">
        <f t="shared" si="135"/>
        <v>0</v>
      </c>
      <c r="X783" s="5">
        <f t="shared" si="136"/>
        <v>56</v>
      </c>
      <c r="Y783" s="5">
        <f>IF(U783="Open",Lookups!$B$2-B783,X783)</f>
        <v>56</v>
      </c>
      <c r="Z783" t="str">
        <f t="shared" si="137"/>
        <v>OK</v>
      </c>
      <c r="AA783" t="str">
        <f t="shared" si="138"/>
        <v>2026-04</v>
      </c>
      <c r="AB783" t="str">
        <f t="shared" si="139"/>
        <v>2026-05</v>
      </c>
      <c r="AC783" t="str">
        <f t="shared" si="140"/>
        <v>Q2-2026</v>
      </c>
      <c r="AD783" s="5">
        <f t="shared" si="141"/>
        <v>74</v>
      </c>
      <c r="AE783" t="str">
        <f t="shared" si="142"/>
        <v>Lost</v>
      </c>
    </row>
    <row r="784" spans="1:31">
      <c r="A784" t="s">
        <v>886</v>
      </c>
      <c r="B784" s="1">
        <v>46146</v>
      </c>
      <c r="C784" t="s">
        <v>86</v>
      </c>
      <c r="D784" t="s">
        <v>87</v>
      </c>
      <c r="E784" t="s">
        <v>119</v>
      </c>
      <c r="F784" t="s">
        <v>133</v>
      </c>
      <c r="G784" t="s">
        <v>72</v>
      </c>
      <c r="H784" t="s">
        <v>47</v>
      </c>
      <c r="I784" t="s">
        <v>48</v>
      </c>
      <c r="J784" s="1">
        <v>46209</v>
      </c>
      <c r="K784" s="1"/>
      <c r="L784" s="3">
        <v>29700</v>
      </c>
      <c r="M784" s="4">
        <v>0</v>
      </c>
      <c r="N784" s="4">
        <v>0.85</v>
      </c>
      <c r="P784">
        <v>5</v>
      </c>
      <c r="Q784" t="str">
        <f>IFERROR(VLOOKUP(E784,Lookups!$A$5:$B$24,2,FALSE),"Other")</f>
        <v>Referral</v>
      </c>
      <c r="R784" t="str">
        <f>IFERROR(VLOOKUP(F784,Lookups!$D$5:$F$10,2,FALSE),"Unknown Product")</f>
        <v>Analytics Plus</v>
      </c>
      <c r="S784" t="str">
        <f>IFERROR(VLOOKUP(F784,Lookups!$D$5:$F$10,3,FALSE),"Unknown")</f>
        <v>Analytics</v>
      </c>
      <c r="T784" t="str">
        <f t="shared" si="132"/>
        <v>Mid-Market</v>
      </c>
      <c r="U784" t="str">
        <f t="shared" si="133"/>
        <v>Open</v>
      </c>
      <c r="V784" s="3">
        <f t="shared" si="134"/>
        <v>0</v>
      </c>
      <c r="W784" s="3">
        <f t="shared" si="135"/>
        <v>25245</v>
      </c>
      <c r="X784" s="5" t="str">
        <f t="shared" si="136"/>
        <v/>
      </c>
      <c r="Y784" s="5">
        <f>IF(U784="Open",Lookups!$B$2-B784,X784)</f>
        <v>120</v>
      </c>
      <c r="Z784" t="str">
        <f t="shared" si="137"/>
        <v>STALE</v>
      </c>
      <c r="AA784" t="str">
        <f t="shared" si="138"/>
        <v>2026-05</v>
      </c>
      <c r="AB784" t="str">
        <f t="shared" si="139"/>
        <v/>
      </c>
      <c r="AC784" t="str">
        <f t="shared" si="140"/>
        <v>Q2-2026</v>
      </c>
      <c r="AD784" s="5">
        <f t="shared" si="141"/>
        <v>62</v>
      </c>
      <c r="AE784" t="str">
        <f t="shared" si="142"/>
        <v>Commit</v>
      </c>
    </row>
    <row r="785" spans="1:31">
      <c r="A785" t="s">
        <v>887</v>
      </c>
      <c r="B785" s="1">
        <v>45668</v>
      </c>
      <c r="C785" t="s">
        <v>86</v>
      </c>
      <c r="D785" t="s">
        <v>87</v>
      </c>
      <c r="E785" t="s">
        <v>146</v>
      </c>
      <c r="F785" t="s">
        <v>67</v>
      </c>
      <c r="G785" t="s">
        <v>99</v>
      </c>
      <c r="H785" t="s">
        <v>53</v>
      </c>
      <c r="I785" t="s">
        <v>61</v>
      </c>
      <c r="J785" s="1">
        <v>45697</v>
      </c>
      <c r="K785" s="1">
        <v>45697</v>
      </c>
      <c r="L785" s="3">
        <v>82000</v>
      </c>
      <c r="M785" s="4">
        <v>0</v>
      </c>
      <c r="N785" s="4">
        <v>0</v>
      </c>
      <c r="O785" t="s">
        <v>81</v>
      </c>
      <c r="P785">
        <v>3</v>
      </c>
      <c r="Q785" t="str">
        <f>IFERROR(VLOOKUP(E785,Lookups!$A$5:$B$24,2,FALSE),"Other")</f>
        <v>LinkedIn</v>
      </c>
      <c r="R785" t="str">
        <f>IFERROR(VLOOKUP(F785,Lookups!$D$5:$F$10,2,FALSE),"Unknown Product")</f>
        <v>Revenue Operations Suite</v>
      </c>
      <c r="S785" t="str">
        <f>IFERROR(VLOOKUP(F785,Lookups!$D$5:$F$10,3,FALSE),"Unknown")</f>
        <v>Revenue Ops</v>
      </c>
      <c r="T785" t="str">
        <f t="shared" si="132"/>
        <v>Enterprise</v>
      </c>
      <c r="U785" t="str">
        <f t="shared" si="133"/>
        <v>Lost</v>
      </c>
      <c r="V785" s="3">
        <f t="shared" si="134"/>
        <v>0</v>
      </c>
      <c r="W785" s="3">
        <f t="shared" si="135"/>
        <v>0</v>
      </c>
      <c r="X785" s="5">
        <f t="shared" si="136"/>
        <v>29</v>
      </c>
      <c r="Y785" s="5">
        <f>IF(U785="Open",Lookups!$B$2-B785,X785)</f>
        <v>29</v>
      </c>
      <c r="Z785" t="str">
        <f t="shared" si="137"/>
        <v>OK</v>
      </c>
      <c r="AA785" t="str">
        <f t="shared" si="138"/>
        <v>2025-01</v>
      </c>
      <c r="AB785" t="str">
        <f t="shared" si="139"/>
        <v>2025-02</v>
      </c>
      <c r="AC785" t="str">
        <f t="shared" si="140"/>
        <v>Q1-2025</v>
      </c>
      <c r="AD785" s="5">
        <f t="shared" si="141"/>
        <v>66</v>
      </c>
      <c r="AE785" t="str">
        <f t="shared" si="142"/>
        <v>Lost</v>
      </c>
    </row>
    <row r="786" spans="1:31">
      <c r="A786" t="s">
        <v>888</v>
      </c>
      <c r="B786" s="1">
        <v>46049</v>
      </c>
      <c r="C786" t="s">
        <v>64</v>
      </c>
      <c r="D786" t="s">
        <v>57</v>
      </c>
      <c r="E786" t="s">
        <v>70</v>
      </c>
      <c r="F786" t="s">
        <v>133</v>
      </c>
      <c r="G786" t="s">
        <v>99</v>
      </c>
      <c r="H786" t="s">
        <v>47</v>
      </c>
      <c r="I786" t="s">
        <v>77</v>
      </c>
      <c r="J786" s="1">
        <v>46142</v>
      </c>
      <c r="K786" s="1">
        <v>46142</v>
      </c>
      <c r="L786" s="3">
        <v>24400</v>
      </c>
      <c r="M786" s="4">
        <v>0</v>
      </c>
      <c r="N786" s="4">
        <v>1</v>
      </c>
      <c r="P786">
        <v>6</v>
      </c>
      <c r="Q786" t="str">
        <f>IFERROR(VLOOKUP(E786,Lookups!$A$5:$B$24,2,FALSE),"Other")</f>
        <v>LinkedIn</v>
      </c>
      <c r="R786" t="str">
        <f>IFERROR(VLOOKUP(F786,Lookups!$D$5:$F$10,2,FALSE),"Unknown Product")</f>
        <v>Analytics Plus</v>
      </c>
      <c r="S786" t="str">
        <f>IFERROR(VLOOKUP(F786,Lookups!$D$5:$F$10,3,FALSE),"Unknown")</f>
        <v>Analytics</v>
      </c>
      <c r="T786" t="str">
        <f t="shared" si="132"/>
        <v>Mid-Market</v>
      </c>
      <c r="U786" t="str">
        <f t="shared" si="133"/>
        <v>Won</v>
      </c>
      <c r="V786" s="3">
        <f t="shared" si="134"/>
        <v>24400</v>
      </c>
      <c r="W786" s="3">
        <f t="shared" si="135"/>
        <v>0</v>
      </c>
      <c r="X786" s="5">
        <f t="shared" si="136"/>
        <v>93</v>
      </c>
      <c r="Y786" s="5">
        <f>IF(U786="Open",Lookups!$B$2-B786,X786)</f>
        <v>93</v>
      </c>
      <c r="Z786" t="str">
        <f t="shared" si="137"/>
        <v>OK</v>
      </c>
      <c r="AA786" t="str">
        <f t="shared" si="138"/>
        <v>2026-01</v>
      </c>
      <c r="AB786" t="str">
        <f t="shared" si="139"/>
        <v>2026-04</v>
      </c>
      <c r="AC786" t="str">
        <f t="shared" si="140"/>
        <v>Q1-2026</v>
      </c>
      <c r="AD786" s="5">
        <f t="shared" si="141"/>
        <v>51</v>
      </c>
      <c r="AE786" t="str">
        <f t="shared" si="142"/>
        <v>Won</v>
      </c>
    </row>
    <row r="787" spans="1:31">
      <c r="A787" t="s">
        <v>889</v>
      </c>
      <c r="B787" s="1">
        <v>45831</v>
      </c>
      <c r="C787" t="s">
        <v>42</v>
      </c>
      <c r="D787" t="s">
        <v>43</v>
      </c>
      <c r="E787" t="s">
        <v>107</v>
      </c>
      <c r="F787" t="s">
        <v>45</v>
      </c>
      <c r="G787" t="s">
        <v>60</v>
      </c>
      <c r="H787" t="s">
        <v>53</v>
      </c>
      <c r="I787" t="s">
        <v>61</v>
      </c>
      <c r="J787" s="1">
        <v>45882</v>
      </c>
      <c r="K787" s="1">
        <v>45882</v>
      </c>
      <c r="L787" s="3">
        <v>31300</v>
      </c>
      <c r="M787" s="4">
        <v>0</v>
      </c>
      <c r="N787" s="4">
        <v>0</v>
      </c>
      <c r="O787" t="s">
        <v>116</v>
      </c>
      <c r="P787">
        <v>4</v>
      </c>
      <c r="Q787" t="str">
        <f>IFERROR(VLOOKUP(E787,Lookups!$A$5:$B$24,2,FALSE),"Other")</f>
        <v>Referral</v>
      </c>
      <c r="R787" t="str">
        <f>IFERROR(VLOOKUP(F787,Lookups!$D$5:$F$10,2,FALSE),"Unknown Product")</f>
        <v>Service Cloud</v>
      </c>
      <c r="S787" t="str">
        <f>IFERROR(VLOOKUP(F787,Lookups!$D$5:$F$10,3,FALSE),"Unknown")</f>
        <v>Customer Service</v>
      </c>
      <c r="T787" t="str">
        <f t="shared" si="132"/>
        <v>Mid-Market</v>
      </c>
      <c r="U787" t="str">
        <f t="shared" si="133"/>
        <v>Lost</v>
      </c>
      <c r="V787" s="3">
        <f t="shared" si="134"/>
        <v>0</v>
      </c>
      <c r="W787" s="3">
        <f t="shared" si="135"/>
        <v>0</v>
      </c>
      <c r="X787" s="5">
        <f t="shared" si="136"/>
        <v>51</v>
      </c>
      <c r="Y787" s="5">
        <f>IF(U787="Open",Lookups!$B$2-B787,X787)</f>
        <v>51</v>
      </c>
      <c r="Z787" t="str">
        <f t="shared" si="137"/>
        <v>OK</v>
      </c>
      <c r="AA787" t="str">
        <f t="shared" si="138"/>
        <v>2025-06</v>
      </c>
      <c r="AB787" t="str">
        <f t="shared" si="139"/>
        <v>2025-08</v>
      </c>
      <c r="AC787" t="str">
        <f t="shared" si="140"/>
        <v>Q2-2025</v>
      </c>
      <c r="AD787" s="5">
        <f t="shared" si="141"/>
        <v>70</v>
      </c>
      <c r="AE787" t="str">
        <f t="shared" si="142"/>
        <v>Lost</v>
      </c>
    </row>
    <row r="788" spans="1:31">
      <c r="A788" t="s">
        <v>890</v>
      </c>
      <c r="B788" s="1">
        <v>46196</v>
      </c>
      <c r="C788" t="s">
        <v>69</v>
      </c>
      <c r="D788" t="s">
        <v>57</v>
      </c>
      <c r="E788" t="s">
        <v>119</v>
      </c>
      <c r="F788" t="s">
        <v>67</v>
      </c>
      <c r="G788" t="s">
        <v>60</v>
      </c>
      <c r="H788" t="s">
        <v>47</v>
      </c>
      <c r="I788" t="s">
        <v>105</v>
      </c>
      <c r="J788" s="1">
        <v>46242</v>
      </c>
      <c r="K788" s="1"/>
      <c r="L788" s="3">
        <v>38900</v>
      </c>
      <c r="M788" s="4">
        <v>0</v>
      </c>
      <c r="N788" s="4">
        <v>0.4</v>
      </c>
      <c r="P788">
        <v>3</v>
      </c>
      <c r="Q788" t="str">
        <f>IFERROR(VLOOKUP(E788,Lookups!$A$5:$B$24,2,FALSE),"Other")</f>
        <v>Referral</v>
      </c>
      <c r="R788" t="str">
        <f>IFERROR(VLOOKUP(F788,Lookups!$D$5:$F$10,2,FALSE),"Unknown Product")</f>
        <v>Revenue Operations Suite</v>
      </c>
      <c r="S788" t="str">
        <f>IFERROR(VLOOKUP(F788,Lookups!$D$5:$F$10,3,FALSE),"Unknown")</f>
        <v>Revenue Ops</v>
      </c>
      <c r="T788" t="str">
        <f t="shared" si="132"/>
        <v>Mid-Market</v>
      </c>
      <c r="U788" t="str">
        <f t="shared" si="133"/>
        <v>Open</v>
      </c>
      <c r="V788" s="3">
        <f t="shared" si="134"/>
        <v>0</v>
      </c>
      <c r="W788" s="3">
        <f t="shared" si="135"/>
        <v>15560</v>
      </c>
      <c r="X788" s="5" t="str">
        <f t="shared" si="136"/>
        <v/>
      </c>
      <c r="Y788" s="5">
        <f>IF(U788="Open",Lookups!$B$2-B788,X788)</f>
        <v>70</v>
      </c>
      <c r="Z788" t="str">
        <f t="shared" si="137"/>
        <v>STALE</v>
      </c>
      <c r="AA788" t="str">
        <f t="shared" si="138"/>
        <v>2026-06</v>
      </c>
      <c r="AB788" t="str">
        <f t="shared" si="139"/>
        <v/>
      </c>
      <c r="AC788" t="str">
        <f t="shared" si="140"/>
        <v>Q2-2026</v>
      </c>
      <c r="AD788" s="5">
        <f t="shared" si="141"/>
        <v>62</v>
      </c>
      <c r="AE788" t="str">
        <f t="shared" si="142"/>
        <v>Pipeline</v>
      </c>
    </row>
    <row r="789" spans="1:31">
      <c r="A789" t="s">
        <v>891</v>
      </c>
      <c r="B789" s="1">
        <v>45708</v>
      </c>
      <c r="C789" t="s">
        <v>50</v>
      </c>
      <c r="D789" t="s">
        <v>43</v>
      </c>
      <c r="E789" t="s">
        <v>166</v>
      </c>
      <c r="F789" t="s">
        <v>133</v>
      </c>
      <c r="G789" t="s">
        <v>72</v>
      </c>
      <c r="H789" t="s">
        <v>47</v>
      </c>
      <c r="I789" t="s">
        <v>61</v>
      </c>
      <c r="J789" s="1">
        <v>45749</v>
      </c>
      <c r="K789" s="1">
        <v>45749</v>
      </c>
      <c r="L789" s="3">
        <v>22500</v>
      </c>
      <c r="M789" s="4">
        <v>0</v>
      </c>
      <c r="N789" s="4">
        <v>0</v>
      </c>
      <c r="O789" t="s">
        <v>116</v>
      </c>
      <c r="P789">
        <v>4</v>
      </c>
      <c r="Q789" t="str">
        <f>IFERROR(VLOOKUP(E789,Lookups!$A$5:$B$24,2,FALSE),"Other")</f>
        <v>Referral</v>
      </c>
      <c r="R789" t="str">
        <f>IFERROR(VLOOKUP(F789,Lookups!$D$5:$F$10,2,FALSE),"Unknown Product")</f>
        <v>Analytics Plus</v>
      </c>
      <c r="S789" t="str">
        <f>IFERROR(VLOOKUP(F789,Lookups!$D$5:$F$10,3,FALSE),"Unknown")</f>
        <v>Analytics</v>
      </c>
      <c r="T789" t="str">
        <f t="shared" si="132"/>
        <v>Mid-Market</v>
      </c>
      <c r="U789" t="str">
        <f t="shared" si="133"/>
        <v>Lost</v>
      </c>
      <c r="V789" s="3">
        <f t="shared" si="134"/>
        <v>0</v>
      </c>
      <c r="W789" s="3">
        <f t="shared" si="135"/>
        <v>0</v>
      </c>
      <c r="X789" s="5">
        <f t="shared" si="136"/>
        <v>41</v>
      </c>
      <c r="Y789" s="5">
        <f>IF(U789="Open",Lookups!$B$2-B789,X789)</f>
        <v>41</v>
      </c>
      <c r="Z789" t="str">
        <f t="shared" si="137"/>
        <v>OK</v>
      </c>
      <c r="AA789" t="str">
        <f t="shared" si="138"/>
        <v>2025-02</v>
      </c>
      <c r="AB789" t="str">
        <f t="shared" si="139"/>
        <v>2025-04</v>
      </c>
      <c r="AC789" t="str">
        <f t="shared" si="140"/>
        <v>Q1-2025</v>
      </c>
      <c r="AD789" s="5">
        <f t="shared" si="141"/>
        <v>62</v>
      </c>
      <c r="AE789" t="str">
        <f t="shared" si="142"/>
        <v>Lost</v>
      </c>
    </row>
    <row r="790" spans="1:31">
      <c r="A790" t="s">
        <v>892</v>
      </c>
      <c r="B790" s="1">
        <v>46087</v>
      </c>
      <c r="C790" t="s">
        <v>148</v>
      </c>
      <c r="D790" t="s">
        <v>43</v>
      </c>
      <c r="E790" t="s">
        <v>44</v>
      </c>
      <c r="F790" t="s">
        <v>59</v>
      </c>
      <c r="G790" t="s">
        <v>76</v>
      </c>
      <c r="H790" t="s">
        <v>53</v>
      </c>
      <c r="I790" t="s">
        <v>48</v>
      </c>
      <c r="J790" s="1">
        <v>46151</v>
      </c>
      <c r="K790" s="1"/>
      <c r="L790" s="3">
        <v>32800</v>
      </c>
      <c r="M790" s="4">
        <v>0</v>
      </c>
      <c r="N790" s="4">
        <v>0.85</v>
      </c>
      <c r="P790">
        <v>5</v>
      </c>
      <c r="Q790" t="str">
        <f>IFERROR(VLOOKUP(E790,Lookups!$A$5:$B$24,2,FALSE),"Other")</f>
        <v>Organic Search</v>
      </c>
      <c r="R790" t="str">
        <f>IFERROR(VLOOKUP(F790,Lookups!$D$5:$F$10,2,FALSE),"Unknown Product")</f>
        <v>NexaCRM Pro</v>
      </c>
      <c r="S790" t="str">
        <f>IFERROR(VLOOKUP(F790,Lookups!$D$5:$F$10,3,FALSE),"Unknown")</f>
        <v>CRM</v>
      </c>
      <c r="T790" t="str">
        <f t="shared" si="132"/>
        <v>Mid-Market</v>
      </c>
      <c r="U790" t="str">
        <f t="shared" si="133"/>
        <v>Open</v>
      </c>
      <c r="V790" s="3">
        <f t="shared" si="134"/>
        <v>0</v>
      </c>
      <c r="W790" s="3">
        <f t="shared" si="135"/>
        <v>27880</v>
      </c>
      <c r="X790" s="5" t="str">
        <f t="shared" si="136"/>
        <v/>
      </c>
      <c r="Y790" s="5">
        <f>IF(U790="Open",Lookups!$B$2-B790,X790)</f>
        <v>179</v>
      </c>
      <c r="Z790" t="str">
        <f t="shared" si="137"/>
        <v>STALE</v>
      </c>
      <c r="AA790" t="str">
        <f t="shared" si="138"/>
        <v>2026-03</v>
      </c>
      <c r="AB790" t="str">
        <f t="shared" si="139"/>
        <v/>
      </c>
      <c r="AC790" t="str">
        <f t="shared" si="140"/>
        <v>Q1-2026</v>
      </c>
      <c r="AD790" s="5">
        <f t="shared" si="141"/>
        <v>65</v>
      </c>
      <c r="AE790" t="str">
        <f t="shared" si="142"/>
        <v>Commit</v>
      </c>
    </row>
    <row r="791" spans="1:31">
      <c r="A791" t="s">
        <v>893</v>
      </c>
      <c r="B791" s="1">
        <v>46075</v>
      </c>
      <c r="C791" t="s">
        <v>148</v>
      </c>
      <c r="D791" t="s">
        <v>43</v>
      </c>
      <c r="E791" t="s">
        <v>92</v>
      </c>
      <c r="F791" t="s">
        <v>52</v>
      </c>
      <c r="G791" t="s">
        <v>112</v>
      </c>
      <c r="H791" t="s">
        <v>47</v>
      </c>
      <c r="I791" t="s">
        <v>61</v>
      </c>
      <c r="J791" s="1">
        <v>46157</v>
      </c>
      <c r="K791" s="1">
        <v>46157</v>
      </c>
      <c r="L791" s="3">
        <v>7800</v>
      </c>
      <c r="M791" s="4">
        <v>0</v>
      </c>
      <c r="N791" s="4">
        <v>0</v>
      </c>
      <c r="O791" t="s">
        <v>81</v>
      </c>
      <c r="P791">
        <v>3</v>
      </c>
      <c r="Q791" t="str">
        <f>IFERROR(VLOOKUP(E791,Lookups!$A$5:$B$24,2,FALSE),"Other")</f>
        <v>Webinar</v>
      </c>
      <c r="R791" t="str">
        <f>IFERROR(VLOOKUP(F791,Lookups!$D$5:$F$10,2,FALSE),"Unknown Product")</f>
        <v>NexaCRM Core</v>
      </c>
      <c r="S791" t="str">
        <f>IFERROR(VLOOKUP(F791,Lookups!$D$5:$F$10,3,FALSE),"Unknown")</f>
        <v>CRM</v>
      </c>
      <c r="T791" t="str">
        <f t="shared" si="132"/>
        <v>SMB</v>
      </c>
      <c r="U791" t="str">
        <f t="shared" si="133"/>
        <v>Lost</v>
      </c>
      <c r="V791" s="3">
        <f t="shared" si="134"/>
        <v>0</v>
      </c>
      <c r="W791" s="3">
        <f t="shared" si="135"/>
        <v>0</v>
      </c>
      <c r="X791" s="5">
        <f t="shared" si="136"/>
        <v>82</v>
      </c>
      <c r="Y791" s="5">
        <f>IF(U791="Open",Lookups!$B$2-B791,X791)</f>
        <v>82</v>
      </c>
      <c r="Z791" t="str">
        <f t="shared" si="137"/>
        <v>OK</v>
      </c>
      <c r="AA791" t="str">
        <f t="shared" si="138"/>
        <v>2026-02</v>
      </c>
      <c r="AB791" t="str">
        <f t="shared" si="139"/>
        <v>2026-05</v>
      </c>
      <c r="AC791" t="str">
        <f t="shared" si="140"/>
        <v>Q1-2026</v>
      </c>
      <c r="AD791" s="5">
        <f t="shared" si="141"/>
        <v>48</v>
      </c>
      <c r="AE791" t="str">
        <f t="shared" si="142"/>
        <v>Lost</v>
      </c>
    </row>
    <row r="792" spans="1:31">
      <c r="A792" t="s">
        <v>894</v>
      </c>
      <c r="B792" s="1">
        <v>45703</v>
      </c>
      <c r="C792" t="s">
        <v>69</v>
      </c>
      <c r="D792" t="s">
        <v>57</v>
      </c>
      <c r="E792" t="s">
        <v>146</v>
      </c>
      <c r="F792" t="s">
        <v>52</v>
      </c>
      <c r="G792" t="s">
        <v>112</v>
      </c>
      <c r="H792" t="s">
        <v>53</v>
      </c>
      <c r="I792" t="s">
        <v>61</v>
      </c>
      <c r="J792" s="1">
        <v>45731</v>
      </c>
      <c r="K792" s="1">
        <v>45731</v>
      </c>
      <c r="L792" s="3">
        <v>12000</v>
      </c>
      <c r="M792" s="4">
        <v>0</v>
      </c>
      <c r="N792" s="4">
        <v>0</v>
      </c>
      <c r="O792" t="s">
        <v>81</v>
      </c>
      <c r="P792">
        <v>4</v>
      </c>
      <c r="Q792" t="str">
        <f>IFERROR(VLOOKUP(E792,Lookups!$A$5:$B$24,2,FALSE),"Other")</f>
        <v>LinkedIn</v>
      </c>
      <c r="R792" t="str">
        <f>IFERROR(VLOOKUP(F792,Lookups!$D$5:$F$10,2,FALSE),"Unknown Product")</f>
        <v>NexaCRM Core</v>
      </c>
      <c r="S792" t="str">
        <f>IFERROR(VLOOKUP(F792,Lookups!$D$5:$F$10,3,FALSE),"Unknown")</f>
        <v>CRM</v>
      </c>
      <c r="T792" t="str">
        <f t="shared" si="132"/>
        <v>SMB</v>
      </c>
      <c r="U792" t="str">
        <f t="shared" si="133"/>
        <v>Lost</v>
      </c>
      <c r="V792" s="3">
        <f t="shared" si="134"/>
        <v>0</v>
      </c>
      <c r="W792" s="3">
        <f t="shared" si="135"/>
        <v>0</v>
      </c>
      <c r="X792" s="5">
        <f t="shared" si="136"/>
        <v>28</v>
      </c>
      <c r="Y792" s="5">
        <f>IF(U792="Open",Lookups!$B$2-B792,X792)</f>
        <v>28</v>
      </c>
      <c r="Z792" t="str">
        <f t="shared" si="137"/>
        <v>OK</v>
      </c>
      <c r="AA792" t="str">
        <f t="shared" si="138"/>
        <v>2025-02</v>
      </c>
      <c r="AB792" t="str">
        <f t="shared" si="139"/>
        <v>2025-03</v>
      </c>
      <c r="AC792" t="str">
        <f t="shared" si="140"/>
        <v>Q1-2025</v>
      </c>
      <c r="AD792" s="5">
        <f t="shared" si="141"/>
        <v>56</v>
      </c>
      <c r="AE792" t="str">
        <f t="shared" si="142"/>
        <v>Lost</v>
      </c>
    </row>
    <row r="793" spans="1:31">
      <c r="A793" t="s">
        <v>895</v>
      </c>
      <c r="B793" s="1">
        <v>46007</v>
      </c>
      <c r="C793" t="s">
        <v>90</v>
      </c>
      <c r="D793" t="s">
        <v>57</v>
      </c>
      <c r="E793" t="s">
        <v>138</v>
      </c>
      <c r="F793" t="s">
        <v>71</v>
      </c>
      <c r="G793" t="s">
        <v>76</v>
      </c>
      <c r="H793" t="s">
        <v>47</v>
      </c>
      <c r="I793" t="s">
        <v>77</v>
      </c>
      <c r="J793" s="1">
        <v>46019</v>
      </c>
      <c r="K793" s="1">
        <v>46019</v>
      </c>
      <c r="L793" s="3">
        <v>11600</v>
      </c>
      <c r="M793" s="4">
        <v>0.03</v>
      </c>
      <c r="N793" s="4">
        <v>1</v>
      </c>
      <c r="P793">
        <v>6</v>
      </c>
      <c r="Q793" t="str">
        <f>IFERROR(VLOOKUP(E793,Lookups!$A$5:$B$24,2,FALSE),"Other")</f>
        <v>Organic Search</v>
      </c>
      <c r="R793" t="str">
        <f>IFERROR(VLOOKUP(F793,Lookups!$D$5:$F$10,2,FALSE),"Unknown Product")</f>
        <v>Marketing Automation</v>
      </c>
      <c r="S793" t="str">
        <f>IFERROR(VLOOKUP(F793,Lookups!$D$5:$F$10,3,FALSE),"Unknown")</f>
        <v>Marketing</v>
      </c>
      <c r="T793" t="str">
        <f t="shared" si="132"/>
        <v>SMB</v>
      </c>
      <c r="U793" t="str">
        <f t="shared" si="133"/>
        <v>Won</v>
      </c>
      <c r="V793" s="3">
        <f t="shared" si="134"/>
        <v>11252</v>
      </c>
      <c r="W793" s="3">
        <f t="shared" si="135"/>
        <v>0</v>
      </c>
      <c r="X793" s="5">
        <f t="shared" si="136"/>
        <v>12</v>
      </c>
      <c r="Y793" s="5">
        <f>IF(U793="Open",Lookups!$B$2-B793,X793)</f>
        <v>12</v>
      </c>
      <c r="Z793" t="str">
        <f t="shared" si="137"/>
        <v>OK</v>
      </c>
      <c r="AA793" t="str">
        <f t="shared" si="138"/>
        <v>2025-12</v>
      </c>
      <c r="AB793" t="str">
        <f t="shared" si="139"/>
        <v>2025-12</v>
      </c>
      <c r="AC793" t="str">
        <f t="shared" si="140"/>
        <v>Q4-2025</v>
      </c>
      <c r="AD793" s="5">
        <f t="shared" si="141"/>
        <v>49</v>
      </c>
      <c r="AE793" t="str">
        <f t="shared" si="142"/>
        <v>Won</v>
      </c>
    </row>
    <row r="794" spans="1:31">
      <c r="A794" t="s">
        <v>896</v>
      </c>
      <c r="B794" s="1">
        <v>45779</v>
      </c>
      <c r="C794" t="s">
        <v>50</v>
      </c>
      <c r="D794" t="s">
        <v>43</v>
      </c>
      <c r="E794" t="s">
        <v>146</v>
      </c>
      <c r="F794" t="s">
        <v>71</v>
      </c>
      <c r="G794" t="s">
        <v>99</v>
      </c>
      <c r="H794" t="s">
        <v>47</v>
      </c>
      <c r="I794" t="s">
        <v>61</v>
      </c>
      <c r="J794" s="1">
        <v>45821</v>
      </c>
      <c r="K794" s="1">
        <v>45821</v>
      </c>
      <c r="L794" s="3">
        <v>9600</v>
      </c>
      <c r="M794" s="4">
        <v>0</v>
      </c>
      <c r="N794" s="4">
        <v>0</v>
      </c>
      <c r="O794" t="s">
        <v>81</v>
      </c>
      <c r="P794">
        <v>4</v>
      </c>
      <c r="Q794" t="str">
        <f>IFERROR(VLOOKUP(E794,Lookups!$A$5:$B$24,2,FALSE),"Other")</f>
        <v>LinkedIn</v>
      </c>
      <c r="R794" t="str">
        <f>IFERROR(VLOOKUP(F794,Lookups!$D$5:$F$10,2,FALSE),"Unknown Product")</f>
        <v>Marketing Automation</v>
      </c>
      <c r="S794" t="str">
        <f>IFERROR(VLOOKUP(F794,Lookups!$D$5:$F$10,3,FALSE),"Unknown")</f>
        <v>Marketing</v>
      </c>
      <c r="T794" t="str">
        <f t="shared" si="132"/>
        <v>SMB</v>
      </c>
      <c r="U794" t="str">
        <f t="shared" si="133"/>
        <v>Lost</v>
      </c>
      <c r="V794" s="3">
        <f t="shared" si="134"/>
        <v>0</v>
      </c>
      <c r="W794" s="3">
        <f t="shared" si="135"/>
        <v>0</v>
      </c>
      <c r="X794" s="5">
        <f t="shared" si="136"/>
        <v>42</v>
      </c>
      <c r="Y794" s="5">
        <f>IF(U794="Open",Lookups!$B$2-B794,X794)</f>
        <v>42</v>
      </c>
      <c r="Z794" t="str">
        <f t="shared" si="137"/>
        <v>OK</v>
      </c>
      <c r="AA794" t="str">
        <f t="shared" si="138"/>
        <v>2025-05</v>
      </c>
      <c r="AB794" t="str">
        <f t="shared" si="139"/>
        <v>2025-06</v>
      </c>
      <c r="AC794" t="str">
        <f t="shared" si="140"/>
        <v>Q2-2025</v>
      </c>
      <c r="AD794" s="5">
        <f t="shared" si="141"/>
        <v>43</v>
      </c>
      <c r="AE794" t="str">
        <f t="shared" si="142"/>
        <v>Lost</v>
      </c>
    </row>
    <row r="795" spans="1:31">
      <c r="A795" t="s">
        <v>897</v>
      </c>
      <c r="B795" s="1">
        <v>45998</v>
      </c>
      <c r="C795" t="s">
        <v>69</v>
      </c>
      <c r="D795" t="s">
        <v>57</v>
      </c>
      <c r="E795" t="s">
        <v>98</v>
      </c>
      <c r="F795" t="s">
        <v>45</v>
      </c>
      <c r="G795" t="s">
        <v>94</v>
      </c>
      <c r="H795" t="s">
        <v>84</v>
      </c>
      <c r="I795" t="s">
        <v>61</v>
      </c>
      <c r="J795" s="1">
        <v>46007</v>
      </c>
      <c r="K795" s="1">
        <v>46007</v>
      </c>
      <c r="L795" s="3">
        <v>57600</v>
      </c>
      <c r="M795" s="4">
        <v>0</v>
      </c>
      <c r="N795" s="4">
        <v>0</v>
      </c>
      <c r="O795" t="s">
        <v>102</v>
      </c>
      <c r="P795">
        <v>5</v>
      </c>
      <c r="Q795" t="str">
        <f>IFERROR(VLOOKUP(E795,Lookups!$A$5:$B$24,2,FALSE),"Other")</f>
        <v>Outbound</v>
      </c>
      <c r="R795" t="str">
        <f>IFERROR(VLOOKUP(F795,Lookups!$D$5:$F$10,2,FALSE),"Unknown Product")</f>
        <v>Service Cloud</v>
      </c>
      <c r="S795" t="str">
        <f>IFERROR(VLOOKUP(F795,Lookups!$D$5:$F$10,3,FALSE),"Unknown")</f>
        <v>Customer Service</v>
      </c>
      <c r="T795" t="str">
        <f t="shared" si="132"/>
        <v>Enterprise</v>
      </c>
      <c r="U795" t="str">
        <f t="shared" si="133"/>
        <v>Lost</v>
      </c>
      <c r="V795" s="3">
        <f t="shared" si="134"/>
        <v>0</v>
      </c>
      <c r="W795" s="3">
        <f t="shared" si="135"/>
        <v>0</v>
      </c>
      <c r="X795" s="5">
        <f t="shared" si="136"/>
        <v>9</v>
      </c>
      <c r="Y795" s="5">
        <f>IF(U795="Open",Lookups!$B$2-B795,X795)</f>
        <v>9</v>
      </c>
      <c r="Z795" t="str">
        <f t="shared" si="137"/>
        <v>OK</v>
      </c>
      <c r="AA795" t="str">
        <f t="shared" si="138"/>
        <v>2025-12</v>
      </c>
      <c r="AB795" t="str">
        <f t="shared" si="139"/>
        <v>2025-12</v>
      </c>
      <c r="AC795" t="str">
        <f t="shared" si="140"/>
        <v>Q4-2025</v>
      </c>
      <c r="AD795" s="5">
        <f t="shared" si="141"/>
        <v>74</v>
      </c>
      <c r="AE795" t="str">
        <f t="shared" si="142"/>
        <v>Lost</v>
      </c>
    </row>
    <row r="796" spans="1:31">
      <c r="A796" t="s">
        <v>898</v>
      </c>
      <c r="B796" s="1">
        <v>45977</v>
      </c>
      <c r="C796" t="s">
        <v>86</v>
      </c>
      <c r="D796" t="s">
        <v>87</v>
      </c>
      <c r="E796" t="s">
        <v>127</v>
      </c>
      <c r="F796" t="s">
        <v>71</v>
      </c>
      <c r="G796" t="s">
        <v>46</v>
      </c>
      <c r="H796" t="s">
        <v>53</v>
      </c>
      <c r="I796" t="s">
        <v>61</v>
      </c>
      <c r="J796" s="1">
        <v>46037</v>
      </c>
      <c r="K796" s="1">
        <v>46037</v>
      </c>
      <c r="L796" s="3">
        <v>19000</v>
      </c>
      <c r="M796" s="4">
        <v>0</v>
      </c>
      <c r="N796" s="4">
        <v>0</v>
      </c>
      <c r="O796" t="s">
        <v>110</v>
      </c>
      <c r="P796">
        <v>5</v>
      </c>
      <c r="Q796" t="str">
        <f>IFERROR(VLOOKUP(E796,Lookups!$A$5:$B$24,2,FALSE),"Other")</f>
        <v>Paid Search</v>
      </c>
      <c r="R796" t="str">
        <f>IFERROR(VLOOKUP(F796,Lookups!$D$5:$F$10,2,FALSE),"Unknown Product")</f>
        <v>Marketing Automation</v>
      </c>
      <c r="S796" t="str">
        <f>IFERROR(VLOOKUP(F796,Lookups!$D$5:$F$10,3,FALSE),"Unknown")</f>
        <v>Marketing</v>
      </c>
      <c r="T796" t="str">
        <f t="shared" si="132"/>
        <v>SMB</v>
      </c>
      <c r="U796" t="str">
        <f t="shared" si="133"/>
        <v>Lost</v>
      </c>
      <c r="V796" s="3">
        <f t="shared" si="134"/>
        <v>0</v>
      </c>
      <c r="W796" s="3">
        <f t="shared" si="135"/>
        <v>0</v>
      </c>
      <c r="X796" s="5">
        <f t="shared" si="136"/>
        <v>60</v>
      </c>
      <c r="Y796" s="5">
        <f>IF(U796="Open",Lookups!$B$2-B796,X796)</f>
        <v>60</v>
      </c>
      <c r="Z796" t="str">
        <f t="shared" si="137"/>
        <v>OK</v>
      </c>
      <c r="AA796" t="str">
        <f t="shared" si="138"/>
        <v>2025-11</v>
      </c>
      <c r="AB796" t="str">
        <f t="shared" si="139"/>
        <v>2026-01</v>
      </c>
      <c r="AC796" t="str">
        <f t="shared" si="140"/>
        <v>Q4-2025</v>
      </c>
      <c r="AD796" s="5">
        <f t="shared" si="141"/>
        <v>51</v>
      </c>
      <c r="AE796" t="str">
        <f t="shared" si="142"/>
        <v>Lost</v>
      </c>
    </row>
    <row r="797" spans="1:31">
      <c r="A797" t="s">
        <v>899</v>
      </c>
      <c r="B797" s="1">
        <v>46047</v>
      </c>
      <c r="C797" t="s">
        <v>56</v>
      </c>
      <c r="D797" t="s">
        <v>57</v>
      </c>
      <c r="E797" t="s">
        <v>83</v>
      </c>
      <c r="F797" t="s">
        <v>59</v>
      </c>
      <c r="G797" t="s">
        <v>94</v>
      </c>
      <c r="H797" t="s">
        <v>47</v>
      </c>
      <c r="I797" t="s">
        <v>61</v>
      </c>
      <c r="J797" s="1">
        <v>46078</v>
      </c>
      <c r="K797" s="1">
        <v>46078</v>
      </c>
      <c r="L797" s="3">
        <v>23300</v>
      </c>
      <c r="M797" s="4">
        <v>0</v>
      </c>
      <c r="N797" s="4">
        <v>0</v>
      </c>
      <c r="O797" t="s">
        <v>62</v>
      </c>
      <c r="P797">
        <v>5</v>
      </c>
      <c r="Q797" t="str">
        <f>IFERROR(VLOOKUP(E797,Lookups!$A$5:$B$24,2,FALSE),"Other")</f>
        <v>Organic Search</v>
      </c>
      <c r="R797" t="str">
        <f>IFERROR(VLOOKUP(F797,Lookups!$D$5:$F$10,2,FALSE),"Unknown Product")</f>
        <v>NexaCRM Pro</v>
      </c>
      <c r="S797" t="str">
        <f>IFERROR(VLOOKUP(F797,Lookups!$D$5:$F$10,3,FALSE),"Unknown")</f>
        <v>CRM</v>
      </c>
      <c r="T797" t="str">
        <f t="shared" si="132"/>
        <v>Mid-Market</v>
      </c>
      <c r="U797" t="str">
        <f t="shared" si="133"/>
        <v>Lost</v>
      </c>
      <c r="V797" s="3">
        <f t="shared" si="134"/>
        <v>0</v>
      </c>
      <c r="W797" s="3">
        <f t="shared" si="135"/>
        <v>0</v>
      </c>
      <c r="X797" s="5">
        <f t="shared" si="136"/>
        <v>31</v>
      </c>
      <c r="Y797" s="5">
        <f>IF(U797="Open",Lookups!$B$2-B797,X797)</f>
        <v>31</v>
      </c>
      <c r="Z797" t="str">
        <f t="shared" si="137"/>
        <v>OK</v>
      </c>
      <c r="AA797" t="str">
        <f t="shared" si="138"/>
        <v>2026-01</v>
      </c>
      <c r="AB797" t="str">
        <f t="shared" si="139"/>
        <v>2026-02</v>
      </c>
      <c r="AC797" t="str">
        <f t="shared" si="140"/>
        <v>Q1-2026</v>
      </c>
      <c r="AD797" s="5">
        <f t="shared" si="141"/>
        <v>57</v>
      </c>
      <c r="AE797" t="str">
        <f t="shared" si="142"/>
        <v>Lost</v>
      </c>
    </row>
    <row r="798" spans="1:31">
      <c r="A798" t="s">
        <v>900</v>
      </c>
      <c r="B798" s="1">
        <v>46226</v>
      </c>
      <c r="C798" t="s">
        <v>50</v>
      </c>
      <c r="D798" t="s">
        <v>43</v>
      </c>
      <c r="E798" t="s">
        <v>44</v>
      </c>
      <c r="F798" t="s">
        <v>59</v>
      </c>
      <c r="G798" t="s">
        <v>60</v>
      </c>
      <c r="H798" t="s">
        <v>47</v>
      </c>
      <c r="I798" t="s">
        <v>73</v>
      </c>
      <c r="J798" s="1">
        <v>46246</v>
      </c>
      <c r="K798" s="1"/>
      <c r="L798" s="3">
        <v>18700</v>
      </c>
      <c r="M798" s="4">
        <v>0</v>
      </c>
      <c r="N798" s="4">
        <v>0.2</v>
      </c>
      <c r="P798">
        <v>2</v>
      </c>
      <c r="Q798" t="str">
        <f>IFERROR(VLOOKUP(E798,Lookups!$A$5:$B$24,2,FALSE),"Other")</f>
        <v>Organic Search</v>
      </c>
      <c r="R798" t="str">
        <f>IFERROR(VLOOKUP(F798,Lookups!$D$5:$F$10,2,FALSE),"Unknown Product")</f>
        <v>NexaCRM Pro</v>
      </c>
      <c r="S798" t="str">
        <f>IFERROR(VLOOKUP(F798,Lookups!$D$5:$F$10,3,FALSE),"Unknown")</f>
        <v>CRM</v>
      </c>
      <c r="T798" t="str">
        <f t="shared" si="132"/>
        <v>SMB</v>
      </c>
      <c r="U798" t="str">
        <f t="shared" si="133"/>
        <v>Open</v>
      </c>
      <c r="V798" s="3">
        <f t="shared" si="134"/>
        <v>0</v>
      </c>
      <c r="W798" s="3">
        <f t="shared" si="135"/>
        <v>3740</v>
      </c>
      <c r="X798" s="5" t="str">
        <f t="shared" si="136"/>
        <v/>
      </c>
      <c r="Y798" s="5">
        <f>IF(U798="Open",Lookups!$B$2-B798,X798)</f>
        <v>40</v>
      </c>
      <c r="Z798" t="str">
        <f t="shared" si="137"/>
        <v>STALE</v>
      </c>
      <c r="AA798" t="str">
        <f t="shared" si="138"/>
        <v>2026-07</v>
      </c>
      <c r="AB798" t="str">
        <f t="shared" si="139"/>
        <v/>
      </c>
      <c r="AC798" t="str">
        <f t="shared" si="140"/>
        <v>Q3-2026</v>
      </c>
      <c r="AD798" s="5">
        <f t="shared" si="141"/>
        <v>49</v>
      </c>
      <c r="AE798" t="str">
        <f t="shared" si="142"/>
        <v>Pipeline</v>
      </c>
    </row>
    <row r="799" spans="1:31">
      <c r="A799" t="s">
        <v>901</v>
      </c>
      <c r="B799" s="1">
        <v>45773</v>
      </c>
      <c r="C799" t="s">
        <v>50</v>
      </c>
      <c r="D799" t="s">
        <v>43</v>
      </c>
      <c r="E799" t="s">
        <v>51</v>
      </c>
      <c r="F799" t="s">
        <v>45</v>
      </c>
      <c r="G799" t="s">
        <v>60</v>
      </c>
      <c r="H799" t="s">
        <v>53</v>
      </c>
      <c r="I799" t="s">
        <v>48</v>
      </c>
      <c r="J799" s="1">
        <v>46026</v>
      </c>
      <c r="K799" s="1"/>
      <c r="L799" s="3">
        <v>29500</v>
      </c>
      <c r="M799" s="4">
        <v>0.03</v>
      </c>
      <c r="N799" s="4">
        <v>0.85</v>
      </c>
      <c r="P799">
        <v>5</v>
      </c>
      <c r="Q799" t="str">
        <f>IFERROR(VLOOKUP(E799,Lookups!$A$5:$B$24,2,FALSE),"Other")</f>
        <v>Paid Search</v>
      </c>
      <c r="R799" t="str">
        <f>IFERROR(VLOOKUP(F799,Lookups!$D$5:$F$10,2,FALSE),"Unknown Product")</f>
        <v>Service Cloud</v>
      </c>
      <c r="S799" t="str">
        <f>IFERROR(VLOOKUP(F799,Lookups!$D$5:$F$10,3,FALSE),"Unknown")</f>
        <v>Customer Service</v>
      </c>
      <c r="T799" t="str">
        <f t="shared" si="132"/>
        <v>Mid-Market</v>
      </c>
      <c r="U799" t="str">
        <f t="shared" si="133"/>
        <v>Open</v>
      </c>
      <c r="V799" s="3">
        <f t="shared" si="134"/>
        <v>0</v>
      </c>
      <c r="W799" s="3">
        <f t="shared" si="135"/>
        <v>25075</v>
      </c>
      <c r="X799" s="5" t="str">
        <f t="shared" si="136"/>
        <v/>
      </c>
      <c r="Y799" s="5">
        <f>IF(U799="Open",Lookups!$B$2-B799,X799)</f>
        <v>493</v>
      </c>
      <c r="Z799" t="str">
        <f t="shared" si="137"/>
        <v>STALE</v>
      </c>
      <c r="AA799" t="str">
        <f t="shared" si="138"/>
        <v>2025-04</v>
      </c>
      <c r="AB799" t="str">
        <f t="shared" si="139"/>
        <v/>
      </c>
      <c r="AC799" t="str">
        <f t="shared" si="140"/>
        <v>Q2-2025</v>
      </c>
      <c r="AD799" s="5">
        <f t="shared" si="141"/>
        <v>59</v>
      </c>
      <c r="AE799" t="str">
        <f t="shared" si="142"/>
        <v>Commit</v>
      </c>
    </row>
    <row r="800" spans="1:31">
      <c r="A800" t="s">
        <v>902</v>
      </c>
      <c r="B800" s="1">
        <v>46069</v>
      </c>
      <c r="C800" t="s">
        <v>86</v>
      </c>
      <c r="D800" t="s">
        <v>87</v>
      </c>
      <c r="E800" t="s">
        <v>127</v>
      </c>
      <c r="F800" t="s">
        <v>59</v>
      </c>
      <c r="G800" t="s">
        <v>72</v>
      </c>
      <c r="H800" t="s">
        <v>84</v>
      </c>
      <c r="I800" t="s">
        <v>61</v>
      </c>
      <c r="J800" s="1">
        <v>46105</v>
      </c>
      <c r="K800" s="1">
        <v>46105</v>
      </c>
      <c r="L800" s="3">
        <v>88100</v>
      </c>
      <c r="M800" s="4">
        <v>0</v>
      </c>
      <c r="N800" s="4">
        <v>0</v>
      </c>
      <c r="O800" t="s">
        <v>81</v>
      </c>
      <c r="P800">
        <v>5</v>
      </c>
      <c r="Q800" t="str">
        <f>IFERROR(VLOOKUP(E800,Lookups!$A$5:$B$24,2,FALSE),"Other")</f>
        <v>Paid Search</v>
      </c>
      <c r="R800" t="str">
        <f>IFERROR(VLOOKUP(F800,Lookups!$D$5:$F$10,2,FALSE),"Unknown Product")</f>
        <v>NexaCRM Pro</v>
      </c>
      <c r="S800" t="str">
        <f>IFERROR(VLOOKUP(F800,Lookups!$D$5:$F$10,3,FALSE),"Unknown")</f>
        <v>CRM</v>
      </c>
      <c r="T800" t="str">
        <f t="shared" si="132"/>
        <v>Enterprise</v>
      </c>
      <c r="U800" t="str">
        <f t="shared" si="133"/>
        <v>Lost</v>
      </c>
      <c r="V800" s="3">
        <f t="shared" si="134"/>
        <v>0</v>
      </c>
      <c r="W800" s="3">
        <f t="shared" si="135"/>
        <v>0</v>
      </c>
      <c r="X800" s="5">
        <f t="shared" si="136"/>
        <v>36</v>
      </c>
      <c r="Y800" s="5">
        <f>IF(U800="Open",Lookups!$B$2-B800,X800)</f>
        <v>36</v>
      </c>
      <c r="Z800" t="str">
        <f t="shared" si="137"/>
        <v>OK</v>
      </c>
      <c r="AA800" t="str">
        <f t="shared" si="138"/>
        <v>2026-02</v>
      </c>
      <c r="AB800" t="str">
        <f t="shared" si="139"/>
        <v>2026-03</v>
      </c>
      <c r="AC800" t="str">
        <f t="shared" si="140"/>
        <v>Q1-2026</v>
      </c>
      <c r="AD800" s="5">
        <f t="shared" si="141"/>
        <v>74</v>
      </c>
      <c r="AE800" t="str">
        <f t="shared" si="142"/>
        <v>Lost</v>
      </c>
    </row>
    <row r="801" spans="1:31">
      <c r="A801" t="s">
        <v>903</v>
      </c>
      <c r="B801" s="1">
        <v>45829</v>
      </c>
      <c r="C801" t="s">
        <v>69</v>
      </c>
      <c r="D801" t="s">
        <v>57</v>
      </c>
      <c r="E801" t="s">
        <v>138</v>
      </c>
      <c r="F801" t="s">
        <v>67</v>
      </c>
      <c r="G801" t="s">
        <v>60</v>
      </c>
      <c r="H801" t="s">
        <v>47</v>
      </c>
      <c r="I801" t="s">
        <v>48</v>
      </c>
      <c r="J801" s="1">
        <v>46013</v>
      </c>
      <c r="K801" s="1"/>
      <c r="L801" s="3">
        <v>45000</v>
      </c>
      <c r="M801" s="4">
        <v>0.03</v>
      </c>
      <c r="N801" s="4">
        <v>0.85</v>
      </c>
      <c r="P801">
        <v>5</v>
      </c>
      <c r="Q801" t="str">
        <f>IFERROR(VLOOKUP(E801,Lookups!$A$5:$B$24,2,FALSE),"Other")</f>
        <v>Organic Search</v>
      </c>
      <c r="R801" t="str">
        <f>IFERROR(VLOOKUP(F801,Lookups!$D$5:$F$10,2,FALSE),"Unknown Product")</f>
        <v>Revenue Operations Suite</v>
      </c>
      <c r="S801" t="str">
        <f>IFERROR(VLOOKUP(F801,Lookups!$D$5:$F$10,3,FALSE),"Unknown")</f>
        <v>Revenue Ops</v>
      </c>
      <c r="T801" t="str">
        <f t="shared" si="132"/>
        <v>Mid-Market</v>
      </c>
      <c r="U801" t="str">
        <f t="shared" si="133"/>
        <v>Open</v>
      </c>
      <c r="V801" s="3">
        <f t="shared" si="134"/>
        <v>0</v>
      </c>
      <c r="W801" s="3">
        <f t="shared" si="135"/>
        <v>38250</v>
      </c>
      <c r="X801" s="5" t="str">
        <f t="shared" si="136"/>
        <v/>
      </c>
      <c r="Y801" s="5">
        <f>IF(U801="Open",Lookups!$B$2-B801,X801)</f>
        <v>437</v>
      </c>
      <c r="Z801" t="str">
        <f t="shared" si="137"/>
        <v>STALE</v>
      </c>
      <c r="AA801" t="str">
        <f t="shared" si="138"/>
        <v>2025-06</v>
      </c>
      <c r="AB801" t="str">
        <f t="shared" si="139"/>
        <v/>
      </c>
      <c r="AC801" t="str">
        <f t="shared" si="140"/>
        <v>Q2-2025</v>
      </c>
      <c r="AD801" s="5">
        <f t="shared" si="141"/>
        <v>57</v>
      </c>
      <c r="AE801" t="str">
        <f t="shared" si="142"/>
        <v>Commit</v>
      </c>
    </row>
    <row r="802" spans="1:31">
      <c r="A802" t="s">
        <v>904</v>
      </c>
      <c r="B802" s="1">
        <v>45801</v>
      </c>
      <c r="C802" t="s">
        <v>69</v>
      </c>
      <c r="D802" t="s">
        <v>57</v>
      </c>
      <c r="E802" t="s">
        <v>123</v>
      </c>
      <c r="F802" t="s">
        <v>133</v>
      </c>
      <c r="G802" t="s">
        <v>46</v>
      </c>
      <c r="H802" t="s">
        <v>53</v>
      </c>
      <c r="I802" t="s">
        <v>61</v>
      </c>
      <c r="J802" s="1">
        <v>45854</v>
      </c>
      <c r="K802" s="1">
        <v>45854</v>
      </c>
      <c r="L802" s="3">
        <v>24800</v>
      </c>
      <c r="M802" s="4">
        <v>0</v>
      </c>
      <c r="N802" s="4">
        <v>0</v>
      </c>
      <c r="O802" t="s">
        <v>102</v>
      </c>
      <c r="P802">
        <v>4</v>
      </c>
      <c r="Q802" t="str">
        <f>IFERROR(VLOOKUP(E802,Lookups!$A$5:$B$24,2,FALSE),"Other")</f>
        <v>Email</v>
      </c>
      <c r="R802" t="str">
        <f>IFERROR(VLOOKUP(F802,Lookups!$D$5:$F$10,2,FALSE),"Unknown Product")</f>
        <v>Analytics Plus</v>
      </c>
      <c r="S802" t="str">
        <f>IFERROR(VLOOKUP(F802,Lookups!$D$5:$F$10,3,FALSE),"Unknown")</f>
        <v>Analytics</v>
      </c>
      <c r="T802" t="str">
        <f t="shared" si="132"/>
        <v>Mid-Market</v>
      </c>
      <c r="U802" t="str">
        <f t="shared" si="133"/>
        <v>Lost</v>
      </c>
      <c r="V802" s="3">
        <f t="shared" si="134"/>
        <v>0</v>
      </c>
      <c r="W802" s="3">
        <f t="shared" si="135"/>
        <v>0</v>
      </c>
      <c r="X802" s="5">
        <f t="shared" si="136"/>
        <v>53</v>
      </c>
      <c r="Y802" s="5">
        <f>IF(U802="Open",Lookups!$B$2-B802,X802)</f>
        <v>53</v>
      </c>
      <c r="Z802" t="str">
        <f t="shared" si="137"/>
        <v>OK</v>
      </c>
      <c r="AA802" t="str">
        <f t="shared" si="138"/>
        <v>2025-05</v>
      </c>
      <c r="AB802" t="str">
        <f t="shared" si="139"/>
        <v>2025-07</v>
      </c>
      <c r="AC802" t="str">
        <f t="shared" si="140"/>
        <v>Q2-2025</v>
      </c>
      <c r="AD802" s="5">
        <f t="shared" si="141"/>
        <v>63</v>
      </c>
      <c r="AE802" t="str">
        <f t="shared" si="142"/>
        <v>Lost</v>
      </c>
    </row>
    <row r="803" spans="1:31">
      <c r="A803" t="s">
        <v>905</v>
      </c>
      <c r="B803" s="1">
        <v>46153</v>
      </c>
      <c r="C803" t="s">
        <v>90</v>
      </c>
      <c r="D803" t="s">
        <v>57</v>
      </c>
      <c r="E803" t="s">
        <v>98</v>
      </c>
      <c r="F803" t="s">
        <v>71</v>
      </c>
      <c r="G803" t="s">
        <v>72</v>
      </c>
      <c r="H803" t="s">
        <v>84</v>
      </c>
      <c r="I803" t="s">
        <v>77</v>
      </c>
      <c r="J803" s="1">
        <v>46231</v>
      </c>
      <c r="K803" s="1">
        <v>46231</v>
      </c>
      <c r="L803" s="3">
        <v>41400</v>
      </c>
      <c r="M803" s="4">
        <v>0.12</v>
      </c>
      <c r="N803" s="4">
        <v>1</v>
      </c>
      <c r="P803">
        <v>6</v>
      </c>
      <c r="Q803" t="str">
        <f>IFERROR(VLOOKUP(E803,Lookups!$A$5:$B$24,2,FALSE),"Other")</f>
        <v>Outbound</v>
      </c>
      <c r="R803" t="str">
        <f>IFERROR(VLOOKUP(F803,Lookups!$D$5:$F$10,2,FALSE),"Unknown Product")</f>
        <v>Marketing Automation</v>
      </c>
      <c r="S803" t="str">
        <f>IFERROR(VLOOKUP(F803,Lookups!$D$5:$F$10,3,FALSE),"Unknown")</f>
        <v>Marketing</v>
      </c>
      <c r="T803" t="str">
        <f t="shared" si="132"/>
        <v>Mid-Market</v>
      </c>
      <c r="U803" t="str">
        <f t="shared" si="133"/>
        <v>Won</v>
      </c>
      <c r="V803" s="3">
        <f t="shared" si="134"/>
        <v>36432</v>
      </c>
      <c r="W803" s="3">
        <f t="shared" si="135"/>
        <v>0</v>
      </c>
      <c r="X803" s="5">
        <f t="shared" si="136"/>
        <v>78</v>
      </c>
      <c r="Y803" s="5">
        <f>IF(U803="Open",Lookups!$B$2-B803,X803)</f>
        <v>78</v>
      </c>
      <c r="Z803" t="str">
        <f t="shared" si="137"/>
        <v>OK</v>
      </c>
      <c r="AA803" t="str">
        <f t="shared" si="138"/>
        <v>2026-05</v>
      </c>
      <c r="AB803" t="str">
        <f t="shared" si="139"/>
        <v>2026-07</v>
      </c>
      <c r="AC803" t="str">
        <f t="shared" si="140"/>
        <v>Q2-2026</v>
      </c>
      <c r="AD803" s="5">
        <f t="shared" si="141"/>
        <v>67</v>
      </c>
      <c r="AE803" t="str">
        <f t="shared" si="142"/>
        <v>Won</v>
      </c>
    </row>
    <row r="804" spans="1:31">
      <c r="A804" t="s">
        <v>906</v>
      </c>
      <c r="B804" s="1">
        <v>45869</v>
      </c>
      <c r="C804" t="s">
        <v>64</v>
      </c>
      <c r="D804" t="s">
        <v>57</v>
      </c>
      <c r="E804" t="s">
        <v>75</v>
      </c>
      <c r="F804" t="s">
        <v>133</v>
      </c>
      <c r="G804" t="s">
        <v>76</v>
      </c>
      <c r="H804" t="s">
        <v>47</v>
      </c>
      <c r="I804" t="s">
        <v>61</v>
      </c>
      <c r="J804" s="1">
        <v>45911</v>
      </c>
      <c r="K804" s="1">
        <v>45911</v>
      </c>
      <c r="L804" s="3">
        <v>28900</v>
      </c>
      <c r="M804" s="4">
        <v>0</v>
      </c>
      <c r="N804" s="4">
        <v>0</v>
      </c>
      <c r="O804" t="s">
        <v>79</v>
      </c>
      <c r="P804">
        <v>3</v>
      </c>
      <c r="Q804" t="str">
        <f>IFERROR(VLOOKUP(E804,Lookups!$A$5:$B$24,2,FALSE),"Other")</f>
        <v>Webinar</v>
      </c>
      <c r="R804" t="str">
        <f>IFERROR(VLOOKUP(F804,Lookups!$D$5:$F$10,2,FALSE),"Unknown Product")</f>
        <v>Analytics Plus</v>
      </c>
      <c r="S804" t="str">
        <f>IFERROR(VLOOKUP(F804,Lookups!$D$5:$F$10,3,FALSE),"Unknown")</f>
        <v>Analytics</v>
      </c>
      <c r="T804" t="str">
        <f t="shared" si="132"/>
        <v>Mid-Market</v>
      </c>
      <c r="U804" t="str">
        <f t="shared" si="133"/>
        <v>Lost</v>
      </c>
      <c r="V804" s="3">
        <f t="shared" si="134"/>
        <v>0</v>
      </c>
      <c r="W804" s="3">
        <f t="shared" si="135"/>
        <v>0</v>
      </c>
      <c r="X804" s="5">
        <f t="shared" si="136"/>
        <v>42</v>
      </c>
      <c r="Y804" s="5">
        <f>IF(U804="Open",Lookups!$B$2-B804,X804)</f>
        <v>42</v>
      </c>
      <c r="Z804" t="str">
        <f t="shared" si="137"/>
        <v>OK</v>
      </c>
      <c r="AA804" t="str">
        <f t="shared" si="138"/>
        <v>2025-07</v>
      </c>
      <c r="AB804" t="str">
        <f t="shared" si="139"/>
        <v>2025-09</v>
      </c>
      <c r="AC804" t="str">
        <f t="shared" si="140"/>
        <v>Q3-2025</v>
      </c>
      <c r="AD804" s="5">
        <f t="shared" si="141"/>
        <v>51</v>
      </c>
      <c r="AE804" t="str">
        <f t="shared" si="142"/>
        <v>Lost</v>
      </c>
    </row>
    <row r="805" spans="1:31">
      <c r="A805" t="s">
        <v>907</v>
      </c>
      <c r="B805" s="1">
        <v>46055</v>
      </c>
      <c r="C805" t="s">
        <v>64</v>
      </c>
      <c r="D805" t="s">
        <v>57</v>
      </c>
      <c r="E805" t="s">
        <v>96</v>
      </c>
      <c r="F805" t="s">
        <v>52</v>
      </c>
      <c r="G805" t="s">
        <v>94</v>
      </c>
      <c r="H805" t="s">
        <v>53</v>
      </c>
      <c r="I805" t="s">
        <v>61</v>
      </c>
      <c r="J805" s="1">
        <v>46085</v>
      </c>
      <c r="K805" s="1">
        <v>46085</v>
      </c>
      <c r="L805" s="3">
        <v>10200</v>
      </c>
      <c r="M805" s="4">
        <v>0</v>
      </c>
      <c r="N805" s="4">
        <v>0</v>
      </c>
      <c r="O805" t="s">
        <v>116</v>
      </c>
      <c r="P805">
        <v>2</v>
      </c>
      <c r="Q805" t="str">
        <f>IFERROR(VLOOKUP(E805,Lookups!$A$5:$B$24,2,FALSE),"Other")</f>
        <v>LinkedIn</v>
      </c>
      <c r="R805" t="str">
        <f>IFERROR(VLOOKUP(F805,Lookups!$D$5:$F$10,2,FALSE),"Unknown Product")</f>
        <v>NexaCRM Core</v>
      </c>
      <c r="S805" t="str">
        <f>IFERROR(VLOOKUP(F805,Lookups!$D$5:$F$10,3,FALSE),"Unknown")</f>
        <v>CRM</v>
      </c>
      <c r="T805" t="str">
        <f t="shared" si="132"/>
        <v>SMB</v>
      </c>
      <c r="U805" t="str">
        <f t="shared" si="133"/>
        <v>Lost</v>
      </c>
      <c r="V805" s="3">
        <f t="shared" si="134"/>
        <v>0</v>
      </c>
      <c r="W805" s="3">
        <f t="shared" si="135"/>
        <v>0</v>
      </c>
      <c r="X805" s="5">
        <f t="shared" si="136"/>
        <v>30</v>
      </c>
      <c r="Y805" s="5">
        <f>IF(U805="Open",Lookups!$B$2-B805,X805)</f>
        <v>30</v>
      </c>
      <c r="Z805" t="str">
        <f t="shared" si="137"/>
        <v>OK</v>
      </c>
      <c r="AA805" t="str">
        <f t="shared" si="138"/>
        <v>2026-02</v>
      </c>
      <c r="AB805" t="str">
        <f t="shared" si="139"/>
        <v>2026-03</v>
      </c>
      <c r="AC805" t="str">
        <f t="shared" si="140"/>
        <v>Q1-2026</v>
      </c>
      <c r="AD805" s="5">
        <f t="shared" si="141"/>
        <v>51</v>
      </c>
      <c r="AE805" t="str">
        <f t="shared" si="142"/>
        <v>Lost</v>
      </c>
    </row>
    <row r="806" spans="1:31">
      <c r="A806" t="s">
        <v>908</v>
      </c>
      <c r="B806" s="1">
        <v>45735</v>
      </c>
      <c r="C806" t="s">
        <v>90</v>
      </c>
      <c r="D806" t="s">
        <v>57</v>
      </c>
      <c r="E806" t="s">
        <v>127</v>
      </c>
      <c r="F806" t="s">
        <v>133</v>
      </c>
      <c r="G806" t="s">
        <v>72</v>
      </c>
      <c r="H806" t="s">
        <v>47</v>
      </c>
      <c r="I806" t="s">
        <v>61</v>
      </c>
      <c r="J806" s="1">
        <v>45757</v>
      </c>
      <c r="K806" s="1">
        <v>45757</v>
      </c>
      <c r="L806" s="3">
        <v>28000</v>
      </c>
      <c r="M806" s="4">
        <v>0</v>
      </c>
      <c r="N806" s="4">
        <v>0</v>
      </c>
      <c r="O806" t="s">
        <v>102</v>
      </c>
      <c r="P806">
        <v>4</v>
      </c>
      <c r="Q806" t="str">
        <f>IFERROR(VLOOKUP(E806,Lookups!$A$5:$B$24,2,FALSE),"Other")</f>
        <v>Paid Search</v>
      </c>
      <c r="R806" t="str">
        <f>IFERROR(VLOOKUP(F806,Lookups!$D$5:$F$10,2,FALSE),"Unknown Product")</f>
        <v>Analytics Plus</v>
      </c>
      <c r="S806" t="str">
        <f>IFERROR(VLOOKUP(F806,Lookups!$D$5:$F$10,3,FALSE),"Unknown")</f>
        <v>Analytics</v>
      </c>
      <c r="T806" t="str">
        <f t="shared" si="132"/>
        <v>Mid-Market</v>
      </c>
      <c r="U806" t="str">
        <f t="shared" si="133"/>
        <v>Lost</v>
      </c>
      <c r="V806" s="3">
        <f t="shared" si="134"/>
        <v>0</v>
      </c>
      <c r="W806" s="3">
        <f t="shared" si="135"/>
        <v>0</v>
      </c>
      <c r="X806" s="5">
        <f t="shared" si="136"/>
        <v>22</v>
      </c>
      <c r="Y806" s="5">
        <f>IF(U806="Open",Lookups!$B$2-B806,X806)</f>
        <v>22</v>
      </c>
      <c r="Z806" t="str">
        <f t="shared" si="137"/>
        <v>OK</v>
      </c>
      <c r="AA806" t="str">
        <f t="shared" si="138"/>
        <v>2025-03</v>
      </c>
      <c r="AB806" t="str">
        <f t="shared" si="139"/>
        <v>2025-04</v>
      </c>
      <c r="AC806" t="str">
        <f t="shared" si="140"/>
        <v>Q1-2025</v>
      </c>
      <c r="AD806" s="5">
        <f t="shared" si="141"/>
        <v>51</v>
      </c>
      <c r="AE806" t="str">
        <f t="shared" si="142"/>
        <v>Lost</v>
      </c>
    </row>
    <row r="807" spans="1:31">
      <c r="A807" t="s">
        <v>909</v>
      </c>
      <c r="B807" s="1">
        <v>45756</v>
      </c>
      <c r="C807" t="s">
        <v>56</v>
      </c>
      <c r="D807" t="s">
        <v>57</v>
      </c>
      <c r="E807" t="s">
        <v>83</v>
      </c>
      <c r="F807" t="s">
        <v>71</v>
      </c>
      <c r="G807" t="s">
        <v>94</v>
      </c>
      <c r="H807" t="s">
        <v>47</v>
      </c>
      <c r="I807" t="s">
        <v>61</v>
      </c>
      <c r="J807" s="1">
        <v>45825</v>
      </c>
      <c r="K807" s="1">
        <v>45825</v>
      </c>
      <c r="L807" s="3">
        <v>19200</v>
      </c>
      <c r="M807" s="4">
        <v>0</v>
      </c>
      <c r="N807" s="4">
        <v>0</v>
      </c>
      <c r="O807" t="s">
        <v>62</v>
      </c>
      <c r="P807">
        <v>2</v>
      </c>
      <c r="Q807" t="str">
        <f>IFERROR(VLOOKUP(E807,Lookups!$A$5:$B$24,2,FALSE),"Other")</f>
        <v>Organic Search</v>
      </c>
      <c r="R807" t="str">
        <f>IFERROR(VLOOKUP(F807,Lookups!$D$5:$F$10,2,FALSE),"Unknown Product")</f>
        <v>Marketing Automation</v>
      </c>
      <c r="S807" t="str">
        <f>IFERROR(VLOOKUP(F807,Lookups!$D$5:$F$10,3,FALSE),"Unknown")</f>
        <v>Marketing</v>
      </c>
      <c r="T807" t="str">
        <f t="shared" si="132"/>
        <v>SMB</v>
      </c>
      <c r="U807" t="str">
        <f t="shared" si="133"/>
        <v>Lost</v>
      </c>
      <c r="V807" s="3">
        <f t="shared" si="134"/>
        <v>0</v>
      </c>
      <c r="W807" s="3">
        <f t="shared" si="135"/>
        <v>0</v>
      </c>
      <c r="X807" s="5">
        <f t="shared" si="136"/>
        <v>69</v>
      </c>
      <c r="Y807" s="5">
        <f>IF(U807="Open",Lookups!$B$2-B807,X807)</f>
        <v>69</v>
      </c>
      <c r="Z807" t="str">
        <f t="shared" si="137"/>
        <v>OK</v>
      </c>
      <c r="AA807" t="str">
        <f t="shared" si="138"/>
        <v>2025-04</v>
      </c>
      <c r="AB807" t="str">
        <f t="shared" si="139"/>
        <v>2025-06</v>
      </c>
      <c r="AC807" t="str">
        <f t="shared" si="140"/>
        <v>Q2-2025</v>
      </c>
      <c r="AD807" s="5">
        <f t="shared" si="141"/>
        <v>49</v>
      </c>
      <c r="AE807" t="str">
        <f t="shared" si="142"/>
        <v>Lost</v>
      </c>
    </row>
    <row r="808" spans="1:31">
      <c r="A808" t="s">
        <v>910</v>
      </c>
      <c r="B808" s="1">
        <v>46189</v>
      </c>
      <c r="C808" t="s">
        <v>64</v>
      </c>
      <c r="D808" t="s">
        <v>57</v>
      </c>
      <c r="E808" t="s">
        <v>75</v>
      </c>
      <c r="F808" t="s">
        <v>52</v>
      </c>
      <c r="G808" t="s">
        <v>99</v>
      </c>
      <c r="H808" t="s">
        <v>47</v>
      </c>
      <c r="I808" t="s">
        <v>77</v>
      </c>
      <c r="J808" s="1">
        <v>46227</v>
      </c>
      <c r="K808" s="1">
        <v>46227</v>
      </c>
      <c r="L808" s="3">
        <v>8100</v>
      </c>
      <c r="M808" s="4">
        <v>0</v>
      </c>
      <c r="N808" s="4">
        <v>1</v>
      </c>
      <c r="P808">
        <v>6</v>
      </c>
      <c r="Q808" t="str">
        <f>IFERROR(VLOOKUP(E808,Lookups!$A$5:$B$24,2,FALSE),"Other")</f>
        <v>Webinar</v>
      </c>
      <c r="R808" t="str">
        <f>IFERROR(VLOOKUP(F808,Lookups!$D$5:$F$10,2,FALSE),"Unknown Product")</f>
        <v>NexaCRM Core</v>
      </c>
      <c r="S808" t="str">
        <f>IFERROR(VLOOKUP(F808,Lookups!$D$5:$F$10,3,FALSE),"Unknown")</f>
        <v>CRM</v>
      </c>
      <c r="T808" t="str">
        <f t="shared" si="132"/>
        <v>SMB</v>
      </c>
      <c r="U808" t="str">
        <f t="shared" si="133"/>
        <v>Won</v>
      </c>
      <c r="V808" s="3">
        <f t="shared" si="134"/>
        <v>8100</v>
      </c>
      <c r="W808" s="3">
        <f t="shared" si="135"/>
        <v>0</v>
      </c>
      <c r="X808" s="5">
        <f t="shared" si="136"/>
        <v>38</v>
      </c>
      <c r="Y808" s="5">
        <f>IF(U808="Open",Lookups!$B$2-B808,X808)</f>
        <v>38</v>
      </c>
      <c r="Z808" t="str">
        <f t="shared" si="137"/>
        <v>OK</v>
      </c>
      <c r="AA808" t="str">
        <f t="shared" si="138"/>
        <v>2026-06</v>
      </c>
      <c r="AB808" t="str">
        <f t="shared" si="139"/>
        <v>2026-07</v>
      </c>
      <c r="AC808" t="str">
        <f t="shared" si="140"/>
        <v>Q2-2026</v>
      </c>
      <c r="AD808" s="5">
        <f t="shared" si="141"/>
        <v>43</v>
      </c>
      <c r="AE808" t="str">
        <f t="shared" si="142"/>
        <v>Won</v>
      </c>
    </row>
    <row r="809" spans="1:31">
      <c r="A809" t="s">
        <v>911</v>
      </c>
      <c r="B809" s="1">
        <v>45817</v>
      </c>
      <c r="C809" t="s">
        <v>90</v>
      </c>
      <c r="D809" t="s">
        <v>57</v>
      </c>
      <c r="E809" t="s">
        <v>65</v>
      </c>
      <c r="F809" t="s">
        <v>59</v>
      </c>
      <c r="G809" t="s">
        <v>46</v>
      </c>
      <c r="H809" t="s">
        <v>47</v>
      </c>
      <c r="I809" t="s">
        <v>61</v>
      </c>
      <c r="J809" s="1">
        <v>45877</v>
      </c>
      <c r="K809" s="1">
        <v>45877</v>
      </c>
      <c r="L809" s="3">
        <v>14700</v>
      </c>
      <c r="M809" s="4">
        <v>0</v>
      </c>
      <c r="N809" s="4">
        <v>0</v>
      </c>
      <c r="O809" t="s">
        <v>110</v>
      </c>
      <c r="P809">
        <v>4</v>
      </c>
      <c r="Q809" t="str">
        <f>IFERROR(VLOOKUP(E809,Lookups!$A$5:$B$24,2,FALSE),"Other")</f>
        <v>Paid Search</v>
      </c>
      <c r="R809" t="str">
        <f>IFERROR(VLOOKUP(F809,Lookups!$D$5:$F$10,2,FALSE),"Unknown Product")</f>
        <v>NexaCRM Pro</v>
      </c>
      <c r="S809" t="str">
        <f>IFERROR(VLOOKUP(F809,Lookups!$D$5:$F$10,3,FALSE),"Unknown")</f>
        <v>CRM</v>
      </c>
      <c r="T809" t="str">
        <f t="shared" si="132"/>
        <v>SMB</v>
      </c>
      <c r="U809" t="str">
        <f t="shared" si="133"/>
        <v>Lost</v>
      </c>
      <c r="V809" s="3">
        <f t="shared" si="134"/>
        <v>0</v>
      </c>
      <c r="W809" s="3">
        <f t="shared" si="135"/>
        <v>0</v>
      </c>
      <c r="X809" s="5">
        <f t="shared" si="136"/>
        <v>60</v>
      </c>
      <c r="Y809" s="5">
        <f>IF(U809="Open",Lookups!$B$2-B809,X809)</f>
        <v>60</v>
      </c>
      <c r="Z809" t="str">
        <f t="shared" si="137"/>
        <v>OK</v>
      </c>
      <c r="AA809" t="str">
        <f t="shared" si="138"/>
        <v>2025-06</v>
      </c>
      <c r="AB809" t="str">
        <f t="shared" si="139"/>
        <v>2025-08</v>
      </c>
      <c r="AC809" t="str">
        <f t="shared" si="140"/>
        <v>Q2-2025</v>
      </c>
      <c r="AD809" s="5">
        <f t="shared" si="141"/>
        <v>43</v>
      </c>
      <c r="AE809" t="str">
        <f t="shared" si="142"/>
        <v>Lost</v>
      </c>
    </row>
    <row r="810" spans="1:31">
      <c r="A810" t="s">
        <v>912</v>
      </c>
      <c r="B810" s="1">
        <v>45683</v>
      </c>
      <c r="C810" t="s">
        <v>86</v>
      </c>
      <c r="D810" t="s">
        <v>87</v>
      </c>
      <c r="E810" t="s">
        <v>44</v>
      </c>
      <c r="F810" t="s">
        <v>71</v>
      </c>
      <c r="G810" t="s">
        <v>76</v>
      </c>
      <c r="H810" t="s">
        <v>53</v>
      </c>
      <c r="I810" t="s">
        <v>77</v>
      </c>
      <c r="J810" s="1">
        <v>45765</v>
      </c>
      <c r="K810" s="1">
        <v>45765</v>
      </c>
      <c r="L810" s="3">
        <v>23100</v>
      </c>
      <c r="M810" s="4">
        <v>0.03</v>
      </c>
      <c r="N810" s="4">
        <v>1</v>
      </c>
      <c r="P810">
        <v>6</v>
      </c>
      <c r="Q810" t="str">
        <f>IFERROR(VLOOKUP(E810,Lookups!$A$5:$B$24,2,FALSE),"Other")</f>
        <v>Organic Search</v>
      </c>
      <c r="R810" t="str">
        <f>IFERROR(VLOOKUP(F810,Lookups!$D$5:$F$10,2,FALSE),"Unknown Product")</f>
        <v>Marketing Automation</v>
      </c>
      <c r="S810" t="str">
        <f>IFERROR(VLOOKUP(F810,Lookups!$D$5:$F$10,3,FALSE),"Unknown")</f>
        <v>Marketing</v>
      </c>
      <c r="T810" t="str">
        <f t="shared" si="132"/>
        <v>Mid-Market</v>
      </c>
      <c r="U810" t="str">
        <f t="shared" si="133"/>
        <v>Won</v>
      </c>
      <c r="V810" s="3">
        <f t="shared" si="134"/>
        <v>22407</v>
      </c>
      <c r="W810" s="3">
        <f t="shared" si="135"/>
        <v>0</v>
      </c>
      <c r="X810" s="5">
        <f t="shared" si="136"/>
        <v>82</v>
      </c>
      <c r="Y810" s="5">
        <f>IF(U810="Open",Lookups!$B$2-B810,X810)</f>
        <v>82</v>
      </c>
      <c r="Z810" t="str">
        <f t="shared" si="137"/>
        <v>OK</v>
      </c>
      <c r="AA810" t="str">
        <f t="shared" si="138"/>
        <v>2025-01</v>
      </c>
      <c r="AB810" t="str">
        <f t="shared" si="139"/>
        <v>2025-04</v>
      </c>
      <c r="AC810" t="str">
        <f t="shared" si="140"/>
        <v>Q1-2025</v>
      </c>
      <c r="AD810" s="5">
        <f t="shared" si="141"/>
        <v>65</v>
      </c>
      <c r="AE810" t="str">
        <f t="shared" si="142"/>
        <v>Won</v>
      </c>
    </row>
    <row r="811" spans="1:31">
      <c r="A811" t="s">
        <v>913</v>
      </c>
      <c r="B811" s="1">
        <v>45876</v>
      </c>
      <c r="C811" t="s">
        <v>69</v>
      </c>
      <c r="D811" t="s">
        <v>57</v>
      </c>
      <c r="E811" t="s">
        <v>65</v>
      </c>
      <c r="F811" t="s">
        <v>71</v>
      </c>
      <c r="G811" t="s">
        <v>60</v>
      </c>
      <c r="H811" t="s">
        <v>53</v>
      </c>
      <c r="I811" t="s">
        <v>48</v>
      </c>
      <c r="J811" s="1">
        <v>46163</v>
      </c>
      <c r="K811" s="1"/>
      <c r="L811" s="3">
        <v>27800</v>
      </c>
      <c r="M811" s="4">
        <v>0</v>
      </c>
      <c r="N811" s="4">
        <v>0.85</v>
      </c>
      <c r="P811">
        <v>5</v>
      </c>
      <c r="Q811" t="str">
        <f>IFERROR(VLOOKUP(E811,Lookups!$A$5:$B$24,2,FALSE),"Other")</f>
        <v>Paid Search</v>
      </c>
      <c r="R811" t="str">
        <f>IFERROR(VLOOKUP(F811,Lookups!$D$5:$F$10,2,FALSE),"Unknown Product")</f>
        <v>Marketing Automation</v>
      </c>
      <c r="S811" t="str">
        <f>IFERROR(VLOOKUP(F811,Lookups!$D$5:$F$10,3,FALSE),"Unknown")</f>
        <v>Marketing</v>
      </c>
      <c r="T811" t="str">
        <f t="shared" si="132"/>
        <v>Mid-Market</v>
      </c>
      <c r="U811" t="str">
        <f t="shared" si="133"/>
        <v>Open</v>
      </c>
      <c r="V811" s="3">
        <f t="shared" si="134"/>
        <v>0</v>
      </c>
      <c r="W811" s="3">
        <f t="shared" si="135"/>
        <v>23630</v>
      </c>
      <c r="X811" s="5" t="str">
        <f t="shared" si="136"/>
        <v/>
      </c>
      <c r="Y811" s="5">
        <f>IF(U811="Open",Lookups!$B$2-B811,X811)</f>
        <v>390</v>
      </c>
      <c r="Z811" t="str">
        <f t="shared" si="137"/>
        <v>STALE</v>
      </c>
      <c r="AA811" t="str">
        <f t="shared" si="138"/>
        <v>2025-08</v>
      </c>
      <c r="AB811" t="str">
        <f t="shared" si="139"/>
        <v/>
      </c>
      <c r="AC811" t="str">
        <f t="shared" si="140"/>
        <v>Q3-2025</v>
      </c>
      <c r="AD811" s="5">
        <f t="shared" si="141"/>
        <v>59</v>
      </c>
      <c r="AE811" t="str">
        <f t="shared" si="142"/>
        <v>Commit</v>
      </c>
    </row>
    <row r="812" spans="1:31">
      <c r="A812" t="s">
        <v>914</v>
      </c>
      <c r="B812" s="1">
        <v>46218</v>
      </c>
      <c r="C812" t="s">
        <v>56</v>
      </c>
      <c r="D812" t="s">
        <v>57</v>
      </c>
      <c r="E812" t="s">
        <v>96</v>
      </c>
      <c r="F812" t="s">
        <v>45</v>
      </c>
      <c r="G812" t="s">
        <v>72</v>
      </c>
      <c r="H812" t="s">
        <v>47</v>
      </c>
      <c r="I812" t="s">
        <v>73</v>
      </c>
      <c r="J812" s="1">
        <v>46239</v>
      </c>
      <c r="K812" s="1"/>
      <c r="L812" s="3">
        <v>22500</v>
      </c>
      <c r="M812" s="4">
        <v>0</v>
      </c>
      <c r="N812" s="4">
        <v>0.2</v>
      </c>
      <c r="P812">
        <v>2</v>
      </c>
      <c r="Q812" t="str">
        <f>IFERROR(VLOOKUP(E812,Lookups!$A$5:$B$24,2,FALSE),"Other")</f>
        <v>LinkedIn</v>
      </c>
      <c r="R812" t="str">
        <f>IFERROR(VLOOKUP(F812,Lookups!$D$5:$F$10,2,FALSE),"Unknown Product")</f>
        <v>Service Cloud</v>
      </c>
      <c r="S812" t="str">
        <f>IFERROR(VLOOKUP(F812,Lookups!$D$5:$F$10,3,FALSE),"Unknown")</f>
        <v>Customer Service</v>
      </c>
      <c r="T812" t="str">
        <f t="shared" si="132"/>
        <v>Mid-Market</v>
      </c>
      <c r="U812" t="str">
        <f t="shared" si="133"/>
        <v>Open</v>
      </c>
      <c r="V812" s="3">
        <f t="shared" si="134"/>
        <v>0</v>
      </c>
      <c r="W812" s="3">
        <f t="shared" si="135"/>
        <v>4500</v>
      </c>
      <c r="X812" s="5" t="str">
        <f t="shared" si="136"/>
        <v/>
      </c>
      <c r="Y812" s="5">
        <f>IF(U812="Open",Lookups!$B$2-B812,X812)</f>
        <v>48</v>
      </c>
      <c r="Z812" t="str">
        <f t="shared" si="137"/>
        <v>STALE</v>
      </c>
      <c r="AA812" t="str">
        <f t="shared" si="138"/>
        <v>2026-07</v>
      </c>
      <c r="AB812" t="str">
        <f t="shared" si="139"/>
        <v/>
      </c>
      <c r="AC812" t="str">
        <f t="shared" si="140"/>
        <v>Q3-2026</v>
      </c>
      <c r="AD812" s="5">
        <f t="shared" si="141"/>
        <v>51</v>
      </c>
      <c r="AE812" t="str">
        <f t="shared" si="142"/>
        <v>Pipeline</v>
      </c>
    </row>
    <row r="813" spans="1:31">
      <c r="A813" t="s">
        <v>915</v>
      </c>
      <c r="B813" s="1">
        <v>45742</v>
      </c>
      <c r="C813" t="s">
        <v>148</v>
      </c>
      <c r="D813" t="s">
        <v>43</v>
      </c>
      <c r="E813" t="s">
        <v>51</v>
      </c>
      <c r="F813" t="s">
        <v>67</v>
      </c>
      <c r="G813" t="s">
        <v>99</v>
      </c>
      <c r="H813" t="s">
        <v>47</v>
      </c>
      <c r="I813" t="s">
        <v>61</v>
      </c>
      <c r="J813" s="1">
        <v>45794</v>
      </c>
      <c r="K813" s="1">
        <v>45794</v>
      </c>
      <c r="L813" s="3">
        <v>30100</v>
      </c>
      <c r="M813" s="4">
        <v>0</v>
      </c>
      <c r="N813" s="4">
        <v>0</v>
      </c>
      <c r="O813" t="s">
        <v>116</v>
      </c>
      <c r="P813">
        <v>5</v>
      </c>
      <c r="Q813" t="str">
        <f>IFERROR(VLOOKUP(E813,Lookups!$A$5:$B$24,2,FALSE),"Other")</f>
        <v>Paid Search</v>
      </c>
      <c r="R813" t="str">
        <f>IFERROR(VLOOKUP(F813,Lookups!$D$5:$F$10,2,FALSE),"Unknown Product")</f>
        <v>Revenue Operations Suite</v>
      </c>
      <c r="S813" t="str">
        <f>IFERROR(VLOOKUP(F813,Lookups!$D$5:$F$10,3,FALSE),"Unknown")</f>
        <v>Revenue Ops</v>
      </c>
      <c r="T813" t="str">
        <f t="shared" si="132"/>
        <v>Mid-Market</v>
      </c>
      <c r="U813" t="str">
        <f t="shared" si="133"/>
        <v>Lost</v>
      </c>
      <c r="V813" s="3">
        <f t="shared" si="134"/>
        <v>0</v>
      </c>
      <c r="W813" s="3">
        <f t="shared" si="135"/>
        <v>0</v>
      </c>
      <c r="X813" s="5">
        <f t="shared" si="136"/>
        <v>52</v>
      </c>
      <c r="Y813" s="5">
        <f>IF(U813="Open",Lookups!$B$2-B813,X813)</f>
        <v>52</v>
      </c>
      <c r="Z813" t="str">
        <f t="shared" si="137"/>
        <v>OK</v>
      </c>
      <c r="AA813" t="str">
        <f t="shared" si="138"/>
        <v>2025-03</v>
      </c>
      <c r="AB813" t="str">
        <f t="shared" si="139"/>
        <v>2025-05</v>
      </c>
      <c r="AC813" t="str">
        <f t="shared" si="140"/>
        <v>Q1-2025</v>
      </c>
      <c r="AD813" s="5">
        <f t="shared" si="141"/>
        <v>51</v>
      </c>
      <c r="AE813" t="str">
        <f t="shared" si="142"/>
        <v>Lost</v>
      </c>
    </row>
    <row r="814" spans="1:31">
      <c r="A814" t="s">
        <v>916</v>
      </c>
      <c r="B814" s="1">
        <v>45766</v>
      </c>
      <c r="C814" t="s">
        <v>64</v>
      </c>
      <c r="D814" t="s">
        <v>57</v>
      </c>
      <c r="E814" t="s">
        <v>96</v>
      </c>
      <c r="F814" t="s">
        <v>133</v>
      </c>
      <c r="G814" t="s">
        <v>94</v>
      </c>
      <c r="H814" t="s">
        <v>47</v>
      </c>
      <c r="I814" t="s">
        <v>77</v>
      </c>
      <c r="J814" s="1">
        <v>45808</v>
      </c>
      <c r="K814" s="1">
        <v>45808</v>
      </c>
      <c r="L814" s="3">
        <v>25300</v>
      </c>
      <c r="M814" s="4">
        <v>0.08</v>
      </c>
      <c r="N814" s="4">
        <v>1</v>
      </c>
      <c r="P814">
        <v>6</v>
      </c>
      <c r="Q814" t="str">
        <f>IFERROR(VLOOKUP(E814,Lookups!$A$5:$B$24,2,FALSE),"Other")</f>
        <v>LinkedIn</v>
      </c>
      <c r="R814" t="str">
        <f>IFERROR(VLOOKUP(F814,Lookups!$D$5:$F$10,2,FALSE),"Unknown Product")</f>
        <v>Analytics Plus</v>
      </c>
      <c r="S814" t="str">
        <f>IFERROR(VLOOKUP(F814,Lookups!$D$5:$F$10,3,FALSE),"Unknown")</f>
        <v>Analytics</v>
      </c>
      <c r="T814" t="str">
        <f t="shared" si="132"/>
        <v>Mid-Market</v>
      </c>
      <c r="U814" t="str">
        <f t="shared" si="133"/>
        <v>Won</v>
      </c>
      <c r="V814" s="3">
        <f t="shared" si="134"/>
        <v>23276</v>
      </c>
      <c r="W814" s="3">
        <f t="shared" si="135"/>
        <v>0</v>
      </c>
      <c r="X814" s="5">
        <f t="shared" si="136"/>
        <v>42</v>
      </c>
      <c r="Y814" s="5">
        <f>IF(U814="Open",Lookups!$B$2-B814,X814)</f>
        <v>42</v>
      </c>
      <c r="Z814" t="str">
        <f t="shared" si="137"/>
        <v>OK</v>
      </c>
      <c r="AA814" t="str">
        <f t="shared" si="138"/>
        <v>2025-04</v>
      </c>
      <c r="AB814" t="str">
        <f t="shared" si="139"/>
        <v>2025-05</v>
      </c>
      <c r="AC814" t="str">
        <f t="shared" si="140"/>
        <v>Q2-2025</v>
      </c>
      <c r="AD814" s="5">
        <f t="shared" si="141"/>
        <v>51</v>
      </c>
      <c r="AE814" t="str">
        <f t="shared" si="142"/>
        <v>Won</v>
      </c>
    </row>
    <row r="815" spans="1:31">
      <c r="A815" t="s">
        <v>917</v>
      </c>
      <c r="B815" s="1">
        <v>45672</v>
      </c>
      <c r="C815" t="s">
        <v>86</v>
      </c>
      <c r="D815" t="s">
        <v>87</v>
      </c>
      <c r="E815" t="s">
        <v>107</v>
      </c>
      <c r="F815" t="s">
        <v>52</v>
      </c>
      <c r="G815" t="s">
        <v>112</v>
      </c>
      <c r="H815" t="s">
        <v>53</v>
      </c>
      <c r="I815" t="s">
        <v>61</v>
      </c>
      <c r="J815" s="1">
        <v>45680</v>
      </c>
      <c r="K815" s="1">
        <v>45680</v>
      </c>
      <c r="L815" s="3">
        <v>12700</v>
      </c>
      <c r="M815" s="4">
        <v>0</v>
      </c>
      <c r="N815" s="4">
        <v>0</v>
      </c>
      <c r="O815" t="s">
        <v>81</v>
      </c>
      <c r="P815">
        <v>3</v>
      </c>
      <c r="Q815" t="str">
        <f>IFERROR(VLOOKUP(E815,Lookups!$A$5:$B$24,2,FALSE),"Other")</f>
        <v>Referral</v>
      </c>
      <c r="R815" t="str">
        <f>IFERROR(VLOOKUP(F815,Lookups!$D$5:$F$10,2,FALSE),"Unknown Product")</f>
        <v>NexaCRM Core</v>
      </c>
      <c r="S815" t="str">
        <f>IFERROR(VLOOKUP(F815,Lookups!$D$5:$F$10,3,FALSE),"Unknown")</f>
        <v>CRM</v>
      </c>
      <c r="T815" t="str">
        <f t="shared" si="132"/>
        <v>SMB</v>
      </c>
      <c r="U815" t="str">
        <f t="shared" si="133"/>
        <v>Lost</v>
      </c>
      <c r="V815" s="3">
        <f t="shared" si="134"/>
        <v>0</v>
      </c>
      <c r="W815" s="3">
        <f t="shared" si="135"/>
        <v>0</v>
      </c>
      <c r="X815" s="5">
        <f t="shared" si="136"/>
        <v>8</v>
      </c>
      <c r="Y815" s="5">
        <f>IF(U815="Open",Lookups!$B$2-B815,X815)</f>
        <v>8</v>
      </c>
      <c r="Z815" t="str">
        <f t="shared" si="137"/>
        <v>OK</v>
      </c>
      <c r="AA815" t="str">
        <f t="shared" si="138"/>
        <v>2025-01</v>
      </c>
      <c r="AB815" t="str">
        <f t="shared" si="139"/>
        <v>2025-01</v>
      </c>
      <c r="AC815" t="str">
        <f t="shared" si="140"/>
        <v>Q1-2025</v>
      </c>
      <c r="AD815" s="5">
        <f t="shared" si="141"/>
        <v>67</v>
      </c>
      <c r="AE815" t="str">
        <f t="shared" si="142"/>
        <v>Lost</v>
      </c>
    </row>
    <row r="816" spans="1:31">
      <c r="A816" t="s">
        <v>918</v>
      </c>
      <c r="B816" s="1">
        <v>46080</v>
      </c>
      <c r="C816" t="s">
        <v>86</v>
      </c>
      <c r="D816" t="s">
        <v>87</v>
      </c>
      <c r="E816" t="s">
        <v>107</v>
      </c>
      <c r="F816" t="s">
        <v>133</v>
      </c>
      <c r="G816" t="s">
        <v>112</v>
      </c>
      <c r="H816" t="s">
        <v>53</v>
      </c>
      <c r="I816" t="s">
        <v>61</v>
      </c>
      <c r="J816" s="1">
        <v>46154</v>
      </c>
      <c r="K816" s="1">
        <v>46154</v>
      </c>
      <c r="L816" s="3">
        <v>35500</v>
      </c>
      <c r="M816" s="4">
        <v>0</v>
      </c>
      <c r="N816" s="4">
        <v>0</v>
      </c>
      <c r="O816" t="s">
        <v>62</v>
      </c>
      <c r="P816">
        <v>3</v>
      </c>
      <c r="Q816" t="str">
        <f>IFERROR(VLOOKUP(E816,Lookups!$A$5:$B$24,2,FALSE),"Other")</f>
        <v>Referral</v>
      </c>
      <c r="R816" t="str">
        <f>IFERROR(VLOOKUP(F816,Lookups!$D$5:$F$10,2,FALSE),"Unknown Product")</f>
        <v>Analytics Plus</v>
      </c>
      <c r="S816" t="str">
        <f>IFERROR(VLOOKUP(F816,Lookups!$D$5:$F$10,3,FALSE),"Unknown")</f>
        <v>Analytics</v>
      </c>
      <c r="T816" t="str">
        <f t="shared" si="132"/>
        <v>Mid-Market</v>
      </c>
      <c r="U816" t="str">
        <f t="shared" si="133"/>
        <v>Lost</v>
      </c>
      <c r="V816" s="3">
        <f t="shared" si="134"/>
        <v>0</v>
      </c>
      <c r="W816" s="3">
        <f t="shared" si="135"/>
        <v>0</v>
      </c>
      <c r="X816" s="5">
        <f t="shared" si="136"/>
        <v>74</v>
      </c>
      <c r="Y816" s="5">
        <f>IF(U816="Open",Lookups!$B$2-B816,X816)</f>
        <v>74</v>
      </c>
      <c r="Z816" t="str">
        <f t="shared" si="137"/>
        <v>OK</v>
      </c>
      <c r="AA816" t="str">
        <f t="shared" si="138"/>
        <v>2026-02</v>
      </c>
      <c r="AB816" t="str">
        <f t="shared" si="139"/>
        <v>2026-05</v>
      </c>
      <c r="AC816" t="str">
        <f t="shared" si="140"/>
        <v>Q1-2026</v>
      </c>
      <c r="AD816" s="5">
        <f t="shared" si="141"/>
        <v>75</v>
      </c>
      <c r="AE816" t="str">
        <f t="shared" si="142"/>
        <v>Lost</v>
      </c>
    </row>
    <row r="817" spans="1:31">
      <c r="A817" t="s">
        <v>919</v>
      </c>
      <c r="B817" s="1">
        <v>45829</v>
      </c>
      <c r="C817" t="s">
        <v>42</v>
      </c>
      <c r="D817" t="s">
        <v>43</v>
      </c>
      <c r="E817" t="s">
        <v>65</v>
      </c>
      <c r="F817" t="s">
        <v>52</v>
      </c>
      <c r="G817" t="s">
        <v>99</v>
      </c>
      <c r="H817" t="s">
        <v>47</v>
      </c>
      <c r="I817" t="s">
        <v>61</v>
      </c>
      <c r="J817" s="1">
        <v>45898</v>
      </c>
      <c r="K817" s="1">
        <v>45898</v>
      </c>
      <c r="L817" s="3">
        <v>5800</v>
      </c>
      <c r="M817" s="4">
        <v>0</v>
      </c>
      <c r="N817" s="4">
        <v>0</v>
      </c>
      <c r="O817" t="s">
        <v>81</v>
      </c>
      <c r="P817">
        <v>3</v>
      </c>
      <c r="Q817" t="str">
        <f>IFERROR(VLOOKUP(E817,Lookups!$A$5:$B$24,2,FALSE),"Other")</f>
        <v>Paid Search</v>
      </c>
      <c r="R817" t="str">
        <f>IFERROR(VLOOKUP(F817,Lookups!$D$5:$F$10,2,FALSE),"Unknown Product")</f>
        <v>NexaCRM Core</v>
      </c>
      <c r="S817" t="str">
        <f>IFERROR(VLOOKUP(F817,Lookups!$D$5:$F$10,3,FALSE),"Unknown")</f>
        <v>CRM</v>
      </c>
      <c r="T817" t="str">
        <f t="shared" si="132"/>
        <v>SMB</v>
      </c>
      <c r="U817" t="str">
        <f t="shared" si="133"/>
        <v>Lost</v>
      </c>
      <c r="V817" s="3">
        <f t="shared" si="134"/>
        <v>0</v>
      </c>
      <c r="W817" s="3">
        <f t="shared" si="135"/>
        <v>0</v>
      </c>
      <c r="X817" s="5">
        <f t="shared" si="136"/>
        <v>69</v>
      </c>
      <c r="Y817" s="5">
        <f>IF(U817="Open",Lookups!$B$2-B817,X817)</f>
        <v>69</v>
      </c>
      <c r="Z817" t="str">
        <f t="shared" si="137"/>
        <v>OK</v>
      </c>
      <c r="AA817" t="str">
        <f t="shared" si="138"/>
        <v>2025-06</v>
      </c>
      <c r="AB817" t="str">
        <f t="shared" si="139"/>
        <v>2025-08</v>
      </c>
      <c r="AC817" t="str">
        <f t="shared" si="140"/>
        <v>Q2-2025</v>
      </c>
      <c r="AD817" s="5">
        <f t="shared" si="141"/>
        <v>43</v>
      </c>
      <c r="AE817" t="str">
        <f t="shared" si="142"/>
        <v>Lost</v>
      </c>
    </row>
    <row r="818" spans="1:31">
      <c r="A818" t="s">
        <v>920</v>
      </c>
      <c r="B818" s="1">
        <v>45691</v>
      </c>
      <c r="C818" t="s">
        <v>56</v>
      </c>
      <c r="D818" t="s">
        <v>57</v>
      </c>
      <c r="E818" t="s">
        <v>138</v>
      </c>
      <c r="F818" t="s">
        <v>52</v>
      </c>
      <c r="G818" t="s">
        <v>60</v>
      </c>
      <c r="H818" t="s">
        <v>47</v>
      </c>
      <c r="I818" t="s">
        <v>61</v>
      </c>
      <c r="J818" s="1">
        <v>45742</v>
      </c>
      <c r="K818" s="1">
        <v>45742</v>
      </c>
      <c r="L818" s="3">
        <v>8000</v>
      </c>
      <c r="M818" s="4">
        <v>0</v>
      </c>
      <c r="N818" s="4">
        <v>0</v>
      </c>
      <c r="O818" t="s">
        <v>102</v>
      </c>
      <c r="P818">
        <v>5</v>
      </c>
      <c r="Q818" t="str">
        <f>IFERROR(VLOOKUP(E818,Lookups!$A$5:$B$24,2,FALSE),"Other")</f>
        <v>Organic Search</v>
      </c>
      <c r="R818" t="str">
        <f>IFERROR(VLOOKUP(F818,Lookups!$D$5:$F$10,2,FALSE),"Unknown Product")</f>
        <v>NexaCRM Core</v>
      </c>
      <c r="S818" t="str">
        <f>IFERROR(VLOOKUP(F818,Lookups!$D$5:$F$10,3,FALSE),"Unknown")</f>
        <v>CRM</v>
      </c>
      <c r="T818" t="str">
        <f t="shared" si="132"/>
        <v>SMB</v>
      </c>
      <c r="U818" t="str">
        <f t="shared" si="133"/>
        <v>Lost</v>
      </c>
      <c r="V818" s="3">
        <f t="shared" si="134"/>
        <v>0</v>
      </c>
      <c r="W818" s="3">
        <f t="shared" si="135"/>
        <v>0</v>
      </c>
      <c r="X818" s="5">
        <f t="shared" si="136"/>
        <v>51</v>
      </c>
      <c r="Y818" s="5">
        <f>IF(U818="Open",Lookups!$B$2-B818,X818)</f>
        <v>51</v>
      </c>
      <c r="Z818" t="str">
        <f t="shared" si="137"/>
        <v>OK</v>
      </c>
      <c r="AA818" t="str">
        <f t="shared" si="138"/>
        <v>2025-02</v>
      </c>
      <c r="AB818" t="str">
        <f t="shared" si="139"/>
        <v>2025-03</v>
      </c>
      <c r="AC818" t="str">
        <f t="shared" si="140"/>
        <v>Q1-2025</v>
      </c>
      <c r="AD818" s="5">
        <f t="shared" si="141"/>
        <v>49</v>
      </c>
      <c r="AE818" t="str">
        <f t="shared" si="142"/>
        <v>Lost</v>
      </c>
    </row>
    <row r="819" spans="1:31">
      <c r="A819" t="s">
        <v>921</v>
      </c>
      <c r="B819" s="1">
        <v>46040</v>
      </c>
      <c r="C819" t="s">
        <v>148</v>
      </c>
      <c r="D819" t="s">
        <v>43</v>
      </c>
      <c r="E819" t="s">
        <v>127</v>
      </c>
      <c r="F819" t="s">
        <v>71</v>
      </c>
      <c r="G819" t="s">
        <v>94</v>
      </c>
      <c r="H819" t="s">
        <v>53</v>
      </c>
      <c r="I819" t="s">
        <v>61</v>
      </c>
      <c r="J819" s="1">
        <v>46081</v>
      </c>
      <c r="K819" s="1">
        <v>46081</v>
      </c>
      <c r="L819" s="3">
        <v>31800</v>
      </c>
      <c r="M819" s="4">
        <v>0</v>
      </c>
      <c r="N819" s="4">
        <v>0</v>
      </c>
      <c r="O819" t="s">
        <v>79</v>
      </c>
      <c r="P819">
        <v>5</v>
      </c>
      <c r="Q819" t="str">
        <f>IFERROR(VLOOKUP(E819,Lookups!$A$5:$B$24,2,FALSE),"Other")</f>
        <v>Paid Search</v>
      </c>
      <c r="R819" t="str">
        <f>IFERROR(VLOOKUP(F819,Lookups!$D$5:$F$10,2,FALSE),"Unknown Product")</f>
        <v>Marketing Automation</v>
      </c>
      <c r="S819" t="str">
        <f>IFERROR(VLOOKUP(F819,Lookups!$D$5:$F$10,3,FALSE),"Unknown")</f>
        <v>Marketing</v>
      </c>
      <c r="T819" t="str">
        <f t="shared" si="132"/>
        <v>Mid-Market</v>
      </c>
      <c r="U819" t="str">
        <f t="shared" si="133"/>
        <v>Lost</v>
      </c>
      <c r="V819" s="3">
        <f t="shared" si="134"/>
        <v>0</v>
      </c>
      <c r="W819" s="3">
        <f t="shared" si="135"/>
        <v>0</v>
      </c>
      <c r="X819" s="5">
        <f t="shared" si="136"/>
        <v>41</v>
      </c>
      <c r="Y819" s="5">
        <f>IF(U819="Open",Lookups!$B$2-B819,X819)</f>
        <v>41</v>
      </c>
      <c r="Z819" t="str">
        <f t="shared" si="137"/>
        <v>OK</v>
      </c>
      <c r="AA819" t="str">
        <f t="shared" si="138"/>
        <v>2026-01</v>
      </c>
      <c r="AB819" t="str">
        <f t="shared" si="139"/>
        <v>2026-02</v>
      </c>
      <c r="AC819" t="str">
        <f t="shared" si="140"/>
        <v>Q1-2026</v>
      </c>
      <c r="AD819" s="5">
        <f t="shared" si="141"/>
        <v>59</v>
      </c>
      <c r="AE819" t="str">
        <f t="shared" si="142"/>
        <v>Lost</v>
      </c>
    </row>
    <row r="820" spans="1:31">
      <c r="A820" t="s">
        <v>922</v>
      </c>
      <c r="B820" s="1">
        <v>46109</v>
      </c>
      <c r="C820" t="s">
        <v>69</v>
      </c>
      <c r="D820" t="s">
        <v>57</v>
      </c>
      <c r="E820" t="s">
        <v>75</v>
      </c>
      <c r="F820" t="s">
        <v>67</v>
      </c>
      <c r="G820" t="s">
        <v>46</v>
      </c>
      <c r="H820" t="s">
        <v>53</v>
      </c>
      <c r="I820" t="s">
        <v>61</v>
      </c>
      <c r="J820" s="1">
        <v>46143</v>
      </c>
      <c r="K820" s="1">
        <v>46143</v>
      </c>
      <c r="L820" s="3">
        <v>87200</v>
      </c>
      <c r="M820" s="4">
        <v>0</v>
      </c>
      <c r="N820" s="4">
        <v>0</v>
      </c>
      <c r="O820" t="s">
        <v>81</v>
      </c>
      <c r="P820">
        <v>2</v>
      </c>
      <c r="Q820" t="str">
        <f>IFERROR(VLOOKUP(E820,Lookups!$A$5:$B$24,2,FALSE),"Other")</f>
        <v>Webinar</v>
      </c>
      <c r="R820" t="str">
        <f>IFERROR(VLOOKUP(F820,Lookups!$D$5:$F$10,2,FALSE),"Unknown Product")</f>
        <v>Revenue Operations Suite</v>
      </c>
      <c r="S820" t="str">
        <f>IFERROR(VLOOKUP(F820,Lookups!$D$5:$F$10,3,FALSE),"Unknown")</f>
        <v>Revenue Ops</v>
      </c>
      <c r="T820" t="str">
        <f t="shared" si="132"/>
        <v>Enterprise</v>
      </c>
      <c r="U820" t="str">
        <f t="shared" si="133"/>
        <v>Lost</v>
      </c>
      <c r="V820" s="3">
        <f t="shared" si="134"/>
        <v>0</v>
      </c>
      <c r="W820" s="3">
        <f t="shared" si="135"/>
        <v>0</v>
      </c>
      <c r="X820" s="5">
        <f t="shared" si="136"/>
        <v>34</v>
      </c>
      <c r="Y820" s="5">
        <f>IF(U820="Open",Lookups!$B$2-B820,X820)</f>
        <v>34</v>
      </c>
      <c r="Z820" t="str">
        <f t="shared" si="137"/>
        <v>OK</v>
      </c>
      <c r="AA820" t="str">
        <f t="shared" si="138"/>
        <v>2026-03</v>
      </c>
      <c r="AB820" t="str">
        <f t="shared" si="139"/>
        <v>2026-05</v>
      </c>
      <c r="AC820" t="str">
        <f t="shared" si="140"/>
        <v>Q1-2026</v>
      </c>
      <c r="AD820" s="5">
        <f t="shared" si="141"/>
        <v>66</v>
      </c>
      <c r="AE820" t="str">
        <f t="shared" si="142"/>
        <v>Lost</v>
      </c>
    </row>
    <row r="821" spans="1:31">
      <c r="A821" t="s">
        <v>923</v>
      </c>
      <c r="B821" s="1">
        <v>45807</v>
      </c>
      <c r="C821" t="s">
        <v>86</v>
      </c>
      <c r="D821" t="s">
        <v>87</v>
      </c>
      <c r="E821" t="s">
        <v>51</v>
      </c>
      <c r="F821" t="s">
        <v>133</v>
      </c>
      <c r="G821" t="s">
        <v>94</v>
      </c>
      <c r="H821" t="s">
        <v>53</v>
      </c>
      <c r="I821" t="s">
        <v>61</v>
      </c>
      <c r="J821" s="1">
        <v>45831</v>
      </c>
      <c r="K821" s="1">
        <v>45831</v>
      </c>
      <c r="L821" s="3">
        <v>31500</v>
      </c>
      <c r="M821" s="4">
        <v>0</v>
      </c>
      <c r="N821" s="4">
        <v>0</v>
      </c>
      <c r="O821" t="s">
        <v>79</v>
      </c>
      <c r="P821">
        <v>3</v>
      </c>
      <c r="Q821" t="str">
        <f>IFERROR(VLOOKUP(E821,Lookups!$A$5:$B$24,2,FALSE),"Other")</f>
        <v>Paid Search</v>
      </c>
      <c r="R821" t="str">
        <f>IFERROR(VLOOKUP(F821,Lookups!$D$5:$F$10,2,FALSE),"Unknown Product")</f>
        <v>Analytics Plus</v>
      </c>
      <c r="S821" t="str">
        <f>IFERROR(VLOOKUP(F821,Lookups!$D$5:$F$10,3,FALSE),"Unknown")</f>
        <v>Analytics</v>
      </c>
      <c r="T821" t="str">
        <f t="shared" si="132"/>
        <v>Mid-Market</v>
      </c>
      <c r="U821" t="str">
        <f t="shared" si="133"/>
        <v>Lost</v>
      </c>
      <c r="V821" s="3">
        <f t="shared" si="134"/>
        <v>0</v>
      </c>
      <c r="W821" s="3">
        <f t="shared" si="135"/>
        <v>0</v>
      </c>
      <c r="X821" s="5">
        <f t="shared" si="136"/>
        <v>24</v>
      </c>
      <c r="Y821" s="5">
        <f>IF(U821="Open",Lookups!$B$2-B821,X821)</f>
        <v>24</v>
      </c>
      <c r="Z821" t="str">
        <f t="shared" si="137"/>
        <v>OK</v>
      </c>
      <c r="AA821" t="str">
        <f t="shared" si="138"/>
        <v>2025-05</v>
      </c>
      <c r="AB821" t="str">
        <f t="shared" si="139"/>
        <v>2025-06</v>
      </c>
      <c r="AC821" t="str">
        <f t="shared" si="140"/>
        <v>Q2-2025</v>
      </c>
      <c r="AD821" s="5">
        <f t="shared" si="141"/>
        <v>59</v>
      </c>
      <c r="AE821" t="str">
        <f t="shared" si="142"/>
        <v>Lost</v>
      </c>
    </row>
    <row r="822" spans="1:31">
      <c r="A822" t="s">
        <v>924</v>
      </c>
      <c r="B822" s="1">
        <v>46178</v>
      </c>
      <c r="C822" t="s">
        <v>64</v>
      </c>
      <c r="D822" t="s">
        <v>57</v>
      </c>
      <c r="E822" t="s">
        <v>58</v>
      </c>
      <c r="F822" t="s">
        <v>52</v>
      </c>
      <c r="G822" t="s">
        <v>112</v>
      </c>
      <c r="H822" t="s">
        <v>84</v>
      </c>
      <c r="I822" t="s">
        <v>61</v>
      </c>
      <c r="J822" s="1">
        <v>46202</v>
      </c>
      <c r="K822" s="1">
        <v>46202</v>
      </c>
      <c r="L822" s="3">
        <v>28900</v>
      </c>
      <c r="M822" s="4">
        <v>0</v>
      </c>
      <c r="N822" s="4">
        <v>0</v>
      </c>
      <c r="O822" t="s">
        <v>110</v>
      </c>
      <c r="P822">
        <v>4</v>
      </c>
      <c r="Q822" t="str">
        <f>IFERROR(VLOOKUP(E822,Lookups!$A$5:$B$24,2,FALSE),"Other")</f>
        <v>Email</v>
      </c>
      <c r="R822" t="str">
        <f>IFERROR(VLOOKUP(F822,Lookups!$D$5:$F$10,2,FALSE),"Unknown Product")</f>
        <v>NexaCRM Core</v>
      </c>
      <c r="S822" t="str">
        <f>IFERROR(VLOOKUP(F822,Lookups!$D$5:$F$10,3,FALSE),"Unknown")</f>
        <v>CRM</v>
      </c>
      <c r="T822" t="str">
        <f t="shared" si="132"/>
        <v>Mid-Market</v>
      </c>
      <c r="U822" t="str">
        <f t="shared" si="133"/>
        <v>Lost</v>
      </c>
      <c r="V822" s="3">
        <f t="shared" si="134"/>
        <v>0</v>
      </c>
      <c r="W822" s="3">
        <f t="shared" si="135"/>
        <v>0</v>
      </c>
      <c r="X822" s="5">
        <f t="shared" si="136"/>
        <v>24</v>
      </c>
      <c r="Y822" s="5">
        <f>IF(U822="Open",Lookups!$B$2-B822,X822)</f>
        <v>24</v>
      </c>
      <c r="Z822" t="str">
        <f t="shared" si="137"/>
        <v>OK</v>
      </c>
      <c r="AA822" t="str">
        <f t="shared" si="138"/>
        <v>2026-06</v>
      </c>
      <c r="AB822" t="str">
        <f t="shared" si="139"/>
        <v>2026-06</v>
      </c>
      <c r="AC822" t="str">
        <f t="shared" si="140"/>
        <v>Q2-2026</v>
      </c>
      <c r="AD822" s="5">
        <f t="shared" si="141"/>
        <v>76</v>
      </c>
      <c r="AE822" t="str">
        <f t="shared" si="142"/>
        <v>Lost</v>
      </c>
    </row>
    <row r="823" spans="1:31">
      <c r="A823" t="s">
        <v>925</v>
      </c>
      <c r="B823" s="1">
        <v>45917</v>
      </c>
      <c r="C823" t="s">
        <v>86</v>
      </c>
      <c r="D823" t="s">
        <v>87</v>
      </c>
      <c r="E823" t="s">
        <v>127</v>
      </c>
      <c r="F823" t="s">
        <v>59</v>
      </c>
      <c r="G823" t="s">
        <v>76</v>
      </c>
      <c r="H823" t="s">
        <v>47</v>
      </c>
      <c r="I823" t="s">
        <v>61</v>
      </c>
      <c r="J823" s="1">
        <v>45948</v>
      </c>
      <c r="K823" s="1">
        <v>45948</v>
      </c>
      <c r="L823" s="3">
        <v>22900</v>
      </c>
      <c r="M823" s="4">
        <v>0</v>
      </c>
      <c r="N823" s="4">
        <v>0</v>
      </c>
      <c r="O823" t="s">
        <v>102</v>
      </c>
      <c r="P823">
        <v>5</v>
      </c>
      <c r="Q823" t="str">
        <f>IFERROR(VLOOKUP(E823,Lookups!$A$5:$B$24,2,FALSE),"Other")</f>
        <v>Paid Search</v>
      </c>
      <c r="R823" t="str">
        <f>IFERROR(VLOOKUP(F823,Lookups!$D$5:$F$10,2,FALSE),"Unknown Product")</f>
        <v>NexaCRM Pro</v>
      </c>
      <c r="S823" t="str">
        <f>IFERROR(VLOOKUP(F823,Lookups!$D$5:$F$10,3,FALSE),"Unknown")</f>
        <v>CRM</v>
      </c>
      <c r="T823" t="str">
        <f t="shared" si="132"/>
        <v>Mid-Market</v>
      </c>
      <c r="U823" t="str">
        <f t="shared" si="133"/>
        <v>Lost</v>
      </c>
      <c r="V823" s="3">
        <f t="shared" si="134"/>
        <v>0</v>
      </c>
      <c r="W823" s="3">
        <f t="shared" si="135"/>
        <v>0</v>
      </c>
      <c r="X823" s="5">
        <f t="shared" si="136"/>
        <v>31</v>
      </c>
      <c r="Y823" s="5">
        <f>IF(U823="Open",Lookups!$B$2-B823,X823)</f>
        <v>31</v>
      </c>
      <c r="Z823" t="str">
        <f t="shared" si="137"/>
        <v>OK</v>
      </c>
      <c r="AA823" t="str">
        <f t="shared" si="138"/>
        <v>2025-09</v>
      </c>
      <c r="AB823" t="str">
        <f t="shared" si="139"/>
        <v>2025-10</v>
      </c>
      <c r="AC823" t="str">
        <f t="shared" si="140"/>
        <v>Q3-2025</v>
      </c>
      <c r="AD823" s="5">
        <f t="shared" si="141"/>
        <v>51</v>
      </c>
      <c r="AE823" t="str">
        <f t="shared" si="142"/>
        <v>Lost</v>
      </c>
    </row>
    <row r="824" spans="1:31">
      <c r="A824" t="s">
        <v>926</v>
      </c>
      <c r="B824" s="1">
        <v>46124</v>
      </c>
      <c r="C824" t="s">
        <v>90</v>
      </c>
      <c r="D824" t="s">
        <v>57</v>
      </c>
      <c r="E824" t="s">
        <v>98</v>
      </c>
      <c r="F824" t="s">
        <v>59</v>
      </c>
      <c r="G824" t="s">
        <v>99</v>
      </c>
      <c r="H824" t="s">
        <v>47</v>
      </c>
      <c r="I824" t="s">
        <v>61</v>
      </c>
      <c r="J824" s="1">
        <v>46196</v>
      </c>
      <c r="K824" s="1">
        <v>46196</v>
      </c>
      <c r="L824" s="3">
        <v>22000</v>
      </c>
      <c r="M824" s="4">
        <v>0</v>
      </c>
      <c r="N824" s="4">
        <v>0</v>
      </c>
      <c r="O824" t="s">
        <v>81</v>
      </c>
      <c r="P824">
        <v>4</v>
      </c>
      <c r="Q824" t="str">
        <f>IFERROR(VLOOKUP(E824,Lookups!$A$5:$B$24,2,FALSE),"Other")</f>
        <v>Outbound</v>
      </c>
      <c r="R824" t="str">
        <f>IFERROR(VLOOKUP(F824,Lookups!$D$5:$F$10,2,FALSE),"Unknown Product")</f>
        <v>NexaCRM Pro</v>
      </c>
      <c r="S824" t="str">
        <f>IFERROR(VLOOKUP(F824,Lookups!$D$5:$F$10,3,FALSE),"Unknown")</f>
        <v>CRM</v>
      </c>
      <c r="T824" t="str">
        <f t="shared" si="132"/>
        <v>Mid-Market</v>
      </c>
      <c r="U824" t="str">
        <f t="shared" si="133"/>
        <v>Lost</v>
      </c>
      <c r="V824" s="3">
        <f t="shared" si="134"/>
        <v>0</v>
      </c>
      <c r="W824" s="3">
        <f t="shared" si="135"/>
        <v>0</v>
      </c>
      <c r="X824" s="5">
        <f t="shared" si="136"/>
        <v>72</v>
      </c>
      <c r="Y824" s="5">
        <f>IF(U824="Open",Lookups!$B$2-B824,X824)</f>
        <v>72</v>
      </c>
      <c r="Z824" t="str">
        <f t="shared" si="137"/>
        <v>OK</v>
      </c>
      <c r="AA824" t="str">
        <f t="shared" si="138"/>
        <v>2026-04</v>
      </c>
      <c r="AB824" t="str">
        <f t="shared" si="139"/>
        <v>2026-06</v>
      </c>
      <c r="AC824" t="str">
        <f t="shared" si="140"/>
        <v>Q2-2026</v>
      </c>
      <c r="AD824" s="5">
        <f t="shared" si="141"/>
        <v>51</v>
      </c>
      <c r="AE824" t="str">
        <f t="shared" si="142"/>
        <v>Lost</v>
      </c>
    </row>
    <row r="825" spans="1:31">
      <c r="A825" t="s">
        <v>927</v>
      </c>
      <c r="B825" s="1">
        <v>45994</v>
      </c>
      <c r="C825" t="s">
        <v>50</v>
      </c>
      <c r="D825" t="s">
        <v>43</v>
      </c>
      <c r="E825" t="s">
        <v>75</v>
      </c>
      <c r="F825" t="s">
        <v>71</v>
      </c>
      <c r="G825" t="s">
        <v>46</v>
      </c>
      <c r="H825" t="s">
        <v>47</v>
      </c>
      <c r="I825" t="s">
        <v>61</v>
      </c>
      <c r="J825" s="1">
        <v>46050</v>
      </c>
      <c r="K825" s="1">
        <v>46050</v>
      </c>
      <c r="L825" s="3">
        <v>20700</v>
      </c>
      <c r="M825" s="4">
        <v>0</v>
      </c>
      <c r="N825" s="4">
        <v>0</v>
      </c>
      <c r="O825" t="s">
        <v>79</v>
      </c>
      <c r="P825">
        <v>3</v>
      </c>
      <c r="Q825" t="str">
        <f>IFERROR(VLOOKUP(E825,Lookups!$A$5:$B$24,2,FALSE),"Other")</f>
        <v>Webinar</v>
      </c>
      <c r="R825" t="str">
        <f>IFERROR(VLOOKUP(F825,Lookups!$D$5:$F$10,2,FALSE),"Unknown Product")</f>
        <v>Marketing Automation</v>
      </c>
      <c r="S825" t="str">
        <f>IFERROR(VLOOKUP(F825,Lookups!$D$5:$F$10,3,FALSE),"Unknown")</f>
        <v>Marketing</v>
      </c>
      <c r="T825" t="str">
        <f t="shared" si="132"/>
        <v>Mid-Market</v>
      </c>
      <c r="U825" t="str">
        <f t="shared" si="133"/>
        <v>Lost</v>
      </c>
      <c r="V825" s="3">
        <f t="shared" si="134"/>
        <v>0</v>
      </c>
      <c r="W825" s="3">
        <f t="shared" si="135"/>
        <v>0</v>
      </c>
      <c r="X825" s="5">
        <f t="shared" si="136"/>
        <v>56</v>
      </c>
      <c r="Y825" s="5">
        <f>IF(U825="Open",Lookups!$B$2-B825,X825)</f>
        <v>56</v>
      </c>
      <c r="Z825" t="str">
        <f t="shared" si="137"/>
        <v>OK</v>
      </c>
      <c r="AA825" t="str">
        <f t="shared" si="138"/>
        <v>2025-12</v>
      </c>
      <c r="AB825" t="str">
        <f t="shared" si="139"/>
        <v>2026-01</v>
      </c>
      <c r="AC825" t="str">
        <f t="shared" si="140"/>
        <v>Q4-2025</v>
      </c>
      <c r="AD825" s="5">
        <f t="shared" si="141"/>
        <v>51</v>
      </c>
      <c r="AE825" t="str">
        <f t="shared" si="142"/>
        <v>Lost</v>
      </c>
    </row>
    <row r="826" spans="1:31">
      <c r="A826" t="s">
        <v>928</v>
      </c>
      <c r="B826" s="1">
        <v>45920</v>
      </c>
      <c r="C826" t="s">
        <v>86</v>
      </c>
      <c r="D826" t="s">
        <v>87</v>
      </c>
      <c r="E826" t="s">
        <v>115</v>
      </c>
      <c r="F826" t="s">
        <v>133</v>
      </c>
      <c r="G826" t="s">
        <v>72</v>
      </c>
      <c r="H826" t="s">
        <v>53</v>
      </c>
      <c r="I826" t="s">
        <v>48</v>
      </c>
      <c r="J826" s="1">
        <v>46126</v>
      </c>
      <c r="K826" s="1"/>
      <c r="L826" s="3">
        <v>30700</v>
      </c>
      <c r="M826" s="4">
        <v>0</v>
      </c>
      <c r="N826" s="4">
        <v>0.85</v>
      </c>
      <c r="P826">
        <v>5</v>
      </c>
      <c r="Q826" t="str">
        <f>IFERROR(VLOOKUP(E826,Lookups!$A$5:$B$24,2,FALSE),"Other")</f>
        <v>Outbound</v>
      </c>
      <c r="R826" t="str">
        <f>IFERROR(VLOOKUP(F826,Lookups!$D$5:$F$10,2,FALSE),"Unknown Product")</f>
        <v>Analytics Plus</v>
      </c>
      <c r="S826" t="str">
        <f>IFERROR(VLOOKUP(F826,Lookups!$D$5:$F$10,3,FALSE),"Unknown")</f>
        <v>Analytics</v>
      </c>
      <c r="T826" t="str">
        <f t="shared" si="132"/>
        <v>Mid-Market</v>
      </c>
      <c r="U826" t="str">
        <f t="shared" si="133"/>
        <v>Open</v>
      </c>
      <c r="V826" s="3">
        <f t="shared" si="134"/>
        <v>0</v>
      </c>
      <c r="W826" s="3">
        <f t="shared" si="135"/>
        <v>26095</v>
      </c>
      <c r="X826" s="5" t="str">
        <f t="shared" si="136"/>
        <v/>
      </c>
      <c r="Y826" s="5">
        <f>IF(U826="Open",Lookups!$B$2-B826,X826)</f>
        <v>346</v>
      </c>
      <c r="Z826" t="str">
        <f t="shared" si="137"/>
        <v>STALE</v>
      </c>
      <c r="AA826" t="str">
        <f t="shared" si="138"/>
        <v>2025-09</v>
      </c>
      <c r="AB826" t="str">
        <f t="shared" si="139"/>
        <v/>
      </c>
      <c r="AC826" t="str">
        <f t="shared" si="140"/>
        <v>Q3-2025</v>
      </c>
      <c r="AD826" s="5">
        <f t="shared" si="141"/>
        <v>59</v>
      </c>
      <c r="AE826" t="str">
        <f t="shared" si="142"/>
        <v>Commit</v>
      </c>
    </row>
    <row r="827" spans="1:31">
      <c r="A827" t="s">
        <v>929</v>
      </c>
      <c r="B827" s="1">
        <v>45848</v>
      </c>
      <c r="C827" t="s">
        <v>50</v>
      </c>
      <c r="D827" t="s">
        <v>43</v>
      </c>
      <c r="E827" t="s">
        <v>166</v>
      </c>
      <c r="F827" t="s">
        <v>67</v>
      </c>
      <c r="G827" t="s">
        <v>76</v>
      </c>
      <c r="H827" t="s">
        <v>47</v>
      </c>
      <c r="I827" t="s">
        <v>61</v>
      </c>
      <c r="J827" s="1">
        <v>45867</v>
      </c>
      <c r="K827" s="1">
        <v>45867</v>
      </c>
      <c r="L827" s="3">
        <v>25500</v>
      </c>
      <c r="M827" s="4">
        <v>0</v>
      </c>
      <c r="N827" s="4">
        <v>0</v>
      </c>
      <c r="O827" t="s">
        <v>102</v>
      </c>
      <c r="P827">
        <v>3</v>
      </c>
      <c r="Q827" t="str">
        <f>IFERROR(VLOOKUP(E827,Lookups!$A$5:$B$24,2,FALSE),"Other")</f>
        <v>Referral</v>
      </c>
      <c r="R827" t="str">
        <f>IFERROR(VLOOKUP(F827,Lookups!$D$5:$F$10,2,FALSE),"Unknown Product")</f>
        <v>Revenue Operations Suite</v>
      </c>
      <c r="S827" t="str">
        <f>IFERROR(VLOOKUP(F827,Lookups!$D$5:$F$10,3,FALSE),"Unknown")</f>
        <v>Revenue Ops</v>
      </c>
      <c r="T827" t="str">
        <f t="shared" si="132"/>
        <v>Mid-Market</v>
      </c>
      <c r="U827" t="str">
        <f t="shared" si="133"/>
        <v>Lost</v>
      </c>
      <c r="V827" s="3">
        <f t="shared" si="134"/>
        <v>0</v>
      </c>
      <c r="W827" s="3">
        <f t="shared" si="135"/>
        <v>0</v>
      </c>
      <c r="X827" s="5">
        <f t="shared" si="136"/>
        <v>19</v>
      </c>
      <c r="Y827" s="5">
        <f>IF(U827="Open",Lookups!$B$2-B827,X827)</f>
        <v>19</v>
      </c>
      <c r="Z827" t="str">
        <f t="shared" si="137"/>
        <v>OK</v>
      </c>
      <c r="AA827" t="str">
        <f t="shared" si="138"/>
        <v>2025-07</v>
      </c>
      <c r="AB827" t="str">
        <f t="shared" si="139"/>
        <v>2025-07</v>
      </c>
      <c r="AC827" t="str">
        <f t="shared" si="140"/>
        <v>Q3-2025</v>
      </c>
      <c r="AD827" s="5">
        <f t="shared" si="141"/>
        <v>62</v>
      </c>
      <c r="AE827" t="str">
        <f t="shared" si="142"/>
        <v>Lost</v>
      </c>
    </row>
    <row r="828" spans="1:31">
      <c r="A828" t="s">
        <v>930</v>
      </c>
      <c r="B828" s="1">
        <v>45897</v>
      </c>
      <c r="C828" t="s">
        <v>90</v>
      </c>
      <c r="D828" t="s">
        <v>57</v>
      </c>
      <c r="E828" t="s">
        <v>75</v>
      </c>
      <c r="F828" t="s">
        <v>52</v>
      </c>
      <c r="G828" t="s">
        <v>94</v>
      </c>
      <c r="H828" t="s">
        <v>53</v>
      </c>
      <c r="I828" t="s">
        <v>61</v>
      </c>
      <c r="J828" s="1">
        <v>45932</v>
      </c>
      <c r="K828" s="1">
        <v>45932</v>
      </c>
      <c r="L828" s="3">
        <v>10600</v>
      </c>
      <c r="M828" s="4">
        <v>0</v>
      </c>
      <c r="N828" s="4">
        <v>0</v>
      </c>
      <c r="O828" t="s">
        <v>62</v>
      </c>
      <c r="P828">
        <v>3</v>
      </c>
      <c r="Q828" t="str">
        <f>IFERROR(VLOOKUP(E828,Lookups!$A$5:$B$24,2,FALSE),"Other")</f>
        <v>Webinar</v>
      </c>
      <c r="R828" t="str">
        <f>IFERROR(VLOOKUP(F828,Lookups!$D$5:$F$10,2,FALSE),"Unknown Product")</f>
        <v>NexaCRM Core</v>
      </c>
      <c r="S828" t="str">
        <f>IFERROR(VLOOKUP(F828,Lookups!$D$5:$F$10,3,FALSE),"Unknown")</f>
        <v>CRM</v>
      </c>
      <c r="T828" t="str">
        <f t="shared" si="132"/>
        <v>SMB</v>
      </c>
      <c r="U828" t="str">
        <f t="shared" si="133"/>
        <v>Lost</v>
      </c>
      <c r="V828" s="3">
        <f t="shared" si="134"/>
        <v>0</v>
      </c>
      <c r="W828" s="3">
        <f t="shared" si="135"/>
        <v>0</v>
      </c>
      <c r="X828" s="5">
        <f t="shared" si="136"/>
        <v>35</v>
      </c>
      <c r="Y828" s="5">
        <f>IF(U828="Open",Lookups!$B$2-B828,X828)</f>
        <v>35</v>
      </c>
      <c r="Z828" t="str">
        <f t="shared" si="137"/>
        <v>OK</v>
      </c>
      <c r="AA828" t="str">
        <f t="shared" si="138"/>
        <v>2025-08</v>
      </c>
      <c r="AB828" t="str">
        <f t="shared" si="139"/>
        <v>2025-10</v>
      </c>
      <c r="AC828" t="str">
        <f t="shared" si="140"/>
        <v>Q3-2025</v>
      </c>
      <c r="AD828" s="5">
        <f t="shared" si="141"/>
        <v>51</v>
      </c>
      <c r="AE828" t="str">
        <f t="shared" si="142"/>
        <v>Lost</v>
      </c>
    </row>
    <row r="829" spans="1:31">
      <c r="A829" t="s">
        <v>931</v>
      </c>
      <c r="B829" s="1">
        <v>45795</v>
      </c>
      <c r="C829" t="s">
        <v>69</v>
      </c>
      <c r="D829" t="s">
        <v>57</v>
      </c>
      <c r="E829" t="s">
        <v>138</v>
      </c>
      <c r="F829" t="s">
        <v>52</v>
      </c>
      <c r="G829" t="s">
        <v>99</v>
      </c>
      <c r="H829" t="s">
        <v>53</v>
      </c>
      <c r="I829" t="s">
        <v>61</v>
      </c>
      <c r="J829" s="1">
        <v>45840</v>
      </c>
      <c r="K829" s="1">
        <v>45840</v>
      </c>
      <c r="L829" s="3">
        <v>10000</v>
      </c>
      <c r="M829" s="4">
        <v>0</v>
      </c>
      <c r="N829" s="4">
        <v>0</v>
      </c>
      <c r="O829" t="s">
        <v>62</v>
      </c>
      <c r="P829">
        <v>3</v>
      </c>
      <c r="Q829" t="str">
        <f>IFERROR(VLOOKUP(E829,Lookups!$A$5:$B$24,2,FALSE),"Other")</f>
        <v>Organic Search</v>
      </c>
      <c r="R829" t="str">
        <f>IFERROR(VLOOKUP(F829,Lookups!$D$5:$F$10,2,FALSE),"Unknown Product")</f>
        <v>NexaCRM Core</v>
      </c>
      <c r="S829" t="str">
        <f>IFERROR(VLOOKUP(F829,Lookups!$D$5:$F$10,3,FALSE),"Unknown")</f>
        <v>CRM</v>
      </c>
      <c r="T829" t="str">
        <f t="shared" si="132"/>
        <v>SMB</v>
      </c>
      <c r="U829" t="str">
        <f t="shared" si="133"/>
        <v>Lost</v>
      </c>
      <c r="V829" s="3">
        <f t="shared" si="134"/>
        <v>0</v>
      </c>
      <c r="W829" s="3">
        <f t="shared" si="135"/>
        <v>0</v>
      </c>
      <c r="X829" s="5">
        <f t="shared" si="136"/>
        <v>45</v>
      </c>
      <c r="Y829" s="5">
        <f>IF(U829="Open",Lookups!$B$2-B829,X829)</f>
        <v>45</v>
      </c>
      <c r="Z829" t="str">
        <f t="shared" si="137"/>
        <v>OK</v>
      </c>
      <c r="AA829" t="str">
        <f t="shared" si="138"/>
        <v>2025-05</v>
      </c>
      <c r="AB829" t="str">
        <f t="shared" si="139"/>
        <v>2025-07</v>
      </c>
      <c r="AC829" t="str">
        <f t="shared" si="140"/>
        <v>Q2-2025</v>
      </c>
      <c r="AD829" s="5">
        <f t="shared" si="141"/>
        <v>57</v>
      </c>
      <c r="AE829" t="str">
        <f t="shared" si="142"/>
        <v>Lost</v>
      </c>
    </row>
    <row r="830" spans="1:31">
      <c r="A830" t="s">
        <v>932</v>
      </c>
      <c r="B830" s="1">
        <v>46246</v>
      </c>
      <c r="C830" t="s">
        <v>64</v>
      </c>
      <c r="D830" t="s">
        <v>57</v>
      </c>
      <c r="E830" t="s">
        <v>166</v>
      </c>
      <c r="F830" t="s">
        <v>52</v>
      </c>
      <c r="G830" t="s">
        <v>72</v>
      </c>
      <c r="H830" t="s">
        <v>47</v>
      </c>
      <c r="I830" t="s">
        <v>61</v>
      </c>
      <c r="J830" s="1">
        <v>46266</v>
      </c>
      <c r="K830" s="1">
        <v>46266</v>
      </c>
      <c r="L830" s="3">
        <v>5900</v>
      </c>
      <c r="M830" s="4">
        <v>0</v>
      </c>
      <c r="N830" s="4">
        <v>0</v>
      </c>
      <c r="O830" t="s">
        <v>79</v>
      </c>
      <c r="P830">
        <v>3</v>
      </c>
      <c r="Q830" t="str">
        <f>IFERROR(VLOOKUP(E830,Lookups!$A$5:$B$24,2,FALSE),"Other")</f>
        <v>Referral</v>
      </c>
      <c r="R830" t="str">
        <f>IFERROR(VLOOKUP(F830,Lookups!$D$5:$F$10,2,FALSE),"Unknown Product")</f>
        <v>NexaCRM Core</v>
      </c>
      <c r="S830" t="str">
        <f>IFERROR(VLOOKUP(F830,Lookups!$D$5:$F$10,3,FALSE),"Unknown")</f>
        <v>CRM</v>
      </c>
      <c r="T830" t="str">
        <f t="shared" si="132"/>
        <v>SMB</v>
      </c>
      <c r="U830" t="str">
        <f t="shared" si="133"/>
        <v>Lost</v>
      </c>
      <c r="V830" s="3">
        <f t="shared" si="134"/>
        <v>0</v>
      </c>
      <c r="W830" s="3">
        <f t="shared" si="135"/>
        <v>0</v>
      </c>
      <c r="X830" s="5">
        <f t="shared" si="136"/>
        <v>20</v>
      </c>
      <c r="Y830" s="5">
        <f>IF(U830="Open",Lookups!$B$2-B830,X830)</f>
        <v>20</v>
      </c>
      <c r="Z830" t="str">
        <f t="shared" si="137"/>
        <v>OK</v>
      </c>
      <c r="AA830" t="str">
        <f t="shared" si="138"/>
        <v>2026-08</v>
      </c>
      <c r="AB830" t="str">
        <f t="shared" si="139"/>
        <v>2026-09</v>
      </c>
      <c r="AC830" t="str">
        <f t="shared" si="140"/>
        <v>Q3-2026</v>
      </c>
      <c r="AD830" s="5">
        <f t="shared" si="141"/>
        <v>54</v>
      </c>
      <c r="AE830" t="str">
        <f t="shared" si="142"/>
        <v>Lost</v>
      </c>
    </row>
    <row r="831" spans="1:31">
      <c r="A831" t="s">
        <v>933</v>
      </c>
      <c r="B831" s="1">
        <v>46083</v>
      </c>
      <c r="C831" t="s">
        <v>90</v>
      </c>
      <c r="D831" t="s">
        <v>57</v>
      </c>
      <c r="E831" t="s">
        <v>109</v>
      </c>
      <c r="F831" t="s">
        <v>52</v>
      </c>
      <c r="G831" t="s">
        <v>60</v>
      </c>
      <c r="H831" t="s">
        <v>47</v>
      </c>
      <c r="I831" t="s">
        <v>61</v>
      </c>
      <c r="J831" s="1">
        <v>46147</v>
      </c>
      <c r="K831" s="1">
        <v>46147</v>
      </c>
      <c r="L831" s="3">
        <v>4800</v>
      </c>
      <c r="M831" s="4">
        <v>0</v>
      </c>
      <c r="N831" s="4">
        <v>0</v>
      </c>
      <c r="O831" t="s">
        <v>110</v>
      </c>
      <c r="P831">
        <v>3</v>
      </c>
      <c r="Q831" t="str">
        <f>IFERROR(VLOOKUP(E831,Lookups!$A$5:$B$24,2,FALSE),"Other")</f>
        <v>Outbound</v>
      </c>
      <c r="R831" t="str">
        <f>IFERROR(VLOOKUP(F831,Lookups!$D$5:$F$10,2,FALSE),"Unknown Product")</f>
        <v>NexaCRM Core</v>
      </c>
      <c r="S831" t="str">
        <f>IFERROR(VLOOKUP(F831,Lookups!$D$5:$F$10,3,FALSE),"Unknown")</f>
        <v>CRM</v>
      </c>
      <c r="T831" t="str">
        <f t="shared" si="132"/>
        <v>SMB</v>
      </c>
      <c r="U831" t="str">
        <f t="shared" si="133"/>
        <v>Lost</v>
      </c>
      <c r="V831" s="3">
        <f t="shared" si="134"/>
        <v>0</v>
      </c>
      <c r="W831" s="3">
        <f t="shared" si="135"/>
        <v>0</v>
      </c>
      <c r="X831" s="5">
        <f t="shared" si="136"/>
        <v>64</v>
      </c>
      <c r="Y831" s="5">
        <f>IF(U831="Open",Lookups!$B$2-B831,X831)</f>
        <v>64</v>
      </c>
      <c r="Z831" t="str">
        <f t="shared" si="137"/>
        <v>OK</v>
      </c>
      <c r="AA831" t="str">
        <f t="shared" si="138"/>
        <v>2026-03</v>
      </c>
      <c r="AB831" t="str">
        <f t="shared" si="139"/>
        <v>2026-05</v>
      </c>
      <c r="AC831" t="str">
        <f t="shared" si="140"/>
        <v>Q1-2026</v>
      </c>
      <c r="AD831" s="5">
        <f t="shared" si="141"/>
        <v>43</v>
      </c>
      <c r="AE831" t="str">
        <f t="shared" si="142"/>
        <v>Lost</v>
      </c>
    </row>
    <row r="832" spans="1:31">
      <c r="A832" t="s">
        <v>934</v>
      </c>
      <c r="B832" s="1">
        <v>46053</v>
      </c>
      <c r="C832" t="s">
        <v>50</v>
      </c>
      <c r="D832" t="s">
        <v>43</v>
      </c>
      <c r="E832" t="s">
        <v>119</v>
      </c>
      <c r="F832" t="s">
        <v>59</v>
      </c>
      <c r="G832" t="s">
        <v>60</v>
      </c>
      <c r="H832" t="s">
        <v>84</v>
      </c>
      <c r="I832" t="s">
        <v>77</v>
      </c>
      <c r="J832" s="1">
        <v>46090</v>
      </c>
      <c r="K832" s="1">
        <v>46090</v>
      </c>
      <c r="L832" s="3">
        <v>83900</v>
      </c>
      <c r="M832" s="4">
        <v>0.12</v>
      </c>
      <c r="N832" s="4">
        <v>1</v>
      </c>
      <c r="P832">
        <v>6</v>
      </c>
      <c r="Q832" t="str">
        <f>IFERROR(VLOOKUP(E832,Lookups!$A$5:$B$24,2,FALSE),"Other")</f>
        <v>Referral</v>
      </c>
      <c r="R832" t="str">
        <f>IFERROR(VLOOKUP(F832,Lookups!$D$5:$F$10,2,FALSE),"Unknown Product")</f>
        <v>NexaCRM Pro</v>
      </c>
      <c r="S832" t="str">
        <f>IFERROR(VLOOKUP(F832,Lookups!$D$5:$F$10,3,FALSE),"Unknown")</f>
        <v>CRM</v>
      </c>
      <c r="T832" t="str">
        <f t="shared" si="132"/>
        <v>Enterprise</v>
      </c>
      <c r="U832" t="str">
        <f t="shared" si="133"/>
        <v>Won</v>
      </c>
      <c r="V832" s="3">
        <f t="shared" si="134"/>
        <v>73832</v>
      </c>
      <c r="W832" s="3">
        <f t="shared" si="135"/>
        <v>0</v>
      </c>
      <c r="X832" s="5">
        <f t="shared" si="136"/>
        <v>37</v>
      </c>
      <c r="Y832" s="5">
        <f>IF(U832="Open",Lookups!$B$2-B832,X832)</f>
        <v>37</v>
      </c>
      <c r="Z832" t="str">
        <f t="shared" si="137"/>
        <v>OK</v>
      </c>
      <c r="AA832" t="str">
        <f t="shared" si="138"/>
        <v>2026-01</v>
      </c>
      <c r="AB832" t="str">
        <f t="shared" si="139"/>
        <v>2026-03</v>
      </c>
      <c r="AC832" t="str">
        <f t="shared" si="140"/>
        <v>Q1-2026</v>
      </c>
      <c r="AD832" s="5">
        <f t="shared" si="141"/>
        <v>85</v>
      </c>
      <c r="AE832" t="str">
        <f t="shared" si="142"/>
        <v>Won</v>
      </c>
    </row>
    <row r="833" spans="1:31">
      <c r="A833" t="s">
        <v>935</v>
      </c>
      <c r="B833" s="1">
        <v>45833</v>
      </c>
      <c r="C833" t="s">
        <v>90</v>
      </c>
      <c r="D833" t="s">
        <v>57</v>
      </c>
      <c r="E833" t="s">
        <v>75</v>
      </c>
      <c r="F833" t="s">
        <v>52</v>
      </c>
      <c r="G833" t="s">
        <v>72</v>
      </c>
      <c r="H833" t="s">
        <v>47</v>
      </c>
      <c r="I833" t="s">
        <v>61</v>
      </c>
      <c r="J833" s="1">
        <v>45901</v>
      </c>
      <c r="K833" s="1">
        <v>45901</v>
      </c>
      <c r="L833" s="3">
        <v>8900</v>
      </c>
      <c r="M833" s="4">
        <v>0</v>
      </c>
      <c r="N833" s="4">
        <v>0</v>
      </c>
      <c r="O833" t="s">
        <v>116</v>
      </c>
      <c r="P833">
        <v>3</v>
      </c>
      <c r="Q833" t="str">
        <f>IFERROR(VLOOKUP(E833,Lookups!$A$5:$B$24,2,FALSE),"Other")</f>
        <v>Webinar</v>
      </c>
      <c r="R833" t="str">
        <f>IFERROR(VLOOKUP(F833,Lookups!$D$5:$F$10,2,FALSE),"Unknown Product")</f>
        <v>NexaCRM Core</v>
      </c>
      <c r="S833" t="str">
        <f>IFERROR(VLOOKUP(F833,Lookups!$D$5:$F$10,3,FALSE),"Unknown")</f>
        <v>CRM</v>
      </c>
      <c r="T833" t="str">
        <f t="shared" si="132"/>
        <v>SMB</v>
      </c>
      <c r="U833" t="str">
        <f t="shared" si="133"/>
        <v>Lost</v>
      </c>
      <c r="V833" s="3">
        <f t="shared" si="134"/>
        <v>0</v>
      </c>
      <c r="W833" s="3">
        <f t="shared" si="135"/>
        <v>0</v>
      </c>
      <c r="X833" s="5">
        <f t="shared" si="136"/>
        <v>68</v>
      </c>
      <c r="Y833" s="5">
        <f>IF(U833="Open",Lookups!$B$2-B833,X833)</f>
        <v>68</v>
      </c>
      <c r="Z833" t="str">
        <f t="shared" si="137"/>
        <v>OK</v>
      </c>
      <c r="AA833" t="str">
        <f t="shared" si="138"/>
        <v>2025-06</v>
      </c>
      <c r="AB833" t="str">
        <f t="shared" si="139"/>
        <v>2025-09</v>
      </c>
      <c r="AC833" t="str">
        <f t="shared" si="140"/>
        <v>Q2-2025</v>
      </c>
      <c r="AD833" s="5">
        <f t="shared" si="141"/>
        <v>43</v>
      </c>
      <c r="AE833" t="str">
        <f t="shared" si="142"/>
        <v>Lost</v>
      </c>
    </row>
    <row r="834" spans="1:31">
      <c r="A834" t="s">
        <v>936</v>
      </c>
      <c r="B834" s="1">
        <v>46251</v>
      </c>
      <c r="C834" t="s">
        <v>42</v>
      </c>
      <c r="D834" t="s">
        <v>43</v>
      </c>
      <c r="E834" t="s">
        <v>65</v>
      </c>
      <c r="F834" t="s">
        <v>71</v>
      </c>
      <c r="G834" t="s">
        <v>72</v>
      </c>
      <c r="H834" t="s">
        <v>53</v>
      </c>
      <c r="I834" t="s">
        <v>73</v>
      </c>
      <c r="J834" s="1">
        <v>46263</v>
      </c>
      <c r="K834" s="1"/>
      <c r="L834" s="3">
        <v>23100</v>
      </c>
      <c r="M834" s="4">
        <v>0</v>
      </c>
      <c r="N834" s="4">
        <v>0.2</v>
      </c>
      <c r="P834">
        <v>2</v>
      </c>
      <c r="Q834" t="str">
        <f>IFERROR(VLOOKUP(E834,Lookups!$A$5:$B$24,2,FALSE),"Other")</f>
        <v>Paid Search</v>
      </c>
      <c r="R834" t="str">
        <f>IFERROR(VLOOKUP(F834,Lookups!$D$5:$F$10,2,FALSE),"Unknown Product")</f>
        <v>Marketing Automation</v>
      </c>
      <c r="S834" t="str">
        <f>IFERROR(VLOOKUP(F834,Lookups!$D$5:$F$10,3,FALSE),"Unknown")</f>
        <v>Marketing</v>
      </c>
      <c r="T834" t="str">
        <f t="shared" ref="T834:T897" si="143">IF(L834&gt;=50000,"Enterprise",IF(L834&gt;=20000,"Mid-Market","SMB"))</f>
        <v>Mid-Market</v>
      </c>
      <c r="U834" t="str">
        <f t="shared" ref="U834:U897" si="144">IF(I834="Closed Won","Won",IF(I834="Closed Lost","Lost","Open"))</f>
        <v>Open</v>
      </c>
      <c r="V834" s="3">
        <f t="shared" ref="V834:V897" si="145">IF(U834="Won",L834*(1-M834),0)</f>
        <v>0</v>
      </c>
      <c r="W834" s="3">
        <f t="shared" ref="W834:W897" si="146">IF(U834="Open",L834*N834,0)</f>
        <v>4620</v>
      </c>
      <c r="X834" s="5" t="str">
        <f t="shared" ref="X834:X897" si="147">IF(U834="Open","",IFERROR(K834-B834,""))</f>
        <v/>
      </c>
      <c r="Y834" s="5">
        <f>IF(U834="Open",Lookups!$B$2-B834,X834)</f>
        <v>15</v>
      </c>
      <c r="Z834" t="str">
        <f t="shared" ref="Z834:Z897" si="148">IF(AND(U834="Open",Y834&gt;30),"STALE","OK")</f>
        <v>OK</v>
      </c>
      <c r="AA834" t="str">
        <f t="shared" ref="AA834:AA897" si="149">TEXT(B834,"yyyy-mm")</f>
        <v>2026-08</v>
      </c>
      <c r="AB834" t="str">
        <f t="shared" ref="AB834:AB897" si="150">IF(K834="","",TEXT(K834,"yyyy-mm"))</f>
        <v/>
      </c>
      <c r="AC834" t="str">
        <f t="shared" ref="AC834:AC897" si="151">"Q"&amp;ROUNDUP(MONTH(B834)/3,0)&amp;"-"&amp;YEAR(B834)</f>
        <v>Q3-2026</v>
      </c>
      <c r="AD834" s="5">
        <f t="shared" ref="AD834:AD897" si="152">MIN(100,IF(H834="Enterprise",30,IF(H834="Mid-Market",22,14))+IF(T834="Enterprise",25,IF(T834="Mid-Market",18,10))+IF(Q834="Referral",25,IF(Q834="Organic Search",20,IF(Q834="Email",18,14)))+IF(G834="Technology",10,5))</f>
        <v>59</v>
      </c>
      <c r="AE834" t="str">
        <f t="shared" ref="AE834:AE897" si="153">IF(U834&lt;&gt;"Open",U834,IF(N834&gt;=0.8,"Commit",IF(N834&gt;=0.5,"Best Case","Pipeline")))</f>
        <v>Pipeline</v>
      </c>
    </row>
    <row r="835" spans="1:31">
      <c r="A835" t="s">
        <v>937</v>
      </c>
      <c r="B835" s="1">
        <v>45884</v>
      </c>
      <c r="C835" t="s">
        <v>148</v>
      </c>
      <c r="D835" t="s">
        <v>43</v>
      </c>
      <c r="E835" t="s">
        <v>123</v>
      </c>
      <c r="F835" t="s">
        <v>45</v>
      </c>
      <c r="G835" t="s">
        <v>76</v>
      </c>
      <c r="H835" t="s">
        <v>47</v>
      </c>
      <c r="I835" t="s">
        <v>77</v>
      </c>
      <c r="J835" s="1">
        <v>45945</v>
      </c>
      <c r="K835" s="1">
        <v>45945</v>
      </c>
      <c r="L835" s="3">
        <v>23500</v>
      </c>
      <c r="M835" s="4">
        <v>0.12</v>
      </c>
      <c r="N835" s="4">
        <v>1</v>
      </c>
      <c r="P835">
        <v>6</v>
      </c>
      <c r="Q835" t="str">
        <f>IFERROR(VLOOKUP(E835,Lookups!$A$5:$B$24,2,FALSE),"Other")</f>
        <v>Email</v>
      </c>
      <c r="R835" t="str">
        <f>IFERROR(VLOOKUP(F835,Lookups!$D$5:$F$10,2,FALSE),"Unknown Product")</f>
        <v>Service Cloud</v>
      </c>
      <c r="S835" t="str">
        <f>IFERROR(VLOOKUP(F835,Lookups!$D$5:$F$10,3,FALSE),"Unknown")</f>
        <v>Customer Service</v>
      </c>
      <c r="T835" t="str">
        <f t="shared" si="143"/>
        <v>Mid-Market</v>
      </c>
      <c r="U835" t="str">
        <f t="shared" si="144"/>
        <v>Won</v>
      </c>
      <c r="V835" s="3">
        <f t="shared" si="145"/>
        <v>20680</v>
      </c>
      <c r="W835" s="3">
        <f t="shared" si="146"/>
        <v>0</v>
      </c>
      <c r="X835" s="5">
        <f t="shared" si="147"/>
        <v>61</v>
      </c>
      <c r="Y835" s="5">
        <f>IF(U835="Open",Lookups!$B$2-B835,X835)</f>
        <v>61</v>
      </c>
      <c r="Z835" t="str">
        <f t="shared" si="148"/>
        <v>OK</v>
      </c>
      <c r="AA835" t="str">
        <f t="shared" si="149"/>
        <v>2025-08</v>
      </c>
      <c r="AB835" t="str">
        <f t="shared" si="150"/>
        <v>2025-10</v>
      </c>
      <c r="AC835" t="str">
        <f t="shared" si="151"/>
        <v>Q3-2025</v>
      </c>
      <c r="AD835" s="5">
        <f t="shared" si="152"/>
        <v>55</v>
      </c>
      <c r="AE835" t="str">
        <f t="shared" si="153"/>
        <v>Won</v>
      </c>
    </row>
    <row r="836" spans="1:31">
      <c r="A836" t="s">
        <v>938</v>
      </c>
      <c r="B836" s="1">
        <v>45772</v>
      </c>
      <c r="C836" t="s">
        <v>90</v>
      </c>
      <c r="D836" t="s">
        <v>57</v>
      </c>
      <c r="E836" t="s">
        <v>119</v>
      </c>
      <c r="F836" t="s">
        <v>45</v>
      </c>
      <c r="G836" t="s">
        <v>112</v>
      </c>
      <c r="H836" t="s">
        <v>47</v>
      </c>
      <c r="I836" t="s">
        <v>61</v>
      </c>
      <c r="J836" s="1">
        <v>45792</v>
      </c>
      <c r="K836" s="1">
        <v>45792</v>
      </c>
      <c r="L836" s="3">
        <v>27100</v>
      </c>
      <c r="M836" s="4">
        <v>0</v>
      </c>
      <c r="N836" s="4">
        <v>0</v>
      </c>
      <c r="O836" t="s">
        <v>102</v>
      </c>
      <c r="P836">
        <v>4</v>
      </c>
      <c r="Q836" t="str">
        <f>IFERROR(VLOOKUP(E836,Lookups!$A$5:$B$24,2,FALSE),"Other")</f>
        <v>Referral</v>
      </c>
      <c r="R836" t="str">
        <f>IFERROR(VLOOKUP(F836,Lookups!$D$5:$F$10,2,FALSE),"Unknown Product")</f>
        <v>Service Cloud</v>
      </c>
      <c r="S836" t="str">
        <f>IFERROR(VLOOKUP(F836,Lookups!$D$5:$F$10,3,FALSE),"Unknown")</f>
        <v>Customer Service</v>
      </c>
      <c r="T836" t="str">
        <f t="shared" si="143"/>
        <v>Mid-Market</v>
      </c>
      <c r="U836" t="str">
        <f t="shared" si="144"/>
        <v>Lost</v>
      </c>
      <c r="V836" s="3">
        <f t="shared" si="145"/>
        <v>0</v>
      </c>
      <c r="W836" s="3">
        <f t="shared" si="146"/>
        <v>0</v>
      </c>
      <c r="X836" s="5">
        <f t="shared" si="147"/>
        <v>20</v>
      </c>
      <c r="Y836" s="5">
        <f>IF(U836="Open",Lookups!$B$2-B836,X836)</f>
        <v>20</v>
      </c>
      <c r="Z836" t="str">
        <f t="shared" si="148"/>
        <v>OK</v>
      </c>
      <c r="AA836" t="str">
        <f t="shared" si="149"/>
        <v>2025-04</v>
      </c>
      <c r="AB836" t="str">
        <f t="shared" si="150"/>
        <v>2025-05</v>
      </c>
      <c r="AC836" t="str">
        <f t="shared" si="151"/>
        <v>Q2-2025</v>
      </c>
      <c r="AD836" s="5">
        <f t="shared" si="152"/>
        <v>67</v>
      </c>
      <c r="AE836" t="str">
        <f t="shared" si="153"/>
        <v>Lost</v>
      </c>
    </row>
    <row r="837" spans="1:31">
      <c r="A837" t="s">
        <v>939</v>
      </c>
      <c r="B837" s="1">
        <v>45689</v>
      </c>
      <c r="C837" t="s">
        <v>69</v>
      </c>
      <c r="D837" t="s">
        <v>57</v>
      </c>
      <c r="E837" t="s">
        <v>166</v>
      </c>
      <c r="F837" t="s">
        <v>59</v>
      </c>
      <c r="G837" t="s">
        <v>72</v>
      </c>
      <c r="H837" t="s">
        <v>47</v>
      </c>
      <c r="I837" t="s">
        <v>61</v>
      </c>
      <c r="J837" s="1">
        <v>45737</v>
      </c>
      <c r="K837" s="1">
        <v>45737</v>
      </c>
      <c r="L837" s="3">
        <v>13300</v>
      </c>
      <c r="M837" s="4">
        <v>0</v>
      </c>
      <c r="N837" s="4">
        <v>0</v>
      </c>
      <c r="O837" t="s">
        <v>102</v>
      </c>
      <c r="P837">
        <v>3</v>
      </c>
      <c r="Q837" t="str">
        <f>IFERROR(VLOOKUP(E837,Lookups!$A$5:$B$24,2,FALSE),"Other")</f>
        <v>Referral</v>
      </c>
      <c r="R837" t="str">
        <f>IFERROR(VLOOKUP(F837,Lookups!$D$5:$F$10,2,FALSE),"Unknown Product")</f>
        <v>NexaCRM Pro</v>
      </c>
      <c r="S837" t="str">
        <f>IFERROR(VLOOKUP(F837,Lookups!$D$5:$F$10,3,FALSE),"Unknown")</f>
        <v>CRM</v>
      </c>
      <c r="T837" t="str">
        <f t="shared" si="143"/>
        <v>SMB</v>
      </c>
      <c r="U837" t="str">
        <f t="shared" si="144"/>
        <v>Lost</v>
      </c>
      <c r="V837" s="3">
        <f t="shared" si="145"/>
        <v>0</v>
      </c>
      <c r="W837" s="3">
        <f t="shared" si="146"/>
        <v>0</v>
      </c>
      <c r="X837" s="5">
        <f t="shared" si="147"/>
        <v>48</v>
      </c>
      <c r="Y837" s="5">
        <f>IF(U837="Open",Lookups!$B$2-B837,X837)</f>
        <v>48</v>
      </c>
      <c r="Z837" t="str">
        <f t="shared" si="148"/>
        <v>OK</v>
      </c>
      <c r="AA837" t="str">
        <f t="shared" si="149"/>
        <v>2025-02</v>
      </c>
      <c r="AB837" t="str">
        <f t="shared" si="150"/>
        <v>2025-03</v>
      </c>
      <c r="AC837" t="str">
        <f t="shared" si="151"/>
        <v>Q1-2025</v>
      </c>
      <c r="AD837" s="5">
        <f t="shared" si="152"/>
        <v>54</v>
      </c>
      <c r="AE837" t="str">
        <f t="shared" si="153"/>
        <v>Lost</v>
      </c>
    </row>
    <row r="838" spans="1:31">
      <c r="A838" t="s">
        <v>940</v>
      </c>
      <c r="B838" s="1">
        <v>45749</v>
      </c>
      <c r="C838" t="s">
        <v>56</v>
      </c>
      <c r="D838" t="s">
        <v>57</v>
      </c>
      <c r="E838" t="s">
        <v>92</v>
      </c>
      <c r="F838" t="s">
        <v>71</v>
      </c>
      <c r="G838" t="s">
        <v>72</v>
      </c>
      <c r="H838" t="s">
        <v>47</v>
      </c>
      <c r="I838" t="s">
        <v>61</v>
      </c>
      <c r="J838" s="1">
        <v>45789</v>
      </c>
      <c r="K838" s="1">
        <v>45789</v>
      </c>
      <c r="L838" s="3">
        <v>18900</v>
      </c>
      <c r="M838" s="4">
        <v>0</v>
      </c>
      <c r="N838" s="4">
        <v>0</v>
      </c>
      <c r="O838" t="s">
        <v>116</v>
      </c>
      <c r="P838">
        <v>3</v>
      </c>
      <c r="Q838" t="str">
        <f>IFERROR(VLOOKUP(E838,Lookups!$A$5:$B$24,2,FALSE),"Other")</f>
        <v>Webinar</v>
      </c>
      <c r="R838" t="str">
        <f>IFERROR(VLOOKUP(F838,Lookups!$D$5:$F$10,2,FALSE),"Unknown Product")</f>
        <v>Marketing Automation</v>
      </c>
      <c r="S838" t="str">
        <f>IFERROR(VLOOKUP(F838,Lookups!$D$5:$F$10,3,FALSE),"Unknown")</f>
        <v>Marketing</v>
      </c>
      <c r="T838" t="str">
        <f t="shared" si="143"/>
        <v>SMB</v>
      </c>
      <c r="U838" t="str">
        <f t="shared" si="144"/>
        <v>Lost</v>
      </c>
      <c r="V838" s="3">
        <f t="shared" si="145"/>
        <v>0</v>
      </c>
      <c r="W838" s="3">
        <f t="shared" si="146"/>
        <v>0</v>
      </c>
      <c r="X838" s="5">
        <f t="shared" si="147"/>
        <v>40</v>
      </c>
      <c r="Y838" s="5">
        <f>IF(U838="Open",Lookups!$B$2-B838,X838)</f>
        <v>40</v>
      </c>
      <c r="Z838" t="str">
        <f t="shared" si="148"/>
        <v>OK</v>
      </c>
      <c r="AA838" t="str">
        <f t="shared" si="149"/>
        <v>2025-04</v>
      </c>
      <c r="AB838" t="str">
        <f t="shared" si="150"/>
        <v>2025-05</v>
      </c>
      <c r="AC838" t="str">
        <f t="shared" si="151"/>
        <v>Q2-2025</v>
      </c>
      <c r="AD838" s="5">
        <f t="shared" si="152"/>
        <v>43</v>
      </c>
      <c r="AE838" t="str">
        <f t="shared" si="153"/>
        <v>Lost</v>
      </c>
    </row>
    <row r="839" spans="1:31">
      <c r="A839" t="s">
        <v>941</v>
      </c>
      <c r="B839" s="1">
        <v>45749</v>
      </c>
      <c r="C839" t="s">
        <v>50</v>
      </c>
      <c r="D839" t="s">
        <v>43</v>
      </c>
      <c r="E839" t="s">
        <v>92</v>
      </c>
      <c r="F839" t="s">
        <v>71</v>
      </c>
      <c r="G839" t="s">
        <v>94</v>
      </c>
      <c r="H839" t="s">
        <v>47</v>
      </c>
      <c r="I839" t="s">
        <v>48</v>
      </c>
      <c r="J839" s="1">
        <v>46006</v>
      </c>
      <c r="K839" s="1"/>
      <c r="L839" s="3">
        <v>17100</v>
      </c>
      <c r="M839" s="4">
        <v>0.05</v>
      </c>
      <c r="N839" s="4">
        <v>0.85</v>
      </c>
      <c r="P839">
        <v>5</v>
      </c>
      <c r="Q839" t="str">
        <f>IFERROR(VLOOKUP(E839,Lookups!$A$5:$B$24,2,FALSE),"Other")</f>
        <v>Webinar</v>
      </c>
      <c r="R839" t="str">
        <f>IFERROR(VLOOKUP(F839,Lookups!$D$5:$F$10,2,FALSE),"Unknown Product")</f>
        <v>Marketing Automation</v>
      </c>
      <c r="S839" t="str">
        <f>IFERROR(VLOOKUP(F839,Lookups!$D$5:$F$10,3,FALSE),"Unknown")</f>
        <v>Marketing</v>
      </c>
      <c r="T839" t="str">
        <f t="shared" si="143"/>
        <v>SMB</v>
      </c>
      <c r="U839" t="str">
        <f t="shared" si="144"/>
        <v>Open</v>
      </c>
      <c r="V839" s="3">
        <f t="shared" si="145"/>
        <v>0</v>
      </c>
      <c r="W839" s="3">
        <f t="shared" si="146"/>
        <v>14535</v>
      </c>
      <c r="X839" s="5" t="str">
        <f t="shared" si="147"/>
        <v/>
      </c>
      <c r="Y839" s="5">
        <f>IF(U839="Open",Lookups!$B$2-B839,X839)</f>
        <v>517</v>
      </c>
      <c r="Z839" t="str">
        <f t="shared" si="148"/>
        <v>STALE</v>
      </c>
      <c r="AA839" t="str">
        <f t="shared" si="149"/>
        <v>2025-04</v>
      </c>
      <c r="AB839" t="str">
        <f t="shared" si="150"/>
        <v/>
      </c>
      <c r="AC839" t="str">
        <f t="shared" si="151"/>
        <v>Q2-2025</v>
      </c>
      <c r="AD839" s="5">
        <f t="shared" si="152"/>
        <v>43</v>
      </c>
      <c r="AE839" t="str">
        <f t="shared" si="153"/>
        <v>Commit</v>
      </c>
    </row>
    <row r="840" spans="1:31">
      <c r="A840" t="s">
        <v>942</v>
      </c>
      <c r="B840" s="1">
        <v>45901</v>
      </c>
      <c r="C840" t="s">
        <v>64</v>
      </c>
      <c r="D840" t="s">
        <v>57</v>
      </c>
      <c r="E840" t="s">
        <v>65</v>
      </c>
      <c r="F840" t="s">
        <v>67</v>
      </c>
      <c r="G840" t="s">
        <v>72</v>
      </c>
      <c r="H840" t="s">
        <v>84</v>
      </c>
      <c r="I840" t="s">
        <v>61</v>
      </c>
      <c r="J840" s="1">
        <v>45952</v>
      </c>
      <c r="K840" s="1">
        <v>45952</v>
      </c>
      <c r="L840" s="3">
        <v>152600</v>
      </c>
      <c r="M840" s="4">
        <v>0</v>
      </c>
      <c r="N840" s="4">
        <v>0</v>
      </c>
      <c r="O840" t="s">
        <v>79</v>
      </c>
      <c r="P840">
        <v>5</v>
      </c>
      <c r="Q840" t="str">
        <f>IFERROR(VLOOKUP(E840,Lookups!$A$5:$B$24,2,FALSE),"Other")</f>
        <v>Paid Search</v>
      </c>
      <c r="R840" t="str">
        <f>IFERROR(VLOOKUP(F840,Lookups!$D$5:$F$10,2,FALSE),"Unknown Product")</f>
        <v>Revenue Operations Suite</v>
      </c>
      <c r="S840" t="str">
        <f>IFERROR(VLOOKUP(F840,Lookups!$D$5:$F$10,3,FALSE),"Unknown")</f>
        <v>Revenue Ops</v>
      </c>
      <c r="T840" t="str">
        <f t="shared" si="143"/>
        <v>Enterprise</v>
      </c>
      <c r="U840" t="str">
        <f t="shared" si="144"/>
        <v>Lost</v>
      </c>
      <c r="V840" s="3">
        <f t="shared" si="145"/>
        <v>0</v>
      </c>
      <c r="W840" s="3">
        <f t="shared" si="146"/>
        <v>0</v>
      </c>
      <c r="X840" s="5">
        <f t="shared" si="147"/>
        <v>51</v>
      </c>
      <c r="Y840" s="5">
        <f>IF(U840="Open",Lookups!$B$2-B840,X840)</f>
        <v>51</v>
      </c>
      <c r="Z840" t="str">
        <f t="shared" si="148"/>
        <v>OK</v>
      </c>
      <c r="AA840" t="str">
        <f t="shared" si="149"/>
        <v>2025-09</v>
      </c>
      <c r="AB840" t="str">
        <f t="shared" si="150"/>
        <v>2025-10</v>
      </c>
      <c r="AC840" t="str">
        <f t="shared" si="151"/>
        <v>Q3-2025</v>
      </c>
      <c r="AD840" s="5">
        <f t="shared" si="152"/>
        <v>74</v>
      </c>
      <c r="AE840" t="str">
        <f t="shared" si="153"/>
        <v>Lost</v>
      </c>
    </row>
    <row r="841" spans="1:31">
      <c r="A841" t="s">
        <v>943</v>
      </c>
      <c r="B841" s="1">
        <v>45691</v>
      </c>
      <c r="C841" t="s">
        <v>86</v>
      </c>
      <c r="D841" t="s">
        <v>87</v>
      </c>
      <c r="E841" t="s">
        <v>44</v>
      </c>
      <c r="F841" t="s">
        <v>133</v>
      </c>
      <c r="G841" t="s">
        <v>99</v>
      </c>
      <c r="H841" t="s">
        <v>47</v>
      </c>
      <c r="I841" t="s">
        <v>61</v>
      </c>
      <c r="J841" s="1">
        <v>45732</v>
      </c>
      <c r="K841" s="1">
        <v>45732</v>
      </c>
      <c r="L841" s="3">
        <v>18200</v>
      </c>
      <c r="M841" s="4">
        <v>0</v>
      </c>
      <c r="N841" s="4">
        <v>0</v>
      </c>
      <c r="O841" t="s">
        <v>81</v>
      </c>
      <c r="P841">
        <v>3</v>
      </c>
      <c r="Q841" t="str">
        <f>IFERROR(VLOOKUP(E841,Lookups!$A$5:$B$24,2,FALSE),"Other")</f>
        <v>Organic Search</v>
      </c>
      <c r="R841" t="str">
        <f>IFERROR(VLOOKUP(F841,Lookups!$D$5:$F$10,2,FALSE),"Unknown Product")</f>
        <v>Analytics Plus</v>
      </c>
      <c r="S841" t="str">
        <f>IFERROR(VLOOKUP(F841,Lookups!$D$5:$F$10,3,FALSE),"Unknown")</f>
        <v>Analytics</v>
      </c>
      <c r="T841" t="str">
        <f t="shared" si="143"/>
        <v>SMB</v>
      </c>
      <c r="U841" t="str">
        <f t="shared" si="144"/>
        <v>Lost</v>
      </c>
      <c r="V841" s="3">
        <f t="shared" si="145"/>
        <v>0</v>
      </c>
      <c r="W841" s="3">
        <f t="shared" si="146"/>
        <v>0</v>
      </c>
      <c r="X841" s="5">
        <f t="shared" si="147"/>
        <v>41</v>
      </c>
      <c r="Y841" s="5">
        <f>IF(U841="Open",Lookups!$B$2-B841,X841)</f>
        <v>41</v>
      </c>
      <c r="Z841" t="str">
        <f t="shared" si="148"/>
        <v>OK</v>
      </c>
      <c r="AA841" t="str">
        <f t="shared" si="149"/>
        <v>2025-02</v>
      </c>
      <c r="AB841" t="str">
        <f t="shared" si="150"/>
        <v>2025-03</v>
      </c>
      <c r="AC841" t="str">
        <f t="shared" si="151"/>
        <v>Q1-2025</v>
      </c>
      <c r="AD841" s="5">
        <f t="shared" si="152"/>
        <v>49</v>
      </c>
      <c r="AE841" t="str">
        <f t="shared" si="153"/>
        <v>Lost</v>
      </c>
    </row>
    <row r="842" spans="1:31">
      <c r="A842" t="s">
        <v>944</v>
      </c>
      <c r="B842" s="1">
        <v>46021</v>
      </c>
      <c r="C842" t="s">
        <v>42</v>
      </c>
      <c r="D842" t="s">
        <v>43</v>
      </c>
      <c r="E842" t="s">
        <v>123</v>
      </c>
      <c r="F842" t="s">
        <v>45</v>
      </c>
      <c r="G842" t="s">
        <v>46</v>
      </c>
      <c r="H842" t="s">
        <v>53</v>
      </c>
      <c r="I842" t="s">
        <v>61</v>
      </c>
      <c r="J842" s="1">
        <v>46068</v>
      </c>
      <c r="K842" s="1">
        <v>46068</v>
      </c>
      <c r="L842" s="3">
        <v>42700</v>
      </c>
      <c r="M842" s="4">
        <v>0</v>
      </c>
      <c r="N842" s="4">
        <v>0</v>
      </c>
      <c r="O842" t="s">
        <v>102</v>
      </c>
      <c r="P842">
        <v>2</v>
      </c>
      <c r="Q842" t="str">
        <f>IFERROR(VLOOKUP(E842,Lookups!$A$5:$B$24,2,FALSE),"Other")</f>
        <v>Email</v>
      </c>
      <c r="R842" t="str">
        <f>IFERROR(VLOOKUP(F842,Lookups!$D$5:$F$10,2,FALSE),"Unknown Product")</f>
        <v>Service Cloud</v>
      </c>
      <c r="S842" t="str">
        <f>IFERROR(VLOOKUP(F842,Lookups!$D$5:$F$10,3,FALSE),"Unknown")</f>
        <v>Customer Service</v>
      </c>
      <c r="T842" t="str">
        <f t="shared" si="143"/>
        <v>Mid-Market</v>
      </c>
      <c r="U842" t="str">
        <f t="shared" si="144"/>
        <v>Lost</v>
      </c>
      <c r="V842" s="3">
        <f t="shared" si="145"/>
        <v>0</v>
      </c>
      <c r="W842" s="3">
        <f t="shared" si="146"/>
        <v>0</v>
      </c>
      <c r="X842" s="5">
        <f t="shared" si="147"/>
        <v>47</v>
      </c>
      <c r="Y842" s="5">
        <f>IF(U842="Open",Lookups!$B$2-B842,X842)</f>
        <v>47</v>
      </c>
      <c r="Z842" t="str">
        <f t="shared" si="148"/>
        <v>OK</v>
      </c>
      <c r="AA842" t="str">
        <f t="shared" si="149"/>
        <v>2025-12</v>
      </c>
      <c r="AB842" t="str">
        <f t="shared" si="150"/>
        <v>2026-02</v>
      </c>
      <c r="AC842" t="str">
        <f t="shared" si="151"/>
        <v>Q4-2025</v>
      </c>
      <c r="AD842" s="5">
        <f t="shared" si="152"/>
        <v>63</v>
      </c>
      <c r="AE842" t="str">
        <f t="shared" si="153"/>
        <v>Lost</v>
      </c>
    </row>
    <row r="843" spans="1:31">
      <c r="A843" t="s">
        <v>945</v>
      </c>
      <c r="B843" s="1">
        <v>45869</v>
      </c>
      <c r="C843" t="s">
        <v>90</v>
      </c>
      <c r="D843" t="s">
        <v>57</v>
      </c>
      <c r="E843" t="s">
        <v>115</v>
      </c>
      <c r="F843" t="s">
        <v>59</v>
      </c>
      <c r="G843" t="s">
        <v>99</v>
      </c>
      <c r="H843" t="s">
        <v>47</v>
      </c>
      <c r="I843" t="s">
        <v>48</v>
      </c>
      <c r="J843" s="1">
        <v>46169</v>
      </c>
      <c r="K843" s="1"/>
      <c r="L843" s="3">
        <v>22400</v>
      </c>
      <c r="M843" s="4">
        <v>0</v>
      </c>
      <c r="N843" s="4">
        <v>0.85</v>
      </c>
      <c r="P843">
        <v>5</v>
      </c>
      <c r="Q843" t="str">
        <f>IFERROR(VLOOKUP(E843,Lookups!$A$5:$B$24,2,FALSE),"Other")</f>
        <v>Outbound</v>
      </c>
      <c r="R843" t="str">
        <f>IFERROR(VLOOKUP(F843,Lookups!$D$5:$F$10,2,FALSE),"Unknown Product")</f>
        <v>NexaCRM Pro</v>
      </c>
      <c r="S843" t="str">
        <f>IFERROR(VLOOKUP(F843,Lookups!$D$5:$F$10,3,FALSE),"Unknown")</f>
        <v>CRM</v>
      </c>
      <c r="T843" t="str">
        <f t="shared" si="143"/>
        <v>Mid-Market</v>
      </c>
      <c r="U843" t="str">
        <f t="shared" si="144"/>
        <v>Open</v>
      </c>
      <c r="V843" s="3">
        <f t="shared" si="145"/>
        <v>0</v>
      </c>
      <c r="W843" s="3">
        <f t="shared" si="146"/>
        <v>19040</v>
      </c>
      <c r="X843" s="5" t="str">
        <f t="shared" si="147"/>
        <v/>
      </c>
      <c r="Y843" s="5">
        <f>IF(U843="Open",Lookups!$B$2-B843,X843)</f>
        <v>397</v>
      </c>
      <c r="Z843" t="str">
        <f t="shared" si="148"/>
        <v>STALE</v>
      </c>
      <c r="AA843" t="str">
        <f t="shared" si="149"/>
        <v>2025-07</v>
      </c>
      <c r="AB843" t="str">
        <f t="shared" si="150"/>
        <v/>
      </c>
      <c r="AC843" t="str">
        <f t="shared" si="151"/>
        <v>Q3-2025</v>
      </c>
      <c r="AD843" s="5">
        <f t="shared" si="152"/>
        <v>51</v>
      </c>
      <c r="AE843" t="str">
        <f t="shared" si="153"/>
        <v>Commit</v>
      </c>
    </row>
    <row r="844" spans="1:31">
      <c r="A844" t="s">
        <v>946</v>
      </c>
      <c r="B844" s="1">
        <v>46023</v>
      </c>
      <c r="C844" t="s">
        <v>50</v>
      </c>
      <c r="D844" t="s">
        <v>43</v>
      </c>
      <c r="E844" t="s">
        <v>115</v>
      </c>
      <c r="F844" t="s">
        <v>52</v>
      </c>
      <c r="G844" t="s">
        <v>76</v>
      </c>
      <c r="H844" t="s">
        <v>53</v>
      </c>
      <c r="I844" t="s">
        <v>61</v>
      </c>
      <c r="J844" s="1">
        <v>46036</v>
      </c>
      <c r="K844" s="1">
        <v>46036</v>
      </c>
      <c r="L844" s="3">
        <v>10900</v>
      </c>
      <c r="M844" s="4">
        <v>0</v>
      </c>
      <c r="N844" s="4">
        <v>0</v>
      </c>
      <c r="O844" t="s">
        <v>102</v>
      </c>
      <c r="P844">
        <v>5</v>
      </c>
      <c r="Q844" t="str">
        <f>IFERROR(VLOOKUP(E844,Lookups!$A$5:$B$24,2,FALSE),"Other")</f>
        <v>Outbound</v>
      </c>
      <c r="R844" t="str">
        <f>IFERROR(VLOOKUP(F844,Lookups!$D$5:$F$10,2,FALSE),"Unknown Product")</f>
        <v>NexaCRM Core</v>
      </c>
      <c r="S844" t="str">
        <f>IFERROR(VLOOKUP(F844,Lookups!$D$5:$F$10,3,FALSE),"Unknown")</f>
        <v>CRM</v>
      </c>
      <c r="T844" t="str">
        <f t="shared" si="143"/>
        <v>SMB</v>
      </c>
      <c r="U844" t="str">
        <f t="shared" si="144"/>
        <v>Lost</v>
      </c>
      <c r="V844" s="3">
        <f t="shared" si="145"/>
        <v>0</v>
      </c>
      <c r="W844" s="3">
        <f t="shared" si="146"/>
        <v>0</v>
      </c>
      <c r="X844" s="5">
        <f t="shared" si="147"/>
        <v>13</v>
      </c>
      <c r="Y844" s="5">
        <f>IF(U844="Open",Lookups!$B$2-B844,X844)</f>
        <v>13</v>
      </c>
      <c r="Z844" t="str">
        <f t="shared" si="148"/>
        <v>OK</v>
      </c>
      <c r="AA844" t="str">
        <f t="shared" si="149"/>
        <v>2026-01</v>
      </c>
      <c r="AB844" t="str">
        <f t="shared" si="150"/>
        <v>2026-01</v>
      </c>
      <c r="AC844" t="str">
        <f t="shared" si="151"/>
        <v>Q1-2026</v>
      </c>
      <c r="AD844" s="5">
        <f t="shared" si="152"/>
        <v>51</v>
      </c>
      <c r="AE844" t="str">
        <f t="shared" si="153"/>
        <v>Lost</v>
      </c>
    </row>
    <row r="845" spans="1:31">
      <c r="A845" t="s">
        <v>947</v>
      </c>
      <c r="B845" s="1">
        <v>45805</v>
      </c>
      <c r="C845" t="s">
        <v>148</v>
      </c>
      <c r="D845" t="s">
        <v>43</v>
      </c>
      <c r="E845" t="s">
        <v>119</v>
      </c>
      <c r="F845" t="s">
        <v>71</v>
      </c>
      <c r="G845" t="s">
        <v>76</v>
      </c>
      <c r="H845" t="s">
        <v>84</v>
      </c>
      <c r="I845" t="s">
        <v>61</v>
      </c>
      <c r="J845" s="1">
        <v>45845</v>
      </c>
      <c r="K845" s="1">
        <v>45845</v>
      </c>
      <c r="L845" s="3">
        <v>66800</v>
      </c>
      <c r="M845" s="4">
        <v>0</v>
      </c>
      <c r="N845" s="4">
        <v>0</v>
      </c>
      <c r="O845" t="s">
        <v>79</v>
      </c>
      <c r="P845">
        <v>2</v>
      </c>
      <c r="Q845" t="str">
        <f>IFERROR(VLOOKUP(E845,Lookups!$A$5:$B$24,2,FALSE),"Other")</f>
        <v>Referral</v>
      </c>
      <c r="R845" t="str">
        <f>IFERROR(VLOOKUP(F845,Lookups!$D$5:$F$10,2,FALSE),"Unknown Product")</f>
        <v>Marketing Automation</v>
      </c>
      <c r="S845" t="str">
        <f>IFERROR(VLOOKUP(F845,Lookups!$D$5:$F$10,3,FALSE),"Unknown")</f>
        <v>Marketing</v>
      </c>
      <c r="T845" t="str">
        <f t="shared" si="143"/>
        <v>Enterprise</v>
      </c>
      <c r="U845" t="str">
        <f t="shared" si="144"/>
        <v>Lost</v>
      </c>
      <c r="V845" s="3">
        <f t="shared" si="145"/>
        <v>0</v>
      </c>
      <c r="W845" s="3">
        <f t="shared" si="146"/>
        <v>0</v>
      </c>
      <c r="X845" s="5">
        <f t="shared" si="147"/>
        <v>40</v>
      </c>
      <c r="Y845" s="5">
        <f>IF(U845="Open",Lookups!$B$2-B845,X845)</f>
        <v>40</v>
      </c>
      <c r="Z845" t="str">
        <f t="shared" si="148"/>
        <v>OK</v>
      </c>
      <c r="AA845" t="str">
        <f t="shared" si="149"/>
        <v>2025-05</v>
      </c>
      <c r="AB845" t="str">
        <f t="shared" si="150"/>
        <v>2025-07</v>
      </c>
      <c r="AC845" t="str">
        <f t="shared" si="151"/>
        <v>Q2-2025</v>
      </c>
      <c r="AD845" s="5">
        <f t="shared" si="152"/>
        <v>85</v>
      </c>
      <c r="AE845" t="str">
        <f t="shared" si="153"/>
        <v>Lost</v>
      </c>
    </row>
    <row r="846" spans="1:31">
      <c r="A846" t="s">
        <v>948</v>
      </c>
      <c r="B846" s="1">
        <v>46123</v>
      </c>
      <c r="C846" t="s">
        <v>50</v>
      </c>
      <c r="D846" t="s">
        <v>43</v>
      </c>
      <c r="E846" t="s">
        <v>44</v>
      </c>
      <c r="F846" t="s">
        <v>133</v>
      </c>
      <c r="G846" t="s">
        <v>94</v>
      </c>
      <c r="H846" t="s">
        <v>53</v>
      </c>
      <c r="I846" t="s">
        <v>77</v>
      </c>
      <c r="J846" s="1">
        <v>46139</v>
      </c>
      <c r="K846" s="1">
        <v>46139</v>
      </c>
      <c r="L846" s="3">
        <v>53500</v>
      </c>
      <c r="M846" s="4">
        <v>0.03</v>
      </c>
      <c r="N846" s="4">
        <v>1</v>
      </c>
      <c r="P846">
        <v>6</v>
      </c>
      <c r="Q846" t="str">
        <f>IFERROR(VLOOKUP(E846,Lookups!$A$5:$B$24,2,FALSE),"Other")</f>
        <v>Organic Search</v>
      </c>
      <c r="R846" t="str">
        <f>IFERROR(VLOOKUP(F846,Lookups!$D$5:$F$10,2,FALSE),"Unknown Product")</f>
        <v>Analytics Plus</v>
      </c>
      <c r="S846" t="str">
        <f>IFERROR(VLOOKUP(F846,Lookups!$D$5:$F$10,3,FALSE),"Unknown")</f>
        <v>Analytics</v>
      </c>
      <c r="T846" t="str">
        <f t="shared" si="143"/>
        <v>Enterprise</v>
      </c>
      <c r="U846" t="str">
        <f t="shared" si="144"/>
        <v>Won</v>
      </c>
      <c r="V846" s="3">
        <f t="shared" si="145"/>
        <v>51895</v>
      </c>
      <c r="W846" s="3">
        <f t="shared" si="146"/>
        <v>0</v>
      </c>
      <c r="X846" s="5">
        <f t="shared" si="147"/>
        <v>16</v>
      </c>
      <c r="Y846" s="5">
        <f>IF(U846="Open",Lookups!$B$2-B846,X846)</f>
        <v>16</v>
      </c>
      <c r="Z846" t="str">
        <f t="shared" si="148"/>
        <v>OK</v>
      </c>
      <c r="AA846" t="str">
        <f t="shared" si="149"/>
        <v>2026-04</v>
      </c>
      <c r="AB846" t="str">
        <f t="shared" si="150"/>
        <v>2026-04</v>
      </c>
      <c r="AC846" t="str">
        <f t="shared" si="151"/>
        <v>Q2-2026</v>
      </c>
      <c r="AD846" s="5">
        <f t="shared" si="152"/>
        <v>72</v>
      </c>
      <c r="AE846" t="str">
        <f t="shared" si="153"/>
        <v>Won</v>
      </c>
    </row>
    <row r="847" spans="1:31">
      <c r="A847" t="s">
        <v>949</v>
      </c>
      <c r="B847" s="1">
        <v>45760</v>
      </c>
      <c r="C847" t="s">
        <v>64</v>
      </c>
      <c r="D847" t="s">
        <v>57</v>
      </c>
      <c r="E847" t="s">
        <v>98</v>
      </c>
      <c r="F847" t="s">
        <v>52</v>
      </c>
      <c r="G847" t="s">
        <v>112</v>
      </c>
      <c r="H847" t="s">
        <v>84</v>
      </c>
      <c r="I847" t="s">
        <v>61</v>
      </c>
      <c r="J847" s="1">
        <v>45823</v>
      </c>
      <c r="K847" s="1">
        <v>45823</v>
      </c>
      <c r="L847" s="3">
        <v>28700</v>
      </c>
      <c r="M847" s="4">
        <v>0</v>
      </c>
      <c r="N847" s="4">
        <v>0</v>
      </c>
      <c r="O847" t="s">
        <v>81</v>
      </c>
      <c r="P847">
        <v>4</v>
      </c>
      <c r="Q847" t="str">
        <f>IFERROR(VLOOKUP(E847,Lookups!$A$5:$B$24,2,FALSE),"Other")</f>
        <v>Outbound</v>
      </c>
      <c r="R847" t="str">
        <f>IFERROR(VLOOKUP(F847,Lookups!$D$5:$F$10,2,FALSE),"Unknown Product")</f>
        <v>NexaCRM Core</v>
      </c>
      <c r="S847" t="str">
        <f>IFERROR(VLOOKUP(F847,Lookups!$D$5:$F$10,3,FALSE),"Unknown")</f>
        <v>CRM</v>
      </c>
      <c r="T847" t="str">
        <f t="shared" si="143"/>
        <v>Mid-Market</v>
      </c>
      <c r="U847" t="str">
        <f t="shared" si="144"/>
        <v>Lost</v>
      </c>
      <c r="V847" s="3">
        <f t="shared" si="145"/>
        <v>0</v>
      </c>
      <c r="W847" s="3">
        <f t="shared" si="146"/>
        <v>0</v>
      </c>
      <c r="X847" s="5">
        <f t="shared" si="147"/>
        <v>63</v>
      </c>
      <c r="Y847" s="5">
        <f>IF(U847="Open",Lookups!$B$2-B847,X847)</f>
        <v>63</v>
      </c>
      <c r="Z847" t="str">
        <f t="shared" si="148"/>
        <v>OK</v>
      </c>
      <c r="AA847" t="str">
        <f t="shared" si="149"/>
        <v>2025-04</v>
      </c>
      <c r="AB847" t="str">
        <f t="shared" si="150"/>
        <v>2025-06</v>
      </c>
      <c r="AC847" t="str">
        <f t="shared" si="151"/>
        <v>Q2-2025</v>
      </c>
      <c r="AD847" s="5">
        <f t="shared" si="152"/>
        <v>72</v>
      </c>
      <c r="AE847" t="str">
        <f t="shared" si="153"/>
        <v>Lost</v>
      </c>
    </row>
    <row r="848" spans="1:31">
      <c r="A848" t="s">
        <v>950</v>
      </c>
      <c r="B848" s="1">
        <v>45976</v>
      </c>
      <c r="C848" t="s">
        <v>69</v>
      </c>
      <c r="D848" t="s">
        <v>57</v>
      </c>
      <c r="E848" t="s">
        <v>96</v>
      </c>
      <c r="F848" t="s">
        <v>71</v>
      </c>
      <c r="G848" t="s">
        <v>46</v>
      </c>
      <c r="H848" t="s">
        <v>47</v>
      </c>
      <c r="I848" t="s">
        <v>61</v>
      </c>
      <c r="J848" s="1">
        <v>46028</v>
      </c>
      <c r="K848" s="1">
        <v>46028</v>
      </c>
      <c r="L848" s="3">
        <v>9700</v>
      </c>
      <c r="M848" s="4">
        <v>0</v>
      </c>
      <c r="N848" s="4">
        <v>0</v>
      </c>
      <c r="O848" t="s">
        <v>116</v>
      </c>
      <c r="P848">
        <v>4</v>
      </c>
      <c r="Q848" t="str">
        <f>IFERROR(VLOOKUP(E848,Lookups!$A$5:$B$24,2,FALSE),"Other")</f>
        <v>LinkedIn</v>
      </c>
      <c r="R848" t="str">
        <f>IFERROR(VLOOKUP(F848,Lookups!$D$5:$F$10,2,FALSE),"Unknown Product")</f>
        <v>Marketing Automation</v>
      </c>
      <c r="S848" t="str">
        <f>IFERROR(VLOOKUP(F848,Lookups!$D$5:$F$10,3,FALSE),"Unknown")</f>
        <v>Marketing</v>
      </c>
      <c r="T848" t="str">
        <f t="shared" si="143"/>
        <v>SMB</v>
      </c>
      <c r="U848" t="str">
        <f t="shared" si="144"/>
        <v>Lost</v>
      </c>
      <c r="V848" s="3">
        <f t="shared" si="145"/>
        <v>0</v>
      </c>
      <c r="W848" s="3">
        <f t="shared" si="146"/>
        <v>0</v>
      </c>
      <c r="X848" s="5">
        <f t="shared" si="147"/>
        <v>52</v>
      </c>
      <c r="Y848" s="5">
        <f>IF(U848="Open",Lookups!$B$2-B848,X848)</f>
        <v>52</v>
      </c>
      <c r="Z848" t="str">
        <f t="shared" si="148"/>
        <v>OK</v>
      </c>
      <c r="AA848" t="str">
        <f t="shared" si="149"/>
        <v>2025-11</v>
      </c>
      <c r="AB848" t="str">
        <f t="shared" si="150"/>
        <v>2026-01</v>
      </c>
      <c r="AC848" t="str">
        <f t="shared" si="151"/>
        <v>Q4-2025</v>
      </c>
      <c r="AD848" s="5">
        <f t="shared" si="152"/>
        <v>43</v>
      </c>
      <c r="AE848" t="str">
        <f t="shared" si="153"/>
        <v>Lost</v>
      </c>
    </row>
    <row r="849" spans="1:31">
      <c r="A849" t="s">
        <v>951</v>
      </c>
      <c r="B849" s="1">
        <v>45825</v>
      </c>
      <c r="C849" t="s">
        <v>69</v>
      </c>
      <c r="D849" t="s">
        <v>57</v>
      </c>
      <c r="E849" t="s">
        <v>107</v>
      </c>
      <c r="F849" t="s">
        <v>52</v>
      </c>
      <c r="G849" t="s">
        <v>72</v>
      </c>
      <c r="H849" t="s">
        <v>47</v>
      </c>
      <c r="I849" t="s">
        <v>61</v>
      </c>
      <c r="J849" s="1">
        <v>45857</v>
      </c>
      <c r="K849" s="1">
        <v>45857</v>
      </c>
      <c r="L849" s="3">
        <v>4600</v>
      </c>
      <c r="M849" s="4">
        <v>0</v>
      </c>
      <c r="N849" s="4">
        <v>0</v>
      </c>
      <c r="O849" t="s">
        <v>79</v>
      </c>
      <c r="P849">
        <v>4</v>
      </c>
      <c r="Q849" t="str">
        <f>IFERROR(VLOOKUP(E849,Lookups!$A$5:$B$24,2,FALSE),"Other")</f>
        <v>Referral</v>
      </c>
      <c r="R849" t="str">
        <f>IFERROR(VLOOKUP(F849,Lookups!$D$5:$F$10,2,FALSE),"Unknown Product")</f>
        <v>NexaCRM Core</v>
      </c>
      <c r="S849" t="str">
        <f>IFERROR(VLOOKUP(F849,Lookups!$D$5:$F$10,3,FALSE),"Unknown")</f>
        <v>CRM</v>
      </c>
      <c r="T849" t="str">
        <f t="shared" si="143"/>
        <v>SMB</v>
      </c>
      <c r="U849" t="str">
        <f t="shared" si="144"/>
        <v>Lost</v>
      </c>
      <c r="V849" s="3">
        <f t="shared" si="145"/>
        <v>0</v>
      </c>
      <c r="W849" s="3">
        <f t="shared" si="146"/>
        <v>0</v>
      </c>
      <c r="X849" s="5">
        <f t="shared" si="147"/>
        <v>32</v>
      </c>
      <c r="Y849" s="5">
        <f>IF(U849="Open",Lookups!$B$2-B849,X849)</f>
        <v>32</v>
      </c>
      <c r="Z849" t="str">
        <f t="shared" si="148"/>
        <v>OK</v>
      </c>
      <c r="AA849" t="str">
        <f t="shared" si="149"/>
        <v>2025-06</v>
      </c>
      <c r="AB849" t="str">
        <f t="shared" si="150"/>
        <v>2025-07</v>
      </c>
      <c r="AC849" t="str">
        <f t="shared" si="151"/>
        <v>Q2-2025</v>
      </c>
      <c r="AD849" s="5">
        <f t="shared" si="152"/>
        <v>54</v>
      </c>
      <c r="AE849" t="str">
        <f t="shared" si="153"/>
        <v>Lost</v>
      </c>
    </row>
    <row r="850" spans="1:31">
      <c r="A850" t="s">
        <v>952</v>
      </c>
      <c r="B850" s="1">
        <v>45663</v>
      </c>
      <c r="C850" t="s">
        <v>69</v>
      </c>
      <c r="D850" t="s">
        <v>57</v>
      </c>
      <c r="E850" t="s">
        <v>44</v>
      </c>
      <c r="F850" t="s">
        <v>45</v>
      </c>
      <c r="G850" t="s">
        <v>112</v>
      </c>
      <c r="H850" t="s">
        <v>53</v>
      </c>
      <c r="I850" t="s">
        <v>61</v>
      </c>
      <c r="J850" s="1">
        <v>45742</v>
      </c>
      <c r="K850" s="1">
        <v>45742</v>
      </c>
      <c r="L850" s="3">
        <v>35200</v>
      </c>
      <c r="M850" s="4">
        <v>0</v>
      </c>
      <c r="N850" s="4">
        <v>0</v>
      </c>
      <c r="O850" t="s">
        <v>62</v>
      </c>
      <c r="P850">
        <v>5</v>
      </c>
      <c r="Q850" t="str">
        <f>IFERROR(VLOOKUP(E850,Lookups!$A$5:$B$24,2,FALSE),"Other")</f>
        <v>Organic Search</v>
      </c>
      <c r="R850" t="str">
        <f>IFERROR(VLOOKUP(F850,Lookups!$D$5:$F$10,2,FALSE),"Unknown Product")</f>
        <v>Service Cloud</v>
      </c>
      <c r="S850" t="str">
        <f>IFERROR(VLOOKUP(F850,Lookups!$D$5:$F$10,3,FALSE),"Unknown")</f>
        <v>Customer Service</v>
      </c>
      <c r="T850" t="str">
        <f t="shared" si="143"/>
        <v>Mid-Market</v>
      </c>
      <c r="U850" t="str">
        <f t="shared" si="144"/>
        <v>Lost</v>
      </c>
      <c r="V850" s="3">
        <f t="shared" si="145"/>
        <v>0</v>
      </c>
      <c r="W850" s="3">
        <f t="shared" si="146"/>
        <v>0</v>
      </c>
      <c r="X850" s="5">
        <f t="shared" si="147"/>
        <v>79</v>
      </c>
      <c r="Y850" s="5">
        <f>IF(U850="Open",Lookups!$B$2-B850,X850)</f>
        <v>79</v>
      </c>
      <c r="Z850" t="str">
        <f t="shared" si="148"/>
        <v>OK</v>
      </c>
      <c r="AA850" t="str">
        <f t="shared" si="149"/>
        <v>2025-01</v>
      </c>
      <c r="AB850" t="str">
        <f t="shared" si="150"/>
        <v>2025-03</v>
      </c>
      <c r="AC850" t="str">
        <f t="shared" si="151"/>
        <v>Q1-2025</v>
      </c>
      <c r="AD850" s="5">
        <f t="shared" si="152"/>
        <v>70</v>
      </c>
      <c r="AE850" t="str">
        <f t="shared" si="153"/>
        <v>Lost</v>
      </c>
    </row>
    <row r="851" spans="1:31">
      <c r="A851" t="s">
        <v>953</v>
      </c>
      <c r="B851" s="1">
        <v>45658</v>
      </c>
      <c r="C851" t="s">
        <v>69</v>
      </c>
      <c r="D851" t="s">
        <v>57</v>
      </c>
      <c r="E851" t="s">
        <v>166</v>
      </c>
      <c r="F851" t="s">
        <v>45</v>
      </c>
      <c r="G851" t="s">
        <v>112</v>
      </c>
      <c r="H851" t="s">
        <v>53</v>
      </c>
      <c r="I851" t="s">
        <v>61</v>
      </c>
      <c r="J851" s="1">
        <v>45680</v>
      </c>
      <c r="K851" s="1">
        <v>45680</v>
      </c>
      <c r="L851" s="3">
        <v>44400</v>
      </c>
      <c r="M851" s="4">
        <v>0</v>
      </c>
      <c r="N851" s="4">
        <v>0</v>
      </c>
      <c r="O851" t="s">
        <v>116</v>
      </c>
      <c r="P851">
        <v>3</v>
      </c>
      <c r="Q851" t="str">
        <f>IFERROR(VLOOKUP(E851,Lookups!$A$5:$B$24,2,FALSE),"Other")</f>
        <v>Referral</v>
      </c>
      <c r="R851" t="str">
        <f>IFERROR(VLOOKUP(F851,Lookups!$D$5:$F$10,2,FALSE),"Unknown Product")</f>
        <v>Service Cloud</v>
      </c>
      <c r="S851" t="str">
        <f>IFERROR(VLOOKUP(F851,Lookups!$D$5:$F$10,3,FALSE),"Unknown")</f>
        <v>Customer Service</v>
      </c>
      <c r="T851" t="str">
        <f t="shared" si="143"/>
        <v>Mid-Market</v>
      </c>
      <c r="U851" t="str">
        <f t="shared" si="144"/>
        <v>Lost</v>
      </c>
      <c r="V851" s="3">
        <f t="shared" si="145"/>
        <v>0</v>
      </c>
      <c r="W851" s="3">
        <f t="shared" si="146"/>
        <v>0</v>
      </c>
      <c r="X851" s="5">
        <f t="shared" si="147"/>
        <v>22</v>
      </c>
      <c r="Y851" s="5">
        <f>IF(U851="Open",Lookups!$B$2-B851,X851)</f>
        <v>22</v>
      </c>
      <c r="Z851" t="str">
        <f t="shared" si="148"/>
        <v>OK</v>
      </c>
      <c r="AA851" t="str">
        <f t="shared" si="149"/>
        <v>2025-01</v>
      </c>
      <c r="AB851" t="str">
        <f t="shared" si="150"/>
        <v>2025-01</v>
      </c>
      <c r="AC851" t="str">
        <f t="shared" si="151"/>
        <v>Q1-2025</v>
      </c>
      <c r="AD851" s="5">
        <f t="shared" si="152"/>
        <v>75</v>
      </c>
      <c r="AE851" t="str">
        <f t="shared" si="153"/>
        <v>Lost</v>
      </c>
    </row>
    <row r="852" spans="1:31">
      <c r="A852" t="s">
        <v>954</v>
      </c>
      <c r="B852" s="1">
        <v>46026</v>
      </c>
      <c r="C852" t="s">
        <v>90</v>
      </c>
      <c r="D852" t="s">
        <v>57</v>
      </c>
      <c r="E852" t="s">
        <v>119</v>
      </c>
      <c r="F852" t="s">
        <v>59</v>
      </c>
      <c r="G852" t="s">
        <v>60</v>
      </c>
      <c r="H852" t="s">
        <v>47</v>
      </c>
      <c r="I852" t="s">
        <v>61</v>
      </c>
      <c r="J852" s="1">
        <v>46088</v>
      </c>
      <c r="K852" s="1">
        <v>46088</v>
      </c>
      <c r="L852" s="3">
        <v>12400</v>
      </c>
      <c r="M852" s="4">
        <v>0</v>
      </c>
      <c r="N852" s="4">
        <v>0</v>
      </c>
      <c r="O852" t="s">
        <v>79</v>
      </c>
      <c r="P852">
        <v>4</v>
      </c>
      <c r="Q852" t="str">
        <f>IFERROR(VLOOKUP(E852,Lookups!$A$5:$B$24,2,FALSE),"Other")</f>
        <v>Referral</v>
      </c>
      <c r="R852" t="str">
        <f>IFERROR(VLOOKUP(F852,Lookups!$D$5:$F$10,2,FALSE),"Unknown Product")</f>
        <v>NexaCRM Pro</v>
      </c>
      <c r="S852" t="str">
        <f>IFERROR(VLOOKUP(F852,Lookups!$D$5:$F$10,3,FALSE),"Unknown")</f>
        <v>CRM</v>
      </c>
      <c r="T852" t="str">
        <f t="shared" si="143"/>
        <v>SMB</v>
      </c>
      <c r="U852" t="str">
        <f t="shared" si="144"/>
        <v>Lost</v>
      </c>
      <c r="V852" s="3">
        <f t="shared" si="145"/>
        <v>0</v>
      </c>
      <c r="W852" s="3">
        <f t="shared" si="146"/>
        <v>0</v>
      </c>
      <c r="X852" s="5">
        <f t="shared" si="147"/>
        <v>62</v>
      </c>
      <c r="Y852" s="5">
        <f>IF(U852="Open",Lookups!$B$2-B852,X852)</f>
        <v>62</v>
      </c>
      <c r="Z852" t="str">
        <f t="shared" si="148"/>
        <v>OK</v>
      </c>
      <c r="AA852" t="str">
        <f t="shared" si="149"/>
        <v>2026-01</v>
      </c>
      <c r="AB852" t="str">
        <f t="shared" si="150"/>
        <v>2026-03</v>
      </c>
      <c r="AC852" t="str">
        <f t="shared" si="151"/>
        <v>Q1-2026</v>
      </c>
      <c r="AD852" s="5">
        <f t="shared" si="152"/>
        <v>54</v>
      </c>
      <c r="AE852" t="str">
        <f t="shared" si="153"/>
        <v>Lost</v>
      </c>
    </row>
    <row r="853" spans="1:31">
      <c r="A853" t="s">
        <v>955</v>
      </c>
      <c r="B853" s="1">
        <v>45743</v>
      </c>
      <c r="C853" t="s">
        <v>86</v>
      </c>
      <c r="D853" t="s">
        <v>87</v>
      </c>
      <c r="E853" t="s">
        <v>44</v>
      </c>
      <c r="F853" t="s">
        <v>59</v>
      </c>
      <c r="G853" t="s">
        <v>94</v>
      </c>
      <c r="H853" t="s">
        <v>47</v>
      </c>
      <c r="I853" t="s">
        <v>77</v>
      </c>
      <c r="J853" s="1">
        <v>45783</v>
      </c>
      <c r="K853" s="1">
        <v>45783</v>
      </c>
      <c r="L853" s="3">
        <v>14600</v>
      </c>
      <c r="M853" s="4">
        <v>0.1</v>
      </c>
      <c r="N853" s="4">
        <v>1</v>
      </c>
      <c r="P853">
        <v>6</v>
      </c>
      <c r="Q853" t="str">
        <f>IFERROR(VLOOKUP(E853,Lookups!$A$5:$B$24,2,FALSE),"Other")</f>
        <v>Organic Search</v>
      </c>
      <c r="R853" t="str">
        <f>IFERROR(VLOOKUP(F853,Lookups!$D$5:$F$10,2,FALSE),"Unknown Product")</f>
        <v>NexaCRM Pro</v>
      </c>
      <c r="S853" t="str">
        <f>IFERROR(VLOOKUP(F853,Lookups!$D$5:$F$10,3,FALSE),"Unknown")</f>
        <v>CRM</v>
      </c>
      <c r="T853" t="str">
        <f t="shared" si="143"/>
        <v>SMB</v>
      </c>
      <c r="U853" t="str">
        <f t="shared" si="144"/>
        <v>Won</v>
      </c>
      <c r="V853" s="3">
        <f t="shared" si="145"/>
        <v>13140</v>
      </c>
      <c r="W853" s="3">
        <f t="shared" si="146"/>
        <v>0</v>
      </c>
      <c r="X853" s="5">
        <f t="shared" si="147"/>
        <v>40</v>
      </c>
      <c r="Y853" s="5">
        <f>IF(U853="Open",Lookups!$B$2-B853,X853)</f>
        <v>40</v>
      </c>
      <c r="Z853" t="str">
        <f t="shared" si="148"/>
        <v>OK</v>
      </c>
      <c r="AA853" t="str">
        <f t="shared" si="149"/>
        <v>2025-03</v>
      </c>
      <c r="AB853" t="str">
        <f t="shared" si="150"/>
        <v>2025-05</v>
      </c>
      <c r="AC853" t="str">
        <f t="shared" si="151"/>
        <v>Q1-2025</v>
      </c>
      <c r="AD853" s="5">
        <f t="shared" si="152"/>
        <v>49</v>
      </c>
      <c r="AE853" t="str">
        <f t="shared" si="153"/>
        <v>Won</v>
      </c>
    </row>
    <row r="854" spans="1:31">
      <c r="A854" t="s">
        <v>956</v>
      </c>
      <c r="B854" s="1">
        <v>45777</v>
      </c>
      <c r="C854" t="s">
        <v>64</v>
      </c>
      <c r="D854" t="s">
        <v>57</v>
      </c>
      <c r="E854" t="s">
        <v>119</v>
      </c>
      <c r="F854" t="s">
        <v>45</v>
      </c>
      <c r="G854" t="s">
        <v>72</v>
      </c>
      <c r="H854" t="s">
        <v>47</v>
      </c>
      <c r="I854" t="s">
        <v>61</v>
      </c>
      <c r="J854" s="1">
        <v>45809</v>
      </c>
      <c r="K854" s="1">
        <v>45809</v>
      </c>
      <c r="L854" s="3">
        <v>27500</v>
      </c>
      <c r="M854" s="4">
        <v>0</v>
      </c>
      <c r="N854" s="4">
        <v>0</v>
      </c>
      <c r="O854" t="s">
        <v>62</v>
      </c>
      <c r="P854">
        <v>3</v>
      </c>
      <c r="Q854" t="str">
        <f>IFERROR(VLOOKUP(E854,Lookups!$A$5:$B$24,2,FALSE),"Other")</f>
        <v>Referral</v>
      </c>
      <c r="R854" t="str">
        <f>IFERROR(VLOOKUP(F854,Lookups!$D$5:$F$10,2,FALSE),"Unknown Product")</f>
        <v>Service Cloud</v>
      </c>
      <c r="S854" t="str">
        <f>IFERROR(VLOOKUP(F854,Lookups!$D$5:$F$10,3,FALSE),"Unknown")</f>
        <v>Customer Service</v>
      </c>
      <c r="T854" t="str">
        <f t="shared" si="143"/>
        <v>Mid-Market</v>
      </c>
      <c r="U854" t="str">
        <f t="shared" si="144"/>
        <v>Lost</v>
      </c>
      <c r="V854" s="3">
        <f t="shared" si="145"/>
        <v>0</v>
      </c>
      <c r="W854" s="3">
        <f t="shared" si="146"/>
        <v>0</v>
      </c>
      <c r="X854" s="5">
        <f t="shared" si="147"/>
        <v>32</v>
      </c>
      <c r="Y854" s="5">
        <f>IF(U854="Open",Lookups!$B$2-B854,X854)</f>
        <v>32</v>
      </c>
      <c r="Z854" t="str">
        <f t="shared" si="148"/>
        <v>OK</v>
      </c>
      <c r="AA854" t="str">
        <f t="shared" si="149"/>
        <v>2025-04</v>
      </c>
      <c r="AB854" t="str">
        <f t="shared" si="150"/>
        <v>2025-06</v>
      </c>
      <c r="AC854" t="str">
        <f t="shared" si="151"/>
        <v>Q2-2025</v>
      </c>
      <c r="AD854" s="5">
        <f t="shared" si="152"/>
        <v>62</v>
      </c>
      <c r="AE854" t="str">
        <f t="shared" si="153"/>
        <v>Lost</v>
      </c>
    </row>
    <row r="855" spans="1:31">
      <c r="A855" t="s">
        <v>957</v>
      </c>
      <c r="B855" s="1">
        <v>46248</v>
      </c>
      <c r="C855" t="s">
        <v>86</v>
      </c>
      <c r="D855" t="s">
        <v>87</v>
      </c>
      <c r="E855" t="s">
        <v>146</v>
      </c>
      <c r="F855" t="s">
        <v>52</v>
      </c>
      <c r="G855" t="s">
        <v>60</v>
      </c>
      <c r="H855" t="s">
        <v>84</v>
      </c>
      <c r="I855" t="s">
        <v>73</v>
      </c>
      <c r="J855" s="1">
        <v>46254</v>
      </c>
      <c r="K855" s="1"/>
      <c r="L855" s="3">
        <v>32700</v>
      </c>
      <c r="M855" s="4">
        <v>0.05</v>
      </c>
      <c r="N855" s="4">
        <v>0.2</v>
      </c>
      <c r="P855">
        <v>2</v>
      </c>
      <c r="Q855" t="str">
        <f>IFERROR(VLOOKUP(E855,Lookups!$A$5:$B$24,2,FALSE),"Other")</f>
        <v>LinkedIn</v>
      </c>
      <c r="R855" t="str">
        <f>IFERROR(VLOOKUP(F855,Lookups!$D$5:$F$10,2,FALSE),"Unknown Product")</f>
        <v>NexaCRM Core</v>
      </c>
      <c r="S855" t="str">
        <f>IFERROR(VLOOKUP(F855,Lookups!$D$5:$F$10,3,FALSE),"Unknown")</f>
        <v>CRM</v>
      </c>
      <c r="T855" t="str">
        <f t="shared" si="143"/>
        <v>Mid-Market</v>
      </c>
      <c r="U855" t="str">
        <f t="shared" si="144"/>
        <v>Open</v>
      </c>
      <c r="V855" s="3">
        <f t="shared" si="145"/>
        <v>0</v>
      </c>
      <c r="W855" s="3">
        <f t="shared" si="146"/>
        <v>6540</v>
      </c>
      <c r="X855" s="5" t="str">
        <f t="shared" si="147"/>
        <v/>
      </c>
      <c r="Y855" s="5">
        <f>IF(U855="Open",Lookups!$B$2-B855,X855)</f>
        <v>18</v>
      </c>
      <c r="Z855" t="str">
        <f t="shared" si="148"/>
        <v>OK</v>
      </c>
      <c r="AA855" t="str">
        <f t="shared" si="149"/>
        <v>2026-08</v>
      </c>
      <c r="AB855" t="str">
        <f t="shared" si="150"/>
        <v/>
      </c>
      <c r="AC855" t="str">
        <f t="shared" si="151"/>
        <v>Q3-2026</v>
      </c>
      <c r="AD855" s="5">
        <f t="shared" si="152"/>
        <v>67</v>
      </c>
      <c r="AE855" t="str">
        <f t="shared" si="153"/>
        <v>Pipeline</v>
      </c>
    </row>
    <row r="856" spans="1:31">
      <c r="A856" t="s">
        <v>958</v>
      </c>
      <c r="B856" s="1">
        <v>46138</v>
      </c>
      <c r="C856" t="s">
        <v>86</v>
      </c>
      <c r="D856" t="s">
        <v>87</v>
      </c>
      <c r="E856" t="s">
        <v>138</v>
      </c>
      <c r="F856" t="s">
        <v>59</v>
      </c>
      <c r="G856" t="s">
        <v>76</v>
      </c>
      <c r="H856" t="s">
        <v>47</v>
      </c>
      <c r="I856" t="s">
        <v>105</v>
      </c>
      <c r="J856" s="1">
        <v>46227</v>
      </c>
      <c r="K856" s="1"/>
      <c r="L856" s="3">
        <v>18900</v>
      </c>
      <c r="M856" s="4">
        <v>0.03</v>
      </c>
      <c r="N856" s="4">
        <v>0.4</v>
      </c>
      <c r="P856">
        <v>3</v>
      </c>
      <c r="Q856" t="str">
        <f>IFERROR(VLOOKUP(E856,Lookups!$A$5:$B$24,2,FALSE),"Other")</f>
        <v>Organic Search</v>
      </c>
      <c r="R856" t="str">
        <f>IFERROR(VLOOKUP(F856,Lookups!$D$5:$F$10,2,FALSE),"Unknown Product")</f>
        <v>NexaCRM Pro</v>
      </c>
      <c r="S856" t="str">
        <f>IFERROR(VLOOKUP(F856,Lookups!$D$5:$F$10,3,FALSE),"Unknown")</f>
        <v>CRM</v>
      </c>
      <c r="T856" t="str">
        <f t="shared" si="143"/>
        <v>SMB</v>
      </c>
      <c r="U856" t="str">
        <f t="shared" si="144"/>
        <v>Open</v>
      </c>
      <c r="V856" s="3">
        <f t="shared" si="145"/>
        <v>0</v>
      </c>
      <c r="W856" s="3">
        <f t="shared" si="146"/>
        <v>7560</v>
      </c>
      <c r="X856" s="5" t="str">
        <f t="shared" si="147"/>
        <v/>
      </c>
      <c r="Y856" s="5">
        <f>IF(U856="Open",Lookups!$B$2-B856,X856)</f>
        <v>128</v>
      </c>
      <c r="Z856" t="str">
        <f t="shared" si="148"/>
        <v>STALE</v>
      </c>
      <c r="AA856" t="str">
        <f t="shared" si="149"/>
        <v>2026-04</v>
      </c>
      <c r="AB856" t="str">
        <f t="shared" si="150"/>
        <v/>
      </c>
      <c r="AC856" t="str">
        <f t="shared" si="151"/>
        <v>Q2-2026</v>
      </c>
      <c r="AD856" s="5">
        <f t="shared" si="152"/>
        <v>49</v>
      </c>
      <c r="AE856" t="str">
        <f t="shared" si="153"/>
        <v>Pipeline</v>
      </c>
    </row>
    <row r="857" spans="1:31">
      <c r="A857" t="s">
        <v>959</v>
      </c>
      <c r="B857" s="1">
        <v>45936</v>
      </c>
      <c r="C857" t="s">
        <v>64</v>
      </c>
      <c r="D857" t="s">
        <v>57</v>
      </c>
      <c r="E857" t="s">
        <v>160</v>
      </c>
      <c r="F857" t="s">
        <v>71</v>
      </c>
      <c r="G857" t="s">
        <v>76</v>
      </c>
      <c r="H857" t="s">
        <v>53</v>
      </c>
      <c r="I857" t="s">
        <v>77</v>
      </c>
      <c r="J857" s="1">
        <v>46005</v>
      </c>
      <c r="K857" s="1">
        <v>46005</v>
      </c>
      <c r="L857" s="3">
        <v>36400</v>
      </c>
      <c r="M857" s="4">
        <v>0.08</v>
      </c>
      <c r="N857" s="4">
        <v>1</v>
      </c>
      <c r="P857">
        <v>6</v>
      </c>
      <c r="Q857" t="str">
        <f>IFERROR(VLOOKUP(E857,Lookups!$A$5:$B$24,2,FALSE),"Other")</f>
        <v>Email</v>
      </c>
      <c r="R857" t="str">
        <f>IFERROR(VLOOKUP(F857,Lookups!$D$5:$F$10,2,FALSE),"Unknown Product")</f>
        <v>Marketing Automation</v>
      </c>
      <c r="S857" t="str">
        <f>IFERROR(VLOOKUP(F857,Lookups!$D$5:$F$10,3,FALSE),"Unknown")</f>
        <v>Marketing</v>
      </c>
      <c r="T857" t="str">
        <f t="shared" si="143"/>
        <v>Mid-Market</v>
      </c>
      <c r="U857" t="str">
        <f t="shared" si="144"/>
        <v>Won</v>
      </c>
      <c r="V857" s="3">
        <f t="shared" si="145"/>
        <v>33488</v>
      </c>
      <c r="W857" s="3">
        <f t="shared" si="146"/>
        <v>0</v>
      </c>
      <c r="X857" s="5">
        <f t="shared" si="147"/>
        <v>69</v>
      </c>
      <c r="Y857" s="5">
        <f>IF(U857="Open",Lookups!$B$2-B857,X857)</f>
        <v>69</v>
      </c>
      <c r="Z857" t="str">
        <f t="shared" si="148"/>
        <v>OK</v>
      </c>
      <c r="AA857" t="str">
        <f t="shared" si="149"/>
        <v>2025-10</v>
      </c>
      <c r="AB857" t="str">
        <f t="shared" si="150"/>
        <v>2025-12</v>
      </c>
      <c r="AC857" t="str">
        <f t="shared" si="151"/>
        <v>Q4-2025</v>
      </c>
      <c r="AD857" s="5">
        <f t="shared" si="152"/>
        <v>63</v>
      </c>
      <c r="AE857" t="str">
        <f t="shared" si="153"/>
        <v>Won</v>
      </c>
    </row>
    <row r="858" spans="1:31">
      <c r="A858" t="s">
        <v>960</v>
      </c>
      <c r="B858" s="1">
        <v>46033</v>
      </c>
      <c r="C858" t="s">
        <v>56</v>
      </c>
      <c r="D858" t="s">
        <v>57</v>
      </c>
      <c r="E858" t="s">
        <v>123</v>
      </c>
      <c r="F858" t="s">
        <v>133</v>
      </c>
      <c r="G858" t="s">
        <v>99</v>
      </c>
      <c r="H858" t="s">
        <v>53</v>
      </c>
      <c r="I858" t="s">
        <v>61</v>
      </c>
      <c r="J858" s="1">
        <v>46096</v>
      </c>
      <c r="K858" s="1">
        <v>46096</v>
      </c>
      <c r="L858" s="3">
        <v>38700</v>
      </c>
      <c r="M858" s="4">
        <v>0</v>
      </c>
      <c r="N858" s="4">
        <v>0</v>
      </c>
      <c r="O858" t="s">
        <v>79</v>
      </c>
      <c r="P858">
        <v>3</v>
      </c>
      <c r="Q858" t="str">
        <f>IFERROR(VLOOKUP(E858,Lookups!$A$5:$B$24,2,FALSE),"Other")</f>
        <v>Email</v>
      </c>
      <c r="R858" t="str">
        <f>IFERROR(VLOOKUP(F858,Lookups!$D$5:$F$10,2,FALSE),"Unknown Product")</f>
        <v>Analytics Plus</v>
      </c>
      <c r="S858" t="str">
        <f>IFERROR(VLOOKUP(F858,Lookups!$D$5:$F$10,3,FALSE),"Unknown")</f>
        <v>Analytics</v>
      </c>
      <c r="T858" t="str">
        <f t="shared" si="143"/>
        <v>Mid-Market</v>
      </c>
      <c r="U858" t="str">
        <f t="shared" si="144"/>
        <v>Lost</v>
      </c>
      <c r="V858" s="3">
        <f t="shared" si="145"/>
        <v>0</v>
      </c>
      <c r="W858" s="3">
        <f t="shared" si="146"/>
        <v>0</v>
      </c>
      <c r="X858" s="5">
        <f t="shared" si="147"/>
        <v>63</v>
      </c>
      <c r="Y858" s="5">
        <f>IF(U858="Open",Lookups!$B$2-B858,X858)</f>
        <v>63</v>
      </c>
      <c r="Z858" t="str">
        <f t="shared" si="148"/>
        <v>OK</v>
      </c>
      <c r="AA858" t="str">
        <f t="shared" si="149"/>
        <v>2026-01</v>
      </c>
      <c r="AB858" t="str">
        <f t="shared" si="150"/>
        <v>2026-03</v>
      </c>
      <c r="AC858" t="str">
        <f t="shared" si="151"/>
        <v>Q1-2026</v>
      </c>
      <c r="AD858" s="5">
        <f t="shared" si="152"/>
        <v>63</v>
      </c>
      <c r="AE858" t="str">
        <f t="shared" si="153"/>
        <v>Lost</v>
      </c>
    </row>
    <row r="859" spans="1:31">
      <c r="A859" t="s">
        <v>961</v>
      </c>
      <c r="B859" s="1">
        <v>45954</v>
      </c>
      <c r="C859" t="s">
        <v>69</v>
      </c>
      <c r="D859" t="s">
        <v>57</v>
      </c>
      <c r="E859" t="s">
        <v>160</v>
      </c>
      <c r="F859" t="s">
        <v>67</v>
      </c>
      <c r="G859" t="s">
        <v>112</v>
      </c>
      <c r="H859" t="s">
        <v>47</v>
      </c>
      <c r="I859" t="s">
        <v>61</v>
      </c>
      <c r="J859" s="1">
        <v>45980</v>
      </c>
      <c r="K859" s="1">
        <v>45980</v>
      </c>
      <c r="L859" s="3">
        <v>48400</v>
      </c>
      <c r="M859" s="4">
        <v>0</v>
      </c>
      <c r="N859" s="4">
        <v>0</v>
      </c>
      <c r="O859" t="s">
        <v>102</v>
      </c>
      <c r="P859">
        <v>5</v>
      </c>
      <c r="Q859" t="str">
        <f>IFERROR(VLOOKUP(E859,Lookups!$A$5:$B$24,2,FALSE),"Other")</f>
        <v>Email</v>
      </c>
      <c r="R859" t="str">
        <f>IFERROR(VLOOKUP(F859,Lookups!$D$5:$F$10,2,FALSE),"Unknown Product")</f>
        <v>Revenue Operations Suite</v>
      </c>
      <c r="S859" t="str">
        <f>IFERROR(VLOOKUP(F859,Lookups!$D$5:$F$10,3,FALSE),"Unknown")</f>
        <v>Revenue Ops</v>
      </c>
      <c r="T859" t="str">
        <f t="shared" si="143"/>
        <v>Mid-Market</v>
      </c>
      <c r="U859" t="str">
        <f t="shared" si="144"/>
        <v>Lost</v>
      </c>
      <c r="V859" s="3">
        <f t="shared" si="145"/>
        <v>0</v>
      </c>
      <c r="W859" s="3">
        <f t="shared" si="146"/>
        <v>0</v>
      </c>
      <c r="X859" s="5">
        <f t="shared" si="147"/>
        <v>26</v>
      </c>
      <c r="Y859" s="5">
        <f>IF(U859="Open",Lookups!$B$2-B859,X859)</f>
        <v>26</v>
      </c>
      <c r="Z859" t="str">
        <f t="shared" si="148"/>
        <v>OK</v>
      </c>
      <c r="AA859" t="str">
        <f t="shared" si="149"/>
        <v>2025-10</v>
      </c>
      <c r="AB859" t="str">
        <f t="shared" si="150"/>
        <v>2025-11</v>
      </c>
      <c r="AC859" t="str">
        <f t="shared" si="151"/>
        <v>Q4-2025</v>
      </c>
      <c r="AD859" s="5">
        <f t="shared" si="152"/>
        <v>60</v>
      </c>
      <c r="AE859" t="str">
        <f t="shared" si="153"/>
        <v>Lost</v>
      </c>
    </row>
    <row r="860" spans="1:31">
      <c r="A860" t="s">
        <v>962</v>
      </c>
      <c r="B860" s="1">
        <v>45726</v>
      </c>
      <c r="C860" t="s">
        <v>69</v>
      </c>
      <c r="D860" t="s">
        <v>57</v>
      </c>
      <c r="E860" t="s">
        <v>115</v>
      </c>
      <c r="F860" t="s">
        <v>52</v>
      </c>
      <c r="G860" t="s">
        <v>72</v>
      </c>
      <c r="H860" t="s">
        <v>53</v>
      </c>
      <c r="I860" t="s">
        <v>61</v>
      </c>
      <c r="J860" s="1">
        <v>45771</v>
      </c>
      <c r="K860" s="1">
        <v>45771</v>
      </c>
      <c r="L860" s="3">
        <v>12300</v>
      </c>
      <c r="M860" s="4">
        <v>0</v>
      </c>
      <c r="N860" s="4">
        <v>0</v>
      </c>
      <c r="O860" t="s">
        <v>102</v>
      </c>
      <c r="P860">
        <v>3</v>
      </c>
      <c r="Q860" t="str">
        <f>IFERROR(VLOOKUP(E860,Lookups!$A$5:$B$24,2,FALSE),"Other")</f>
        <v>Outbound</v>
      </c>
      <c r="R860" t="str">
        <f>IFERROR(VLOOKUP(F860,Lookups!$D$5:$F$10,2,FALSE),"Unknown Product")</f>
        <v>NexaCRM Core</v>
      </c>
      <c r="S860" t="str">
        <f>IFERROR(VLOOKUP(F860,Lookups!$D$5:$F$10,3,FALSE),"Unknown")</f>
        <v>CRM</v>
      </c>
      <c r="T860" t="str">
        <f t="shared" si="143"/>
        <v>SMB</v>
      </c>
      <c r="U860" t="str">
        <f t="shared" si="144"/>
        <v>Lost</v>
      </c>
      <c r="V860" s="3">
        <f t="shared" si="145"/>
        <v>0</v>
      </c>
      <c r="W860" s="3">
        <f t="shared" si="146"/>
        <v>0</v>
      </c>
      <c r="X860" s="5">
        <f t="shared" si="147"/>
        <v>45</v>
      </c>
      <c r="Y860" s="5">
        <f>IF(U860="Open",Lookups!$B$2-B860,X860)</f>
        <v>45</v>
      </c>
      <c r="Z860" t="str">
        <f t="shared" si="148"/>
        <v>OK</v>
      </c>
      <c r="AA860" t="str">
        <f t="shared" si="149"/>
        <v>2025-03</v>
      </c>
      <c r="AB860" t="str">
        <f t="shared" si="150"/>
        <v>2025-04</v>
      </c>
      <c r="AC860" t="str">
        <f t="shared" si="151"/>
        <v>Q1-2025</v>
      </c>
      <c r="AD860" s="5">
        <f t="shared" si="152"/>
        <v>51</v>
      </c>
      <c r="AE860" t="str">
        <f t="shared" si="153"/>
        <v>Lost</v>
      </c>
    </row>
    <row r="861" spans="1:31">
      <c r="A861" t="s">
        <v>963</v>
      </c>
      <c r="B861" s="1">
        <v>46100</v>
      </c>
      <c r="C861" t="s">
        <v>64</v>
      </c>
      <c r="D861" t="s">
        <v>57</v>
      </c>
      <c r="E861" t="s">
        <v>51</v>
      </c>
      <c r="F861" t="s">
        <v>71</v>
      </c>
      <c r="G861" t="s">
        <v>72</v>
      </c>
      <c r="H861" t="s">
        <v>53</v>
      </c>
      <c r="I861" t="s">
        <v>61</v>
      </c>
      <c r="J861" s="1">
        <v>46160</v>
      </c>
      <c r="K861" s="1">
        <v>46160</v>
      </c>
      <c r="L861" s="3">
        <v>22400</v>
      </c>
      <c r="M861" s="4">
        <v>0</v>
      </c>
      <c r="N861" s="4">
        <v>0</v>
      </c>
      <c r="O861" t="s">
        <v>62</v>
      </c>
      <c r="P861">
        <v>5</v>
      </c>
      <c r="Q861" t="str">
        <f>IFERROR(VLOOKUP(E861,Lookups!$A$5:$B$24,2,FALSE),"Other")</f>
        <v>Paid Search</v>
      </c>
      <c r="R861" t="str">
        <f>IFERROR(VLOOKUP(F861,Lookups!$D$5:$F$10,2,FALSE),"Unknown Product")</f>
        <v>Marketing Automation</v>
      </c>
      <c r="S861" t="str">
        <f>IFERROR(VLOOKUP(F861,Lookups!$D$5:$F$10,3,FALSE),"Unknown")</f>
        <v>Marketing</v>
      </c>
      <c r="T861" t="str">
        <f t="shared" si="143"/>
        <v>Mid-Market</v>
      </c>
      <c r="U861" t="str">
        <f t="shared" si="144"/>
        <v>Lost</v>
      </c>
      <c r="V861" s="3">
        <f t="shared" si="145"/>
        <v>0</v>
      </c>
      <c r="W861" s="3">
        <f t="shared" si="146"/>
        <v>0</v>
      </c>
      <c r="X861" s="5">
        <f t="shared" si="147"/>
        <v>60</v>
      </c>
      <c r="Y861" s="5">
        <f>IF(U861="Open",Lookups!$B$2-B861,X861)</f>
        <v>60</v>
      </c>
      <c r="Z861" t="str">
        <f t="shared" si="148"/>
        <v>OK</v>
      </c>
      <c r="AA861" t="str">
        <f t="shared" si="149"/>
        <v>2026-03</v>
      </c>
      <c r="AB861" t="str">
        <f t="shared" si="150"/>
        <v>2026-05</v>
      </c>
      <c r="AC861" t="str">
        <f t="shared" si="151"/>
        <v>Q1-2026</v>
      </c>
      <c r="AD861" s="5">
        <f t="shared" si="152"/>
        <v>59</v>
      </c>
      <c r="AE861" t="str">
        <f t="shared" si="153"/>
        <v>Lost</v>
      </c>
    </row>
    <row r="862" spans="1:31">
      <c r="A862" t="s">
        <v>964</v>
      </c>
      <c r="B862" s="1">
        <v>45755</v>
      </c>
      <c r="C862" t="s">
        <v>86</v>
      </c>
      <c r="D862" t="s">
        <v>87</v>
      </c>
      <c r="E862" t="s">
        <v>160</v>
      </c>
      <c r="F862" t="s">
        <v>45</v>
      </c>
      <c r="G862" t="s">
        <v>72</v>
      </c>
      <c r="H862" t="s">
        <v>47</v>
      </c>
      <c r="I862" t="s">
        <v>48</v>
      </c>
      <c r="J862" s="1">
        <v>45980</v>
      </c>
      <c r="K862" s="1"/>
      <c r="L862" s="3">
        <v>18800</v>
      </c>
      <c r="M862" s="4">
        <v>0</v>
      </c>
      <c r="N862" s="4">
        <v>0.85</v>
      </c>
      <c r="P862">
        <v>5</v>
      </c>
      <c r="Q862" t="str">
        <f>IFERROR(VLOOKUP(E862,Lookups!$A$5:$B$24,2,FALSE),"Other")</f>
        <v>Email</v>
      </c>
      <c r="R862" t="str">
        <f>IFERROR(VLOOKUP(F862,Lookups!$D$5:$F$10,2,FALSE),"Unknown Product")</f>
        <v>Service Cloud</v>
      </c>
      <c r="S862" t="str">
        <f>IFERROR(VLOOKUP(F862,Lookups!$D$5:$F$10,3,FALSE),"Unknown")</f>
        <v>Customer Service</v>
      </c>
      <c r="T862" t="str">
        <f t="shared" si="143"/>
        <v>SMB</v>
      </c>
      <c r="U862" t="str">
        <f t="shared" si="144"/>
        <v>Open</v>
      </c>
      <c r="V862" s="3">
        <f t="shared" si="145"/>
        <v>0</v>
      </c>
      <c r="W862" s="3">
        <f t="shared" si="146"/>
        <v>15980</v>
      </c>
      <c r="X862" s="5" t="str">
        <f t="shared" si="147"/>
        <v/>
      </c>
      <c r="Y862" s="5">
        <f>IF(U862="Open",Lookups!$B$2-B862,X862)</f>
        <v>511</v>
      </c>
      <c r="Z862" t="str">
        <f t="shared" si="148"/>
        <v>STALE</v>
      </c>
      <c r="AA862" t="str">
        <f t="shared" si="149"/>
        <v>2025-04</v>
      </c>
      <c r="AB862" t="str">
        <f t="shared" si="150"/>
        <v/>
      </c>
      <c r="AC862" t="str">
        <f t="shared" si="151"/>
        <v>Q2-2025</v>
      </c>
      <c r="AD862" s="5">
        <f t="shared" si="152"/>
        <v>47</v>
      </c>
      <c r="AE862" t="str">
        <f t="shared" si="153"/>
        <v>Commit</v>
      </c>
    </row>
    <row r="863" spans="1:31">
      <c r="A863" t="s">
        <v>965</v>
      </c>
      <c r="B863" s="1">
        <v>46145</v>
      </c>
      <c r="C863" t="s">
        <v>86</v>
      </c>
      <c r="D863" t="s">
        <v>87</v>
      </c>
      <c r="E863" t="s">
        <v>160</v>
      </c>
      <c r="F863" t="s">
        <v>45</v>
      </c>
      <c r="G863" t="s">
        <v>46</v>
      </c>
      <c r="H863" t="s">
        <v>53</v>
      </c>
      <c r="I863" t="s">
        <v>77</v>
      </c>
      <c r="J863" s="1">
        <v>46230</v>
      </c>
      <c r="K863" s="1">
        <v>46230</v>
      </c>
      <c r="L863" s="3">
        <v>33200</v>
      </c>
      <c r="M863" s="4">
        <v>0.12</v>
      </c>
      <c r="N863" s="4">
        <v>1</v>
      </c>
      <c r="P863">
        <v>6</v>
      </c>
      <c r="Q863" t="str">
        <f>IFERROR(VLOOKUP(E863,Lookups!$A$5:$B$24,2,FALSE),"Other")</f>
        <v>Email</v>
      </c>
      <c r="R863" t="str">
        <f>IFERROR(VLOOKUP(F863,Lookups!$D$5:$F$10,2,FALSE),"Unknown Product")</f>
        <v>Service Cloud</v>
      </c>
      <c r="S863" t="str">
        <f>IFERROR(VLOOKUP(F863,Lookups!$D$5:$F$10,3,FALSE),"Unknown")</f>
        <v>Customer Service</v>
      </c>
      <c r="T863" t="str">
        <f t="shared" si="143"/>
        <v>Mid-Market</v>
      </c>
      <c r="U863" t="str">
        <f t="shared" si="144"/>
        <v>Won</v>
      </c>
      <c r="V863" s="3">
        <f t="shared" si="145"/>
        <v>29216</v>
      </c>
      <c r="W863" s="3">
        <f t="shared" si="146"/>
        <v>0</v>
      </c>
      <c r="X863" s="5">
        <f t="shared" si="147"/>
        <v>85</v>
      </c>
      <c r="Y863" s="5">
        <f>IF(U863="Open",Lookups!$B$2-B863,X863)</f>
        <v>85</v>
      </c>
      <c r="Z863" t="str">
        <f t="shared" si="148"/>
        <v>OK</v>
      </c>
      <c r="AA863" t="str">
        <f t="shared" si="149"/>
        <v>2026-05</v>
      </c>
      <c r="AB863" t="str">
        <f t="shared" si="150"/>
        <v>2026-07</v>
      </c>
      <c r="AC863" t="str">
        <f t="shared" si="151"/>
        <v>Q2-2026</v>
      </c>
      <c r="AD863" s="5">
        <f t="shared" si="152"/>
        <v>63</v>
      </c>
      <c r="AE863" t="str">
        <f t="shared" si="153"/>
        <v>Won</v>
      </c>
    </row>
    <row r="864" spans="1:31">
      <c r="A864" t="s">
        <v>966</v>
      </c>
      <c r="B864" s="1">
        <v>45905</v>
      </c>
      <c r="C864" t="s">
        <v>90</v>
      </c>
      <c r="D864" t="s">
        <v>57</v>
      </c>
      <c r="E864" t="s">
        <v>160</v>
      </c>
      <c r="F864" t="s">
        <v>67</v>
      </c>
      <c r="G864" t="s">
        <v>46</v>
      </c>
      <c r="H864" t="s">
        <v>84</v>
      </c>
      <c r="I864" t="s">
        <v>61</v>
      </c>
      <c r="J864" s="1">
        <v>45961</v>
      </c>
      <c r="K864" s="1">
        <v>45961</v>
      </c>
      <c r="L864" s="3">
        <v>126200</v>
      </c>
      <c r="M864" s="4">
        <v>0</v>
      </c>
      <c r="N864" s="4">
        <v>0</v>
      </c>
      <c r="O864" t="s">
        <v>62</v>
      </c>
      <c r="P864">
        <v>3</v>
      </c>
      <c r="Q864" t="str">
        <f>IFERROR(VLOOKUP(E864,Lookups!$A$5:$B$24,2,FALSE),"Other")</f>
        <v>Email</v>
      </c>
      <c r="R864" t="str">
        <f>IFERROR(VLOOKUP(F864,Lookups!$D$5:$F$10,2,FALSE),"Unknown Product")</f>
        <v>Revenue Operations Suite</v>
      </c>
      <c r="S864" t="str">
        <f>IFERROR(VLOOKUP(F864,Lookups!$D$5:$F$10,3,FALSE),"Unknown")</f>
        <v>Revenue Ops</v>
      </c>
      <c r="T864" t="str">
        <f t="shared" si="143"/>
        <v>Enterprise</v>
      </c>
      <c r="U864" t="str">
        <f t="shared" si="144"/>
        <v>Lost</v>
      </c>
      <c r="V864" s="3">
        <f t="shared" si="145"/>
        <v>0</v>
      </c>
      <c r="W864" s="3">
        <f t="shared" si="146"/>
        <v>0</v>
      </c>
      <c r="X864" s="5">
        <f t="shared" si="147"/>
        <v>56</v>
      </c>
      <c r="Y864" s="5">
        <f>IF(U864="Open",Lookups!$B$2-B864,X864)</f>
        <v>56</v>
      </c>
      <c r="Z864" t="str">
        <f t="shared" si="148"/>
        <v>OK</v>
      </c>
      <c r="AA864" t="str">
        <f t="shared" si="149"/>
        <v>2025-09</v>
      </c>
      <c r="AB864" t="str">
        <f t="shared" si="150"/>
        <v>2025-10</v>
      </c>
      <c r="AC864" t="str">
        <f t="shared" si="151"/>
        <v>Q3-2025</v>
      </c>
      <c r="AD864" s="5">
        <f t="shared" si="152"/>
        <v>78</v>
      </c>
      <c r="AE864" t="str">
        <f t="shared" si="153"/>
        <v>Lost</v>
      </c>
    </row>
    <row r="865" spans="1:31">
      <c r="A865" t="s">
        <v>967</v>
      </c>
      <c r="B865" s="1">
        <v>45883</v>
      </c>
      <c r="C865" t="s">
        <v>42</v>
      </c>
      <c r="D865" t="s">
        <v>43</v>
      </c>
      <c r="E865" t="s">
        <v>65</v>
      </c>
      <c r="F865" t="s">
        <v>59</v>
      </c>
      <c r="G865" t="s">
        <v>72</v>
      </c>
      <c r="H865" t="s">
        <v>84</v>
      </c>
      <c r="I865" t="s">
        <v>61</v>
      </c>
      <c r="J865" s="1">
        <v>45950</v>
      </c>
      <c r="K865" s="1">
        <v>45950</v>
      </c>
      <c r="L865" s="3">
        <v>56200</v>
      </c>
      <c r="M865" s="4">
        <v>0</v>
      </c>
      <c r="N865" s="4">
        <v>0</v>
      </c>
      <c r="O865" t="s">
        <v>79</v>
      </c>
      <c r="P865">
        <v>3</v>
      </c>
      <c r="Q865" t="str">
        <f>IFERROR(VLOOKUP(E865,Lookups!$A$5:$B$24,2,FALSE),"Other")</f>
        <v>Paid Search</v>
      </c>
      <c r="R865" t="str">
        <f>IFERROR(VLOOKUP(F865,Lookups!$D$5:$F$10,2,FALSE),"Unknown Product")</f>
        <v>NexaCRM Pro</v>
      </c>
      <c r="S865" t="str">
        <f>IFERROR(VLOOKUP(F865,Lookups!$D$5:$F$10,3,FALSE),"Unknown")</f>
        <v>CRM</v>
      </c>
      <c r="T865" t="str">
        <f t="shared" si="143"/>
        <v>Enterprise</v>
      </c>
      <c r="U865" t="str">
        <f t="shared" si="144"/>
        <v>Lost</v>
      </c>
      <c r="V865" s="3">
        <f t="shared" si="145"/>
        <v>0</v>
      </c>
      <c r="W865" s="3">
        <f t="shared" si="146"/>
        <v>0</v>
      </c>
      <c r="X865" s="5">
        <f t="shared" si="147"/>
        <v>67</v>
      </c>
      <c r="Y865" s="5">
        <f>IF(U865="Open",Lookups!$B$2-B865,X865)</f>
        <v>67</v>
      </c>
      <c r="Z865" t="str">
        <f t="shared" si="148"/>
        <v>OK</v>
      </c>
      <c r="AA865" t="str">
        <f t="shared" si="149"/>
        <v>2025-08</v>
      </c>
      <c r="AB865" t="str">
        <f t="shared" si="150"/>
        <v>2025-10</v>
      </c>
      <c r="AC865" t="str">
        <f t="shared" si="151"/>
        <v>Q3-2025</v>
      </c>
      <c r="AD865" s="5">
        <f t="shared" si="152"/>
        <v>74</v>
      </c>
      <c r="AE865" t="str">
        <f t="shared" si="153"/>
        <v>Lost</v>
      </c>
    </row>
    <row r="866" spans="1:31">
      <c r="A866" t="s">
        <v>968</v>
      </c>
      <c r="B866" s="1">
        <v>46141</v>
      </c>
      <c r="C866" t="s">
        <v>86</v>
      </c>
      <c r="D866" t="s">
        <v>87</v>
      </c>
      <c r="E866" t="s">
        <v>88</v>
      </c>
      <c r="F866" t="s">
        <v>133</v>
      </c>
      <c r="G866" t="s">
        <v>76</v>
      </c>
      <c r="H866" t="s">
        <v>53</v>
      </c>
      <c r="I866" t="s">
        <v>105</v>
      </c>
      <c r="J866" s="1">
        <v>46226</v>
      </c>
      <c r="K866" s="1"/>
      <c r="L866" s="3">
        <v>32700</v>
      </c>
      <c r="M866" s="4">
        <v>0.03</v>
      </c>
      <c r="N866" s="4">
        <v>0.4</v>
      </c>
      <c r="P866">
        <v>3</v>
      </c>
      <c r="Q866" t="str">
        <f>IFERROR(VLOOKUP(E866,Lookups!$A$5:$B$24,2,FALSE),"Other")</f>
        <v>Other</v>
      </c>
      <c r="R866" t="str">
        <f>IFERROR(VLOOKUP(F866,Lookups!$D$5:$F$10,2,FALSE),"Unknown Product")</f>
        <v>Analytics Plus</v>
      </c>
      <c r="S866" t="str">
        <f>IFERROR(VLOOKUP(F866,Lookups!$D$5:$F$10,3,FALSE),"Unknown")</f>
        <v>Analytics</v>
      </c>
      <c r="T866" t="str">
        <f t="shared" si="143"/>
        <v>Mid-Market</v>
      </c>
      <c r="U866" t="str">
        <f t="shared" si="144"/>
        <v>Open</v>
      </c>
      <c r="V866" s="3">
        <f t="shared" si="145"/>
        <v>0</v>
      </c>
      <c r="W866" s="3">
        <f t="shared" si="146"/>
        <v>13080</v>
      </c>
      <c r="X866" s="5" t="str">
        <f t="shared" si="147"/>
        <v/>
      </c>
      <c r="Y866" s="5">
        <f>IF(U866="Open",Lookups!$B$2-B866,X866)</f>
        <v>125</v>
      </c>
      <c r="Z866" t="str">
        <f t="shared" si="148"/>
        <v>STALE</v>
      </c>
      <c r="AA866" t="str">
        <f t="shared" si="149"/>
        <v>2026-04</v>
      </c>
      <c r="AB866" t="str">
        <f t="shared" si="150"/>
        <v/>
      </c>
      <c r="AC866" t="str">
        <f t="shared" si="151"/>
        <v>Q2-2026</v>
      </c>
      <c r="AD866" s="5">
        <f t="shared" si="152"/>
        <v>59</v>
      </c>
      <c r="AE866" t="str">
        <f t="shared" si="153"/>
        <v>Pipeline</v>
      </c>
    </row>
    <row r="867" spans="1:31">
      <c r="A867" t="s">
        <v>969</v>
      </c>
      <c r="B867" s="1">
        <v>45925</v>
      </c>
      <c r="C867" t="s">
        <v>64</v>
      </c>
      <c r="D867" t="s">
        <v>57</v>
      </c>
      <c r="E867" t="s">
        <v>115</v>
      </c>
      <c r="F867" t="s">
        <v>52</v>
      </c>
      <c r="G867" t="s">
        <v>112</v>
      </c>
      <c r="H867" t="s">
        <v>47</v>
      </c>
      <c r="I867" t="s">
        <v>61</v>
      </c>
      <c r="J867" s="1">
        <v>45933</v>
      </c>
      <c r="K867" s="1">
        <v>45933</v>
      </c>
      <c r="L867" s="3">
        <v>6000</v>
      </c>
      <c r="M867" s="4">
        <v>0</v>
      </c>
      <c r="N867" s="4">
        <v>0</v>
      </c>
      <c r="O867" t="s">
        <v>81</v>
      </c>
      <c r="P867">
        <v>3</v>
      </c>
      <c r="Q867" t="str">
        <f>IFERROR(VLOOKUP(E867,Lookups!$A$5:$B$24,2,FALSE),"Other")</f>
        <v>Outbound</v>
      </c>
      <c r="R867" t="str">
        <f>IFERROR(VLOOKUP(F867,Lookups!$D$5:$F$10,2,FALSE),"Unknown Product")</f>
        <v>NexaCRM Core</v>
      </c>
      <c r="S867" t="str">
        <f>IFERROR(VLOOKUP(F867,Lookups!$D$5:$F$10,3,FALSE),"Unknown")</f>
        <v>CRM</v>
      </c>
      <c r="T867" t="str">
        <f t="shared" si="143"/>
        <v>SMB</v>
      </c>
      <c r="U867" t="str">
        <f t="shared" si="144"/>
        <v>Lost</v>
      </c>
      <c r="V867" s="3">
        <f t="shared" si="145"/>
        <v>0</v>
      </c>
      <c r="W867" s="3">
        <f t="shared" si="146"/>
        <v>0</v>
      </c>
      <c r="X867" s="5">
        <f t="shared" si="147"/>
        <v>8</v>
      </c>
      <c r="Y867" s="5">
        <f>IF(U867="Open",Lookups!$B$2-B867,X867)</f>
        <v>8</v>
      </c>
      <c r="Z867" t="str">
        <f t="shared" si="148"/>
        <v>OK</v>
      </c>
      <c r="AA867" t="str">
        <f t="shared" si="149"/>
        <v>2025-09</v>
      </c>
      <c r="AB867" t="str">
        <f t="shared" si="150"/>
        <v>2025-10</v>
      </c>
      <c r="AC867" t="str">
        <f t="shared" si="151"/>
        <v>Q3-2025</v>
      </c>
      <c r="AD867" s="5">
        <f t="shared" si="152"/>
        <v>48</v>
      </c>
      <c r="AE867" t="str">
        <f t="shared" si="153"/>
        <v>Lost</v>
      </c>
    </row>
    <row r="868" spans="1:31">
      <c r="A868" t="s">
        <v>970</v>
      </c>
      <c r="B868" s="1">
        <v>46166</v>
      </c>
      <c r="C868" t="s">
        <v>42</v>
      </c>
      <c r="D868" t="s">
        <v>43</v>
      </c>
      <c r="E868" t="s">
        <v>51</v>
      </c>
      <c r="F868" t="s">
        <v>133</v>
      </c>
      <c r="G868" t="s">
        <v>46</v>
      </c>
      <c r="H868" t="s">
        <v>84</v>
      </c>
      <c r="I868" t="s">
        <v>61</v>
      </c>
      <c r="J868" s="1">
        <v>46222</v>
      </c>
      <c r="K868" s="1">
        <v>46222</v>
      </c>
      <c r="L868" s="3">
        <v>87200</v>
      </c>
      <c r="M868" s="4">
        <v>0</v>
      </c>
      <c r="N868" s="4">
        <v>0</v>
      </c>
      <c r="O868" t="s">
        <v>62</v>
      </c>
      <c r="P868">
        <v>5</v>
      </c>
      <c r="Q868" t="str">
        <f>IFERROR(VLOOKUP(E868,Lookups!$A$5:$B$24,2,FALSE),"Other")</f>
        <v>Paid Search</v>
      </c>
      <c r="R868" t="str">
        <f>IFERROR(VLOOKUP(F868,Lookups!$D$5:$F$10,2,FALSE),"Unknown Product")</f>
        <v>Analytics Plus</v>
      </c>
      <c r="S868" t="str">
        <f>IFERROR(VLOOKUP(F868,Lookups!$D$5:$F$10,3,FALSE),"Unknown")</f>
        <v>Analytics</v>
      </c>
      <c r="T868" t="str">
        <f t="shared" si="143"/>
        <v>Enterprise</v>
      </c>
      <c r="U868" t="str">
        <f t="shared" si="144"/>
        <v>Lost</v>
      </c>
      <c r="V868" s="3">
        <f t="shared" si="145"/>
        <v>0</v>
      </c>
      <c r="W868" s="3">
        <f t="shared" si="146"/>
        <v>0</v>
      </c>
      <c r="X868" s="5">
        <f t="shared" si="147"/>
        <v>56</v>
      </c>
      <c r="Y868" s="5">
        <f>IF(U868="Open",Lookups!$B$2-B868,X868)</f>
        <v>56</v>
      </c>
      <c r="Z868" t="str">
        <f t="shared" si="148"/>
        <v>OK</v>
      </c>
      <c r="AA868" t="str">
        <f t="shared" si="149"/>
        <v>2026-05</v>
      </c>
      <c r="AB868" t="str">
        <f t="shared" si="150"/>
        <v>2026-07</v>
      </c>
      <c r="AC868" t="str">
        <f t="shared" si="151"/>
        <v>Q2-2026</v>
      </c>
      <c r="AD868" s="5">
        <f t="shared" si="152"/>
        <v>74</v>
      </c>
      <c r="AE868" t="str">
        <f t="shared" si="153"/>
        <v>Lost</v>
      </c>
    </row>
    <row r="869" spans="1:31">
      <c r="A869" t="s">
        <v>971</v>
      </c>
      <c r="B869" s="1">
        <v>45718</v>
      </c>
      <c r="C869" t="s">
        <v>90</v>
      </c>
      <c r="D869" t="s">
        <v>57</v>
      </c>
      <c r="E869" t="s">
        <v>115</v>
      </c>
      <c r="F869" t="s">
        <v>133</v>
      </c>
      <c r="G869" t="s">
        <v>46</v>
      </c>
      <c r="H869" t="s">
        <v>47</v>
      </c>
      <c r="I869" t="s">
        <v>61</v>
      </c>
      <c r="J869" s="1">
        <v>45806</v>
      </c>
      <c r="K869" s="1">
        <v>45806</v>
      </c>
      <c r="L869" s="3">
        <v>13400</v>
      </c>
      <c r="M869" s="4">
        <v>0</v>
      </c>
      <c r="N869" s="4">
        <v>0</v>
      </c>
      <c r="O869" t="s">
        <v>102</v>
      </c>
      <c r="P869">
        <v>2</v>
      </c>
      <c r="Q869" t="str">
        <f>IFERROR(VLOOKUP(E869,Lookups!$A$5:$B$24,2,FALSE),"Other")</f>
        <v>Outbound</v>
      </c>
      <c r="R869" t="str">
        <f>IFERROR(VLOOKUP(F869,Lookups!$D$5:$F$10,2,FALSE),"Unknown Product")</f>
        <v>Analytics Plus</v>
      </c>
      <c r="S869" t="str">
        <f>IFERROR(VLOOKUP(F869,Lookups!$D$5:$F$10,3,FALSE),"Unknown")</f>
        <v>Analytics</v>
      </c>
      <c r="T869" t="str">
        <f t="shared" si="143"/>
        <v>SMB</v>
      </c>
      <c r="U869" t="str">
        <f t="shared" si="144"/>
        <v>Lost</v>
      </c>
      <c r="V869" s="3">
        <f t="shared" si="145"/>
        <v>0</v>
      </c>
      <c r="W869" s="3">
        <f t="shared" si="146"/>
        <v>0</v>
      </c>
      <c r="X869" s="5">
        <f t="shared" si="147"/>
        <v>88</v>
      </c>
      <c r="Y869" s="5">
        <f>IF(U869="Open",Lookups!$B$2-B869,X869)</f>
        <v>88</v>
      </c>
      <c r="Z869" t="str">
        <f t="shared" si="148"/>
        <v>OK</v>
      </c>
      <c r="AA869" t="str">
        <f t="shared" si="149"/>
        <v>2025-03</v>
      </c>
      <c r="AB869" t="str">
        <f t="shared" si="150"/>
        <v>2025-05</v>
      </c>
      <c r="AC869" t="str">
        <f t="shared" si="151"/>
        <v>Q1-2025</v>
      </c>
      <c r="AD869" s="5">
        <f t="shared" si="152"/>
        <v>43</v>
      </c>
      <c r="AE869" t="str">
        <f t="shared" si="153"/>
        <v>Lost</v>
      </c>
    </row>
    <row r="870" spans="1:31">
      <c r="A870" t="s">
        <v>972</v>
      </c>
      <c r="B870" s="1">
        <v>46187</v>
      </c>
      <c r="C870" t="s">
        <v>86</v>
      </c>
      <c r="D870" t="s">
        <v>87</v>
      </c>
      <c r="E870" t="s">
        <v>123</v>
      </c>
      <c r="F870" t="s">
        <v>133</v>
      </c>
      <c r="G870" t="s">
        <v>94</v>
      </c>
      <c r="H870" t="s">
        <v>53</v>
      </c>
      <c r="I870" t="s">
        <v>54</v>
      </c>
      <c r="J870" s="1">
        <v>46230</v>
      </c>
      <c r="K870" s="1"/>
      <c r="L870" s="3">
        <v>51400</v>
      </c>
      <c r="M870" s="4">
        <v>0</v>
      </c>
      <c r="N870" s="4">
        <v>0.65</v>
      </c>
      <c r="P870">
        <v>4</v>
      </c>
      <c r="Q870" t="str">
        <f>IFERROR(VLOOKUP(E870,Lookups!$A$5:$B$24,2,FALSE),"Other")</f>
        <v>Email</v>
      </c>
      <c r="R870" t="str">
        <f>IFERROR(VLOOKUP(F870,Lookups!$D$5:$F$10,2,FALSE),"Unknown Product")</f>
        <v>Analytics Plus</v>
      </c>
      <c r="S870" t="str">
        <f>IFERROR(VLOOKUP(F870,Lookups!$D$5:$F$10,3,FALSE),"Unknown")</f>
        <v>Analytics</v>
      </c>
      <c r="T870" t="str">
        <f t="shared" si="143"/>
        <v>Enterprise</v>
      </c>
      <c r="U870" t="str">
        <f t="shared" si="144"/>
        <v>Open</v>
      </c>
      <c r="V870" s="3">
        <f t="shared" si="145"/>
        <v>0</v>
      </c>
      <c r="W870" s="3">
        <f t="shared" si="146"/>
        <v>33410</v>
      </c>
      <c r="X870" s="5" t="str">
        <f t="shared" si="147"/>
        <v/>
      </c>
      <c r="Y870" s="5">
        <f>IF(U870="Open",Lookups!$B$2-B870,X870)</f>
        <v>79</v>
      </c>
      <c r="Z870" t="str">
        <f t="shared" si="148"/>
        <v>STALE</v>
      </c>
      <c r="AA870" t="str">
        <f t="shared" si="149"/>
        <v>2026-06</v>
      </c>
      <c r="AB870" t="str">
        <f t="shared" si="150"/>
        <v/>
      </c>
      <c r="AC870" t="str">
        <f t="shared" si="151"/>
        <v>Q2-2026</v>
      </c>
      <c r="AD870" s="5">
        <f t="shared" si="152"/>
        <v>70</v>
      </c>
      <c r="AE870" t="str">
        <f t="shared" si="153"/>
        <v>Best Case</v>
      </c>
    </row>
    <row r="871" spans="1:31">
      <c r="A871" t="s">
        <v>973</v>
      </c>
      <c r="B871" s="1">
        <v>45797</v>
      </c>
      <c r="C871" t="s">
        <v>69</v>
      </c>
      <c r="D871" t="s">
        <v>57</v>
      </c>
      <c r="E871" t="s">
        <v>146</v>
      </c>
      <c r="F871" t="s">
        <v>59</v>
      </c>
      <c r="G871" t="s">
        <v>112</v>
      </c>
      <c r="H871" t="s">
        <v>53</v>
      </c>
      <c r="I871" t="s">
        <v>77</v>
      </c>
      <c r="J871" s="1">
        <v>45821</v>
      </c>
      <c r="K871" s="1">
        <v>45821</v>
      </c>
      <c r="L871" s="3">
        <v>22100</v>
      </c>
      <c r="M871" s="4">
        <v>0</v>
      </c>
      <c r="N871" s="4">
        <v>1</v>
      </c>
      <c r="P871">
        <v>6</v>
      </c>
      <c r="Q871" t="str">
        <f>IFERROR(VLOOKUP(E871,Lookups!$A$5:$B$24,2,FALSE),"Other")</f>
        <v>LinkedIn</v>
      </c>
      <c r="R871" t="str">
        <f>IFERROR(VLOOKUP(F871,Lookups!$D$5:$F$10,2,FALSE),"Unknown Product")</f>
        <v>NexaCRM Pro</v>
      </c>
      <c r="S871" t="str">
        <f>IFERROR(VLOOKUP(F871,Lookups!$D$5:$F$10,3,FALSE),"Unknown")</f>
        <v>CRM</v>
      </c>
      <c r="T871" t="str">
        <f t="shared" si="143"/>
        <v>Mid-Market</v>
      </c>
      <c r="U871" t="str">
        <f t="shared" si="144"/>
        <v>Won</v>
      </c>
      <c r="V871" s="3">
        <f t="shared" si="145"/>
        <v>22100</v>
      </c>
      <c r="W871" s="3">
        <f t="shared" si="146"/>
        <v>0</v>
      </c>
      <c r="X871" s="5">
        <f t="shared" si="147"/>
        <v>24</v>
      </c>
      <c r="Y871" s="5">
        <f>IF(U871="Open",Lookups!$B$2-B871,X871)</f>
        <v>24</v>
      </c>
      <c r="Z871" t="str">
        <f t="shared" si="148"/>
        <v>OK</v>
      </c>
      <c r="AA871" t="str">
        <f t="shared" si="149"/>
        <v>2025-05</v>
      </c>
      <c r="AB871" t="str">
        <f t="shared" si="150"/>
        <v>2025-06</v>
      </c>
      <c r="AC871" t="str">
        <f t="shared" si="151"/>
        <v>Q2-2025</v>
      </c>
      <c r="AD871" s="5">
        <f t="shared" si="152"/>
        <v>64</v>
      </c>
      <c r="AE871" t="str">
        <f t="shared" si="153"/>
        <v>Won</v>
      </c>
    </row>
    <row r="872" spans="1:31">
      <c r="A872" t="s">
        <v>974</v>
      </c>
      <c r="B872" s="1">
        <v>46112</v>
      </c>
      <c r="C872" t="s">
        <v>90</v>
      </c>
      <c r="D872" t="s">
        <v>57</v>
      </c>
      <c r="E872" t="s">
        <v>96</v>
      </c>
      <c r="F872" t="s">
        <v>45</v>
      </c>
      <c r="G872" t="s">
        <v>94</v>
      </c>
      <c r="H872" t="s">
        <v>47</v>
      </c>
      <c r="I872" t="s">
        <v>61</v>
      </c>
      <c r="J872" s="1">
        <v>46154</v>
      </c>
      <c r="K872" s="1">
        <v>46154</v>
      </c>
      <c r="L872" s="3">
        <v>13500</v>
      </c>
      <c r="M872" s="4">
        <v>0</v>
      </c>
      <c r="N872" s="4">
        <v>0</v>
      </c>
      <c r="O872" t="s">
        <v>102</v>
      </c>
      <c r="P872">
        <v>3</v>
      </c>
      <c r="Q872" t="str">
        <f>IFERROR(VLOOKUP(E872,Lookups!$A$5:$B$24,2,FALSE),"Other")</f>
        <v>LinkedIn</v>
      </c>
      <c r="R872" t="str">
        <f>IFERROR(VLOOKUP(F872,Lookups!$D$5:$F$10,2,FALSE),"Unknown Product")</f>
        <v>Service Cloud</v>
      </c>
      <c r="S872" t="str">
        <f>IFERROR(VLOOKUP(F872,Lookups!$D$5:$F$10,3,FALSE),"Unknown")</f>
        <v>Customer Service</v>
      </c>
      <c r="T872" t="str">
        <f t="shared" si="143"/>
        <v>SMB</v>
      </c>
      <c r="U872" t="str">
        <f t="shared" si="144"/>
        <v>Lost</v>
      </c>
      <c r="V872" s="3">
        <f t="shared" si="145"/>
        <v>0</v>
      </c>
      <c r="W872" s="3">
        <f t="shared" si="146"/>
        <v>0</v>
      </c>
      <c r="X872" s="5">
        <f t="shared" si="147"/>
        <v>42</v>
      </c>
      <c r="Y872" s="5">
        <f>IF(U872="Open",Lookups!$B$2-B872,X872)</f>
        <v>42</v>
      </c>
      <c r="Z872" t="str">
        <f t="shared" si="148"/>
        <v>OK</v>
      </c>
      <c r="AA872" t="str">
        <f t="shared" si="149"/>
        <v>2026-03</v>
      </c>
      <c r="AB872" t="str">
        <f t="shared" si="150"/>
        <v>2026-05</v>
      </c>
      <c r="AC872" t="str">
        <f t="shared" si="151"/>
        <v>Q1-2026</v>
      </c>
      <c r="AD872" s="5">
        <f t="shared" si="152"/>
        <v>43</v>
      </c>
      <c r="AE872" t="str">
        <f t="shared" si="153"/>
        <v>Lost</v>
      </c>
    </row>
    <row r="873" spans="1:31">
      <c r="A873" t="s">
        <v>975</v>
      </c>
      <c r="B873" s="1">
        <v>45835</v>
      </c>
      <c r="C873" t="s">
        <v>69</v>
      </c>
      <c r="D873" t="s">
        <v>57</v>
      </c>
      <c r="E873" t="s">
        <v>109</v>
      </c>
      <c r="F873" t="s">
        <v>71</v>
      </c>
      <c r="G873" t="s">
        <v>60</v>
      </c>
      <c r="H873" t="s">
        <v>47</v>
      </c>
      <c r="I873" t="s">
        <v>61</v>
      </c>
      <c r="J873" s="1">
        <v>45884</v>
      </c>
      <c r="K873" s="1">
        <v>45884</v>
      </c>
      <c r="L873" s="3">
        <v>14500</v>
      </c>
      <c r="M873" s="4">
        <v>0</v>
      </c>
      <c r="N873" s="4">
        <v>0</v>
      </c>
      <c r="O873" t="s">
        <v>116</v>
      </c>
      <c r="P873">
        <v>5</v>
      </c>
      <c r="Q873" t="str">
        <f>IFERROR(VLOOKUP(E873,Lookups!$A$5:$B$24,2,FALSE),"Other")</f>
        <v>Outbound</v>
      </c>
      <c r="R873" t="str">
        <f>IFERROR(VLOOKUP(F873,Lookups!$D$5:$F$10,2,FALSE),"Unknown Product")</f>
        <v>Marketing Automation</v>
      </c>
      <c r="S873" t="str">
        <f>IFERROR(VLOOKUP(F873,Lookups!$D$5:$F$10,3,FALSE),"Unknown")</f>
        <v>Marketing</v>
      </c>
      <c r="T873" t="str">
        <f t="shared" si="143"/>
        <v>SMB</v>
      </c>
      <c r="U873" t="str">
        <f t="shared" si="144"/>
        <v>Lost</v>
      </c>
      <c r="V873" s="3">
        <f t="shared" si="145"/>
        <v>0</v>
      </c>
      <c r="W873" s="3">
        <f t="shared" si="146"/>
        <v>0</v>
      </c>
      <c r="X873" s="5">
        <f t="shared" si="147"/>
        <v>49</v>
      </c>
      <c r="Y873" s="5">
        <f>IF(U873="Open",Lookups!$B$2-B873,X873)</f>
        <v>49</v>
      </c>
      <c r="Z873" t="str">
        <f t="shared" si="148"/>
        <v>OK</v>
      </c>
      <c r="AA873" t="str">
        <f t="shared" si="149"/>
        <v>2025-06</v>
      </c>
      <c r="AB873" t="str">
        <f t="shared" si="150"/>
        <v>2025-08</v>
      </c>
      <c r="AC873" t="str">
        <f t="shared" si="151"/>
        <v>Q2-2025</v>
      </c>
      <c r="AD873" s="5">
        <f t="shared" si="152"/>
        <v>43</v>
      </c>
      <c r="AE873" t="str">
        <f t="shared" si="153"/>
        <v>Lost</v>
      </c>
    </row>
    <row r="874" spans="1:31">
      <c r="A874" t="s">
        <v>976</v>
      </c>
      <c r="B874" s="1">
        <v>46166</v>
      </c>
      <c r="C874" t="s">
        <v>64</v>
      </c>
      <c r="D874" t="s">
        <v>57</v>
      </c>
      <c r="E874" t="s">
        <v>119</v>
      </c>
      <c r="F874" t="s">
        <v>133</v>
      </c>
      <c r="G874" t="s">
        <v>112</v>
      </c>
      <c r="H874" t="s">
        <v>53</v>
      </c>
      <c r="I874" t="s">
        <v>105</v>
      </c>
      <c r="J874" s="1">
        <v>46236</v>
      </c>
      <c r="K874" s="1"/>
      <c r="L874" s="3">
        <v>51100</v>
      </c>
      <c r="M874" s="4">
        <v>0</v>
      </c>
      <c r="N874" s="4">
        <v>0.4</v>
      </c>
      <c r="P874">
        <v>3</v>
      </c>
      <c r="Q874" t="str">
        <f>IFERROR(VLOOKUP(E874,Lookups!$A$5:$B$24,2,FALSE),"Other")</f>
        <v>Referral</v>
      </c>
      <c r="R874" t="str">
        <f>IFERROR(VLOOKUP(F874,Lookups!$D$5:$F$10,2,FALSE),"Unknown Product")</f>
        <v>Analytics Plus</v>
      </c>
      <c r="S874" t="str">
        <f>IFERROR(VLOOKUP(F874,Lookups!$D$5:$F$10,3,FALSE),"Unknown")</f>
        <v>Analytics</v>
      </c>
      <c r="T874" t="str">
        <f t="shared" si="143"/>
        <v>Enterprise</v>
      </c>
      <c r="U874" t="str">
        <f t="shared" si="144"/>
        <v>Open</v>
      </c>
      <c r="V874" s="3">
        <f t="shared" si="145"/>
        <v>0</v>
      </c>
      <c r="W874" s="3">
        <f t="shared" si="146"/>
        <v>20440</v>
      </c>
      <c r="X874" s="5" t="str">
        <f t="shared" si="147"/>
        <v/>
      </c>
      <c r="Y874" s="5">
        <f>IF(U874="Open",Lookups!$B$2-B874,X874)</f>
        <v>100</v>
      </c>
      <c r="Z874" t="str">
        <f t="shared" si="148"/>
        <v>STALE</v>
      </c>
      <c r="AA874" t="str">
        <f t="shared" si="149"/>
        <v>2026-05</v>
      </c>
      <c r="AB874" t="str">
        <f t="shared" si="150"/>
        <v/>
      </c>
      <c r="AC874" t="str">
        <f t="shared" si="151"/>
        <v>Q2-2026</v>
      </c>
      <c r="AD874" s="5">
        <f t="shared" si="152"/>
        <v>82</v>
      </c>
      <c r="AE874" t="str">
        <f t="shared" si="153"/>
        <v>Pipeline</v>
      </c>
    </row>
    <row r="875" spans="1:31">
      <c r="A875" t="s">
        <v>977</v>
      </c>
      <c r="B875" s="1">
        <v>46051</v>
      </c>
      <c r="C875" t="s">
        <v>148</v>
      </c>
      <c r="D875" t="s">
        <v>43</v>
      </c>
      <c r="E875" t="s">
        <v>160</v>
      </c>
      <c r="F875" t="s">
        <v>133</v>
      </c>
      <c r="G875" t="s">
        <v>72</v>
      </c>
      <c r="H875" t="s">
        <v>53</v>
      </c>
      <c r="I875" t="s">
        <v>61</v>
      </c>
      <c r="J875" s="1">
        <v>46110</v>
      </c>
      <c r="K875" s="1">
        <v>46110</v>
      </c>
      <c r="L875" s="3">
        <v>34600</v>
      </c>
      <c r="M875" s="4">
        <v>0</v>
      </c>
      <c r="N875" s="4">
        <v>0</v>
      </c>
      <c r="O875" t="s">
        <v>81</v>
      </c>
      <c r="P875">
        <v>5</v>
      </c>
      <c r="Q875" t="str">
        <f>IFERROR(VLOOKUP(E875,Lookups!$A$5:$B$24,2,FALSE),"Other")</f>
        <v>Email</v>
      </c>
      <c r="R875" t="str">
        <f>IFERROR(VLOOKUP(F875,Lookups!$D$5:$F$10,2,FALSE),"Unknown Product")</f>
        <v>Analytics Plus</v>
      </c>
      <c r="S875" t="str">
        <f>IFERROR(VLOOKUP(F875,Lookups!$D$5:$F$10,3,FALSE),"Unknown")</f>
        <v>Analytics</v>
      </c>
      <c r="T875" t="str">
        <f t="shared" si="143"/>
        <v>Mid-Market</v>
      </c>
      <c r="U875" t="str">
        <f t="shared" si="144"/>
        <v>Lost</v>
      </c>
      <c r="V875" s="3">
        <f t="shared" si="145"/>
        <v>0</v>
      </c>
      <c r="W875" s="3">
        <f t="shared" si="146"/>
        <v>0</v>
      </c>
      <c r="X875" s="5">
        <f t="shared" si="147"/>
        <v>59</v>
      </c>
      <c r="Y875" s="5">
        <f>IF(U875="Open",Lookups!$B$2-B875,X875)</f>
        <v>59</v>
      </c>
      <c r="Z875" t="str">
        <f t="shared" si="148"/>
        <v>OK</v>
      </c>
      <c r="AA875" t="str">
        <f t="shared" si="149"/>
        <v>2026-01</v>
      </c>
      <c r="AB875" t="str">
        <f t="shared" si="150"/>
        <v>2026-03</v>
      </c>
      <c r="AC875" t="str">
        <f t="shared" si="151"/>
        <v>Q1-2026</v>
      </c>
      <c r="AD875" s="5">
        <f t="shared" si="152"/>
        <v>63</v>
      </c>
      <c r="AE875" t="str">
        <f t="shared" si="153"/>
        <v>Lost</v>
      </c>
    </row>
    <row r="876" spans="1:31">
      <c r="A876" t="s">
        <v>978</v>
      </c>
      <c r="B876" s="1">
        <v>45976</v>
      </c>
      <c r="C876" t="s">
        <v>64</v>
      </c>
      <c r="D876" t="s">
        <v>57</v>
      </c>
      <c r="E876" t="s">
        <v>138</v>
      </c>
      <c r="F876" t="s">
        <v>133</v>
      </c>
      <c r="G876" t="s">
        <v>94</v>
      </c>
      <c r="H876" t="s">
        <v>47</v>
      </c>
      <c r="I876" t="s">
        <v>77</v>
      </c>
      <c r="J876" s="1">
        <v>45991</v>
      </c>
      <c r="K876" s="1">
        <v>45991</v>
      </c>
      <c r="L876" s="3">
        <v>28200</v>
      </c>
      <c r="M876" s="4">
        <v>0</v>
      </c>
      <c r="N876" s="4">
        <v>1</v>
      </c>
      <c r="P876">
        <v>6</v>
      </c>
      <c r="Q876" t="str">
        <f>IFERROR(VLOOKUP(E876,Lookups!$A$5:$B$24,2,FALSE),"Other")</f>
        <v>Organic Search</v>
      </c>
      <c r="R876" t="str">
        <f>IFERROR(VLOOKUP(F876,Lookups!$D$5:$F$10,2,FALSE),"Unknown Product")</f>
        <v>Analytics Plus</v>
      </c>
      <c r="S876" t="str">
        <f>IFERROR(VLOOKUP(F876,Lookups!$D$5:$F$10,3,FALSE),"Unknown")</f>
        <v>Analytics</v>
      </c>
      <c r="T876" t="str">
        <f t="shared" si="143"/>
        <v>Mid-Market</v>
      </c>
      <c r="U876" t="str">
        <f t="shared" si="144"/>
        <v>Won</v>
      </c>
      <c r="V876" s="3">
        <f t="shared" si="145"/>
        <v>28200</v>
      </c>
      <c r="W876" s="3">
        <f t="shared" si="146"/>
        <v>0</v>
      </c>
      <c r="X876" s="5">
        <f t="shared" si="147"/>
        <v>15</v>
      </c>
      <c r="Y876" s="5">
        <f>IF(U876="Open",Lookups!$B$2-B876,X876)</f>
        <v>15</v>
      </c>
      <c r="Z876" t="str">
        <f t="shared" si="148"/>
        <v>OK</v>
      </c>
      <c r="AA876" t="str">
        <f t="shared" si="149"/>
        <v>2025-11</v>
      </c>
      <c r="AB876" t="str">
        <f t="shared" si="150"/>
        <v>2025-11</v>
      </c>
      <c r="AC876" t="str">
        <f t="shared" si="151"/>
        <v>Q4-2025</v>
      </c>
      <c r="AD876" s="5">
        <f t="shared" si="152"/>
        <v>57</v>
      </c>
      <c r="AE876" t="str">
        <f t="shared" si="153"/>
        <v>Won</v>
      </c>
    </row>
    <row r="877" spans="1:31">
      <c r="A877" t="s">
        <v>979</v>
      </c>
      <c r="B877" s="1">
        <v>46077</v>
      </c>
      <c r="C877" t="s">
        <v>50</v>
      </c>
      <c r="D877" t="s">
        <v>43</v>
      </c>
      <c r="E877" t="s">
        <v>138</v>
      </c>
      <c r="F877" t="s">
        <v>67</v>
      </c>
      <c r="G877" t="s">
        <v>72</v>
      </c>
      <c r="H877" t="s">
        <v>47</v>
      </c>
      <c r="I877" t="s">
        <v>77</v>
      </c>
      <c r="J877" s="1">
        <v>46114</v>
      </c>
      <c r="K877" s="1">
        <v>46114</v>
      </c>
      <c r="L877" s="3">
        <v>41700</v>
      </c>
      <c r="M877" s="4">
        <v>0.12</v>
      </c>
      <c r="N877" s="4">
        <v>1</v>
      </c>
      <c r="P877">
        <v>6</v>
      </c>
      <c r="Q877" t="str">
        <f>IFERROR(VLOOKUP(E877,Lookups!$A$5:$B$24,2,FALSE),"Other")</f>
        <v>Organic Search</v>
      </c>
      <c r="R877" t="str">
        <f>IFERROR(VLOOKUP(F877,Lookups!$D$5:$F$10,2,FALSE),"Unknown Product")</f>
        <v>Revenue Operations Suite</v>
      </c>
      <c r="S877" t="str">
        <f>IFERROR(VLOOKUP(F877,Lookups!$D$5:$F$10,3,FALSE),"Unknown")</f>
        <v>Revenue Ops</v>
      </c>
      <c r="T877" t="str">
        <f t="shared" si="143"/>
        <v>Mid-Market</v>
      </c>
      <c r="U877" t="str">
        <f t="shared" si="144"/>
        <v>Won</v>
      </c>
      <c r="V877" s="3">
        <f t="shared" si="145"/>
        <v>36696</v>
      </c>
      <c r="W877" s="3">
        <f t="shared" si="146"/>
        <v>0</v>
      </c>
      <c r="X877" s="5">
        <f t="shared" si="147"/>
        <v>37</v>
      </c>
      <c r="Y877" s="5">
        <f>IF(U877="Open",Lookups!$B$2-B877,X877)</f>
        <v>37</v>
      </c>
      <c r="Z877" t="str">
        <f t="shared" si="148"/>
        <v>OK</v>
      </c>
      <c r="AA877" t="str">
        <f t="shared" si="149"/>
        <v>2026-02</v>
      </c>
      <c r="AB877" t="str">
        <f t="shared" si="150"/>
        <v>2026-04</v>
      </c>
      <c r="AC877" t="str">
        <f t="shared" si="151"/>
        <v>Q1-2026</v>
      </c>
      <c r="AD877" s="5">
        <f t="shared" si="152"/>
        <v>57</v>
      </c>
      <c r="AE877" t="str">
        <f t="shared" si="153"/>
        <v>Won</v>
      </c>
    </row>
    <row r="878" spans="1:31">
      <c r="A878" t="s">
        <v>980</v>
      </c>
      <c r="B878" s="1">
        <v>46240</v>
      </c>
      <c r="C878" t="s">
        <v>90</v>
      </c>
      <c r="D878" t="s">
        <v>57</v>
      </c>
      <c r="E878" t="s">
        <v>109</v>
      </c>
      <c r="F878" t="s">
        <v>71</v>
      </c>
      <c r="G878" t="s">
        <v>94</v>
      </c>
      <c r="H878" t="s">
        <v>47</v>
      </c>
      <c r="I878" t="s">
        <v>61</v>
      </c>
      <c r="J878" s="1">
        <v>46251</v>
      </c>
      <c r="K878" s="1">
        <v>46251</v>
      </c>
      <c r="L878" s="3">
        <v>18600</v>
      </c>
      <c r="M878" s="4">
        <v>0</v>
      </c>
      <c r="N878" s="4">
        <v>0</v>
      </c>
      <c r="O878" t="s">
        <v>62</v>
      </c>
      <c r="P878">
        <v>2</v>
      </c>
      <c r="Q878" t="str">
        <f>IFERROR(VLOOKUP(E878,Lookups!$A$5:$B$24,2,FALSE),"Other")</f>
        <v>Outbound</v>
      </c>
      <c r="R878" t="str">
        <f>IFERROR(VLOOKUP(F878,Lookups!$D$5:$F$10,2,FALSE),"Unknown Product")</f>
        <v>Marketing Automation</v>
      </c>
      <c r="S878" t="str">
        <f>IFERROR(VLOOKUP(F878,Lookups!$D$5:$F$10,3,FALSE),"Unknown")</f>
        <v>Marketing</v>
      </c>
      <c r="T878" t="str">
        <f t="shared" si="143"/>
        <v>SMB</v>
      </c>
      <c r="U878" t="str">
        <f t="shared" si="144"/>
        <v>Lost</v>
      </c>
      <c r="V878" s="3">
        <f t="shared" si="145"/>
        <v>0</v>
      </c>
      <c r="W878" s="3">
        <f t="shared" si="146"/>
        <v>0</v>
      </c>
      <c r="X878" s="5">
        <f t="shared" si="147"/>
        <v>11</v>
      </c>
      <c r="Y878" s="5">
        <f>IF(U878="Open",Lookups!$B$2-B878,X878)</f>
        <v>11</v>
      </c>
      <c r="Z878" t="str">
        <f t="shared" si="148"/>
        <v>OK</v>
      </c>
      <c r="AA878" t="str">
        <f t="shared" si="149"/>
        <v>2026-08</v>
      </c>
      <c r="AB878" t="str">
        <f t="shared" si="150"/>
        <v>2026-08</v>
      </c>
      <c r="AC878" t="str">
        <f t="shared" si="151"/>
        <v>Q3-2026</v>
      </c>
      <c r="AD878" s="5">
        <f t="shared" si="152"/>
        <v>43</v>
      </c>
      <c r="AE878" t="str">
        <f t="shared" si="153"/>
        <v>Lost</v>
      </c>
    </row>
    <row r="879" spans="1:31">
      <c r="A879" t="s">
        <v>981</v>
      </c>
      <c r="B879" s="1">
        <v>45754</v>
      </c>
      <c r="C879" t="s">
        <v>90</v>
      </c>
      <c r="D879" t="s">
        <v>57</v>
      </c>
      <c r="E879" t="s">
        <v>44</v>
      </c>
      <c r="F879" t="s">
        <v>59</v>
      </c>
      <c r="G879" t="s">
        <v>72</v>
      </c>
      <c r="H879" t="s">
        <v>53</v>
      </c>
      <c r="I879" t="s">
        <v>48</v>
      </c>
      <c r="J879" s="1">
        <v>45937</v>
      </c>
      <c r="K879" s="1"/>
      <c r="L879" s="3">
        <v>30100</v>
      </c>
      <c r="M879" s="4">
        <v>0.03</v>
      </c>
      <c r="N879" s="4">
        <v>0.85</v>
      </c>
      <c r="P879">
        <v>5</v>
      </c>
      <c r="Q879" t="str">
        <f>IFERROR(VLOOKUP(E879,Lookups!$A$5:$B$24,2,FALSE),"Other")</f>
        <v>Organic Search</v>
      </c>
      <c r="R879" t="str">
        <f>IFERROR(VLOOKUP(F879,Lookups!$D$5:$F$10,2,FALSE),"Unknown Product")</f>
        <v>NexaCRM Pro</v>
      </c>
      <c r="S879" t="str">
        <f>IFERROR(VLOOKUP(F879,Lookups!$D$5:$F$10,3,FALSE),"Unknown")</f>
        <v>CRM</v>
      </c>
      <c r="T879" t="str">
        <f t="shared" si="143"/>
        <v>Mid-Market</v>
      </c>
      <c r="U879" t="str">
        <f t="shared" si="144"/>
        <v>Open</v>
      </c>
      <c r="V879" s="3">
        <f t="shared" si="145"/>
        <v>0</v>
      </c>
      <c r="W879" s="3">
        <f t="shared" si="146"/>
        <v>25585</v>
      </c>
      <c r="X879" s="5" t="str">
        <f t="shared" si="147"/>
        <v/>
      </c>
      <c r="Y879" s="5">
        <f>IF(U879="Open",Lookups!$B$2-B879,X879)</f>
        <v>512</v>
      </c>
      <c r="Z879" t="str">
        <f t="shared" si="148"/>
        <v>STALE</v>
      </c>
      <c r="AA879" t="str">
        <f t="shared" si="149"/>
        <v>2025-04</v>
      </c>
      <c r="AB879" t="str">
        <f t="shared" si="150"/>
        <v/>
      </c>
      <c r="AC879" t="str">
        <f t="shared" si="151"/>
        <v>Q2-2025</v>
      </c>
      <c r="AD879" s="5">
        <f t="shared" si="152"/>
        <v>65</v>
      </c>
      <c r="AE879" t="str">
        <f t="shared" si="153"/>
        <v>Commit</v>
      </c>
    </row>
    <row r="880" spans="1:31">
      <c r="A880" t="s">
        <v>982</v>
      </c>
      <c r="B880" s="1">
        <v>45737</v>
      </c>
      <c r="C880" t="s">
        <v>56</v>
      </c>
      <c r="D880" t="s">
        <v>57</v>
      </c>
      <c r="E880" t="s">
        <v>83</v>
      </c>
      <c r="F880" t="s">
        <v>71</v>
      </c>
      <c r="G880" t="s">
        <v>99</v>
      </c>
      <c r="H880" t="s">
        <v>84</v>
      </c>
      <c r="I880" t="s">
        <v>61</v>
      </c>
      <c r="J880" s="1">
        <v>45812</v>
      </c>
      <c r="K880" s="1">
        <v>45812</v>
      </c>
      <c r="L880" s="3">
        <v>65200</v>
      </c>
      <c r="M880" s="4">
        <v>0</v>
      </c>
      <c r="N880" s="4">
        <v>0</v>
      </c>
      <c r="O880" t="s">
        <v>102</v>
      </c>
      <c r="P880">
        <v>3</v>
      </c>
      <c r="Q880" t="str">
        <f>IFERROR(VLOOKUP(E880,Lookups!$A$5:$B$24,2,FALSE),"Other")</f>
        <v>Organic Search</v>
      </c>
      <c r="R880" t="str">
        <f>IFERROR(VLOOKUP(F880,Lookups!$D$5:$F$10,2,FALSE),"Unknown Product")</f>
        <v>Marketing Automation</v>
      </c>
      <c r="S880" t="str">
        <f>IFERROR(VLOOKUP(F880,Lookups!$D$5:$F$10,3,FALSE),"Unknown")</f>
        <v>Marketing</v>
      </c>
      <c r="T880" t="str">
        <f t="shared" si="143"/>
        <v>Enterprise</v>
      </c>
      <c r="U880" t="str">
        <f t="shared" si="144"/>
        <v>Lost</v>
      </c>
      <c r="V880" s="3">
        <f t="shared" si="145"/>
        <v>0</v>
      </c>
      <c r="W880" s="3">
        <f t="shared" si="146"/>
        <v>0</v>
      </c>
      <c r="X880" s="5">
        <f t="shared" si="147"/>
        <v>75</v>
      </c>
      <c r="Y880" s="5">
        <f>IF(U880="Open",Lookups!$B$2-B880,X880)</f>
        <v>75</v>
      </c>
      <c r="Z880" t="str">
        <f t="shared" si="148"/>
        <v>OK</v>
      </c>
      <c r="AA880" t="str">
        <f t="shared" si="149"/>
        <v>2025-03</v>
      </c>
      <c r="AB880" t="str">
        <f t="shared" si="150"/>
        <v>2025-06</v>
      </c>
      <c r="AC880" t="str">
        <f t="shared" si="151"/>
        <v>Q1-2025</v>
      </c>
      <c r="AD880" s="5">
        <f t="shared" si="152"/>
        <v>80</v>
      </c>
      <c r="AE880" t="str">
        <f t="shared" si="153"/>
        <v>Lost</v>
      </c>
    </row>
    <row r="881" spans="1:31">
      <c r="A881" t="s">
        <v>983</v>
      </c>
      <c r="B881" s="1">
        <v>45697</v>
      </c>
      <c r="C881" t="s">
        <v>50</v>
      </c>
      <c r="D881" t="s">
        <v>43</v>
      </c>
      <c r="E881" t="s">
        <v>160</v>
      </c>
      <c r="F881" t="s">
        <v>52</v>
      </c>
      <c r="G881" t="s">
        <v>72</v>
      </c>
      <c r="H881" t="s">
        <v>53</v>
      </c>
      <c r="I881" t="s">
        <v>48</v>
      </c>
      <c r="J881" s="1">
        <v>46137</v>
      </c>
      <c r="K881" s="1"/>
      <c r="L881" s="3">
        <v>13900</v>
      </c>
      <c r="M881" s="4">
        <v>0.05</v>
      </c>
      <c r="N881" s="4">
        <v>0.85</v>
      </c>
      <c r="P881">
        <v>5</v>
      </c>
      <c r="Q881" t="str">
        <f>IFERROR(VLOOKUP(E881,Lookups!$A$5:$B$24,2,FALSE),"Other")</f>
        <v>Email</v>
      </c>
      <c r="R881" t="str">
        <f>IFERROR(VLOOKUP(F881,Lookups!$D$5:$F$10,2,FALSE),"Unknown Product")</f>
        <v>NexaCRM Core</v>
      </c>
      <c r="S881" t="str">
        <f>IFERROR(VLOOKUP(F881,Lookups!$D$5:$F$10,3,FALSE),"Unknown")</f>
        <v>CRM</v>
      </c>
      <c r="T881" t="str">
        <f t="shared" si="143"/>
        <v>SMB</v>
      </c>
      <c r="U881" t="str">
        <f t="shared" si="144"/>
        <v>Open</v>
      </c>
      <c r="V881" s="3">
        <f t="shared" si="145"/>
        <v>0</v>
      </c>
      <c r="W881" s="3">
        <f t="shared" si="146"/>
        <v>11815</v>
      </c>
      <c r="X881" s="5" t="str">
        <f t="shared" si="147"/>
        <v/>
      </c>
      <c r="Y881" s="5">
        <f>IF(U881="Open",Lookups!$B$2-B881,X881)</f>
        <v>569</v>
      </c>
      <c r="Z881" t="str">
        <f t="shared" si="148"/>
        <v>STALE</v>
      </c>
      <c r="AA881" t="str">
        <f t="shared" si="149"/>
        <v>2025-02</v>
      </c>
      <c r="AB881" t="str">
        <f t="shared" si="150"/>
        <v/>
      </c>
      <c r="AC881" t="str">
        <f t="shared" si="151"/>
        <v>Q1-2025</v>
      </c>
      <c r="AD881" s="5">
        <f t="shared" si="152"/>
        <v>55</v>
      </c>
      <c r="AE881" t="str">
        <f t="shared" si="153"/>
        <v>Commit</v>
      </c>
    </row>
    <row r="882" spans="1:31">
      <c r="A882" t="s">
        <v>984</v>
      </c>
      <c r="B882" s="1">
        <v>45697</v>
      </c>
      <c r="C882" t="s">
        <v>56</v>
      </c>
      <c r="D882" t="s">
        <v>57</v>
      </c>
      <c r="E882" t="s">
        <v>146</v>
      </c>
      <c r="F882" t="s">
        <v>59</v>
      </c>
      <c r="G882" t="s">
        <v>99</v>
      </c>
      <c r="H882" t="s">
        <v>47</v>
      </c>
      <c r="I882" t="s">
        <v>48</v>
      </c>
      <c r="J882" s="1">
        <v>46094</v>
      </c>
      <c r="K882" s="1"/>
      <c r="L882" s="3">
        <v>12700</v>
      </c>
      <c r="M882" s="4">
        <v>0</v>
      </c>
      <c r="N882" s="4">
        <v>0.85</v>
      </c>
      <c r="P882">
        <v>5</v>
      </c>
      <c r="Q882" t="str">
        <f>IFERROR(VLOOKUP(E882,Lookups!$A$5:$B$24,2,FALSE),"Other")</f>
        <v>LinkedIn</v>
      </c>
      <c r="R882" t="str">
        <f>IFERROR(VLOOKUP(F882,Lookups!$D$5:$F$10,2,FALSE),"Unknown Product")</f>
        <v>NexaCRM Pro</v>
      </c>
      <c r="S882" t="str">
        <f>IFERROR(VLOOKUP(F882,Lookups!$D$5:$F$10,3,FALSE),"Unknown")</f>
        <v>CRM</v>
      </c>
      <c r="T882" t="str">
        <f t="shared" si="143"/>
        <v>SMB</v>
      </c>
      <c r="U882" t="str">
        <f t="shared" si="144"/>
        <v>Open</v>
      </c>
      <c r="V882" s="3">
        <f t="shared" si="145"/>
        <v>0</v>
      </c>
      <c r="W882" s="3">
        <f t="shared" si="146"/>
        <v>10795</v>
      </c>
      <c r="X882" s="5" t="str">
        <f t="shared" si="147"/>
        <v/>
      </c>
      <c r="Y882" s="5">
        <f>IF(U882="Open",Lookups!$B$2-B882,X882)</f>
        <v>569</v>
      </c>
      <c r="Z882" t="str">
        <f t="shared" si="148"/>
        <v>STALE</v>
      </c>
      <c r="AA882" t="str">
        <f t="shared" si="149"/>
        <v>2025-02</v>
      </c>
      <c r="AB882" t="str">
        <f t="shared" si="150"/>
        <v/>
      </c>
      <c r="AC882" t="str">
        <f t="shared" si="151"/>
        <v>Q1-2025</v>
      </c>
      <c r="AD882" s="5">
        <f t="shared" si="152"/>
        <v>43</v>
      </c>
      <c r="AE882" t="str">
        <f t="shared" si="153"/>
        <v>Commit</v>
      </c>
    </row>
    <row r="883" spans="1:31">
      <c r="A883" t="s">
        <v>985</v>
      </c>
      <c r="B883" s="1">
        <v>46154</v>
      </c>
      <c r="C883" t="s">
        <v>69</v>
      </c>
      <c r="D883" t="s">
        <v>57</v>
      </c>
      <c r="E883" t="s">
        <v>51</v>
      </c>
      <c r="F883" t="s">
        <v>67</v>
      </c>
      <c r="G883" t="s">
        <v>46</v>
      </c>
      <c r="H883" t="s">
        <v>47</v>
      </c>
      <c r="I883" t="s">
        <v>61</v>
      </c>
      <c r="J883" s="1">
        <v>46205</v>
      </c>
      <c r="K883" s="1">
        <v>46205</v>
      </c>
      <c r="L883" s="3">
        <v>25400</v>
      </c>
      <c r="M883" s="4">
        <v>0</v>
      </c>
      <c r="N883" s="4">
        <v>0</v>
      </c>
      <c r="O883" t="s">
        <v>116</v>
      </c>
      <c r="P883">
        <v>4</v>
      </c>
      <c r="Q883" t="str">
        <f>IFERROR(VLOOKUP(E883,Lookups!$A$5:$B$24,2,FALSE),"Other")</f>
        <v>Paid Search</v>
      </c>
      <c r="R883" t="str">
        <f>IFERROR(VLOOKUP(F883,Lookups!$D$5:$F$10,2,FALSE),"Unknown Product")</f>
        <v>Revenue Operations Suite</v>
      </c>
      <c r="S883" t="str">
        <f>IFERROR(VLOOKUP(F883,Lookups!$D$5:$F$10,3,FALSE),"Unknown")</f>
        <v>Revenue Ops</v>
      </c>
      <c r="T883" t="str">
        <f t="shared" si="143"/>
        <v>Mid-Market</v>
      </c>
      <c r="U883" t="str">
        <f t="shared" si="144"/>
        <v>Lost</v>
      </c>
      <c r="V883" s="3">
        <f t="shared" si="145"/>
        <v>0</v>
      </c>
      <c r="W883" s="3">
        <f t="shared" si="146"/>
        <v>0</v>
      </c>
      <c r="X883" s="5">
        <f t="shared" si="147"/>
        <v>51</v>
      </c>
      <c r="Y883" s="5">
        <f>IF(U883="Open",Lookups!$B$2-B883,X883)</f>
        <v>51</v>
      </c>
      <c r="Z883" t="str">
        <f t="shared" si="148"/>
        <v>OK</v>
      </c>
      <c r="AA883" t="str">
        <f t="shared" si="149"/>
        <v>2026-05</v>
      </c>
      <c r="AB883" t="str">
        <f t="shared" si="150"/>
        <v>2026-07</v>
      </c>
      <c r="AC883" t="str">
        <f t="shared" si="151"/>
        <v>Q2-2026</v>
      </c>
      <c r="AD883" s="5">
        <f t="shared" si="152"/>
        <v>51</v>
      </c>
      <c r="AE883" t="str">
        <f t="shared" si="153"/>
        <v>Lost</v>
      </c>
    </row>
    <row r="884" spans="1:31">
      <c r="A884" t="s">
        <v>986</v>
      </c>
      <c r="B884" s="1">
        <v>45922</v>
      </c>
      <c r="C884" t="s">
        <v>86</v>
      </c>
      <c r="D884" t="s">
        <v>87</v>
      </c>
      <c r="E884" t="s">
        <v>138</v>
      </c>
      <c r="F884" t="s">
        <v>52</v>
      </c>
      <c r="G884" t="s">
        <v>46</v>
      </c>
      <c r="H884" t="s">
        <v>47</v>
      </c>
      <c r="I884" t="s">
        <v>61</v>
      </c>
      <c r="J884" s="1">
        <v>45970</v>
      </c>
      <c r="K884" s="1">
        <v>45970</v>
      </c>
      <c r="L884" s="3">
        <v>7400</v>
      </c>
      <c r="M884" s="4">
        <v>0</v>
      </c>
      <c r="N884" s="4">
        <v>0</v>
      </c>
      <c r="O884" t="s">
        <v>79</v>
      </c>
      <c r="P884">
        <v>4</v>
      </c>
      <c r="Q884" t="str">
        <f>IFERROR(VLOOKUP(E884,Lookups!$A$5:$B$24,2,FALSE),"Other")</f>
        <v>Organic Search</v>
      </c>
      <c r="R884" t="str">
        <f>IFERROR(VLOOKUP(F884,Lookups!$D$5:$F$10,2,FALSE),"Unknown Product")</f>
        <v>NexaCRM Core</v>
      </c>
      <c r="S884" t="str">
        <f>IFERROR(VLOOKUP(F884,Lookups!$D$5:$F$10,3,FALSE),"Unknown")</f>
        <v>CRM</v>
      </c>
      <c r="T884" t="str">
        <f t="shared" si="143"/>
        <v>SMB</v>
      </c>
      <c r="U884" t="str">
        <f t="shared" si="144"/>
        <v>Lost</v>
      </c>
      <c r="V884" s="3">
        <f t="shared" si="145"/>
        <v>0</v>
      </c>
      <c r="W884" s="3">
        <f t="shared" si="146"/>
        <v>0</v>
      </c>
      <c r="X884" s="5">
        <f t="shared" si="147"/>
        <v>48</v>
      </c>
      <c r="Y884" s="5">
        <f>IF(U884="Open",Lookups!$B$2-B884,X884)</f>
        <v>48</v>
      </c>
      <c r="Z884" t="str">
        <f t="shared" si="148"/>
        <v>OK</v>
      </c>
      <c r="AA884" t="str">
        <f t="shared" si="149"/>
        <v>2025-09</v>
      </c>
      <c r="AB884" t="str">
        <f t="shared" si="150"/>
        <v>2025-11</v>
      </c>
      <c r="AC884" t="str">
        <f t="shared" si="151"/>
        <v>Q3-2025</v>
      </c>
      <c r="AD884" s="5">
        <f t="shared" si="152"/>
        <v>49</v>
      </c>
      <c r="AE884" t="str">
        <f t="shared" si="153"/>
        <v>Lost</v>
      </c>
    </row>
    <row r="885" spans="1:31">
      <c r="A885" t="s">
        <v>987</v>
      </c>
      <c r="B885" s="1">
        <v>45905</v>
      </c>
      <c r="C885" t="s">
        <v>42</v>
      </c>
      <c r="D885" t="s">
        <v>43</v>
      </c>
      <c r="E885" t="s">
        <v>107</v>
      </c>
      <c r="F885" t="s">
        <v>52</v>
      </c>
      <c r="G885" t="s">
        <v>99</v>
      </c>
      <c r="H885" t="s">
        <v>84</v>
      </c>
      <c r="I885" t="s">
        <v>61</v>
      </c>
      <c r="J885" s="1">
        <v>45960</v>
      </c>
      <c r="K885" s="1">
        <v>45960</v>
      </c>
      <c r="L885" s="3">
        <v>31200</v>
      </c>
      <c r="M885" s="4">
        <v>0</v>
      </c>
      <c r="N885" s="4">
        <v>0</v>
      </c>
      <c r="O885" t="s">
        <v>81</v>
      </c>
      <c r="P885">
        <v>3</v>
      </c>
      <c r="Q885" t="str">
        <f>IFERROR(VLOOKUP(E885,Lookups!$A$5:$B$24,2,FALSE),"Other")</f>
        <v>Referral</v>
      </c>
      <c r="R885" t="str">
        <f>IFERROR(VLOOKUP(F885,Lookups!$D$5:$F$10,2,FALSE),"Unknown Product")</f>
        <v>NexaCRM Core</v>
      </c>
      <c r="S885" t="str">
        <f>IFERROR(VLOOKUP(F885,Lookups!$D$5:$F$10,3,FALSE),"Unknown")</f>
        <v>CRM</v>
      </c>
      <c r="T885" t="str">
        <f t="shared" si="143"/>
        <v>Mid-Market</v>
      </c>
      <c r="U885" t="str">
        <f t="shared" si="144"/>
        <v>Lost</v>
      </c>
      <c r="V885" s="3">
        <f t="shared" si="145"/>
        <v>0</v>
      </c>
      <c r="W885" s="3">
        <f t="shared" si="146"/>
        <v>0</v>
      </c>
      <c r="X885" s="5">
        <f t="shared" si="147"/>
        <v>55</v>
      </c>
      <c r="Y885" s="5">
        <f>IF(U885="Open",Lookups!$B$2-B885,X885)</f>
        <v>55</v>
      </c>
      <c r="Z885" t="str">
        <f t="shared" si="148"/>
        <v>OK</v>
      </c>
      <c r="AA885" t="str">
        <f t="shared" si="149"/>
        <v>2025-09</v>
      </c>
      <c r="AB885" t="str">
        <f t="shared" si="150"/>
        <v>2025-10</v>
      </c>
      <c r="AC885" t="str">
        <f t="shared" si="151"/>
        <v>Q3-2025</v>
      </c>
      <c r="AD885" s="5">
        <f t="shared" si="152"/>
        <v>78</v>
      </c>
      <c r="AE885" t="str">
        <f t="shared" si="153"/>
        <v>Lost</v>
      </c>
    </row>
    <row r="886" spans="1:31">
      <c r="A886" t="s">
        <v>988</v>
      </c>
      <c r="B886" s="1">
        <v>45773</v>
      </c>
      <c r="C886" t="s">
        <v>148</v>
      </c>
      <c r="D886" t="s">
        <v>43</v>
      </c>
      <c r="E886" t="s">
        <v>58</v>
      </c>
      <c r="F886" t="s">
        <v>59</v>
      </c>
      <c r="G886" t="s">
        <v>60</v>
      </c>
      <c r="H886" t="s">
        <v>53</v>
      </c>
      <c r="I886" t="s">
        <v>61</v>
      </c>
      <c r="J886" s="1">
        <v>45799</v>
      </c>
      <c r="K886" s="1">
        <v>45799</v>
      </c>
      <c r="L886" s="3">
        <v>31300</v>
      </c>
      <c r="M886" s="4">
        <v>0</v>
      </c>
      <c r="N886" s="4">
        <v>0</v>
      </c>
      <c r="O886" t="s">
        <v>81</v>
      </c>
      <c r="P886">
        <v>5</v>
      </c>
      <c r="Q886" t="str">
        <f>IFERROR(VLOOKUP(E886,Lookups!$A$5:$B$24,2,FALSE),"Other")</f>
        <v>Email</v>
      </c>
      <c r="R886" t="str">
        <f>IFERROR(VLOOKUP(F886,Lookups!$D$5:$F$10,2,FALSE),"Unknown Product")</f>
        <v>NexaCRM Pro</v>
      </c>
      <c r="S886" t="str">
        <f>IFERROR(VLOOKUP(F886,Lookups!$D$5:$F$10,3,FALSE),"Unknown")</f>
        <v>CRM</v>
      </c>
      <c r="T886" t="str">
        <f t="shared" si="143"/>
        <v>Mid-Market</v>
      </c>
      <c r="U886" t="str">
        <f t="shared" si="144"/>
        <v>Lost</v>
      </c>
      <c r="V886" s="3">
        <f t="shared" si="145"/>
        <v>0</v>
      </c>
      <c r="W886" s="3">
        <f t="shared" si="146"/>
        <v>0</v>
      </c>
      <c r="X886" s="5">
        <f t="shared" si="147"/>
        <v>26</v>
      </c>
      <c r="Y886" s="5">
        <f>IF(U886="Open",Lookups!$B$2-B886,X886)</f>
        <v>26</v>
      </c>
      <c r="Z886" t="str">
        <f t="shared" si="148"/>
        <v>OK</v>
      </c>
      <c r="AA886" t="str">
        <f t="shared" si="149"/>
        <v>2025-04</v>
      </c>
      <c r="AB886" t="str">
        <f t="shared" si="150"/>
        <v>2025-05</v>
      </c>
      <c r="AC886" t="str">
        <f t="shared" si="151"/>
        <v>Q2-2025</v>
      </c>
      <c r="AD886" s="5">
        <f t="shared" si="152"/>
        <v>63</v>
      </c>
      <c r="AE886" t="str">
        <f t="shared" si="153"/>
        <v>Lost</v>
      </c>
    </row>
    <row r="887" spans="1:31">
      <c r="A887" t="s">
        <v>989</v>
      </c>
      <c r="B887" s="1">
        <v>45960</v>
      </c>
      <c r="C887" t="s">
        <v>148</v>
      </c>
      <c r="D887" t="s">
        <v>43</v>
      </c>
      <c r="E887" t="s">
        <v>119</v>
      </c>
      <c r="F887" t="s">
        <v>67</v>
      </c>
      <c r="G887" t="s">
        <v>94</v>
      </c>
      <c r="H887" t="s">
        <v>84</v>
      </c>
      <c r="I887" t="s">
        <v>61</v>
      </c>
      <c r="J887" s="1">
        <v>46003</v>
      </c>
      <c r="K887" s="1">
        <v>46003</v>
      </c>
      <c r="L887" s="3">
        <v>131500</v>
      </c>
      <c r="M887" s="4">
        <v>0</v>
      </c>
      <c r="N887" s="4">
        <v>0</v>
      </c>
      <c r="O887" t="s">
        <v>81</v>
      </c>
      <c r="P887">
        <v>3</v>
      </c>
      <c r="Q887" t="str">
        <f>IFERROR(VLOOKUP(E887,Lookups!$A$5:$B$24,2,FALSE),"Other")</f>
        <v>Referral</v>
      </c>
      <c r="R887" t="str">
        <f>IFERROR(VLOOKUP(F887,Lookups!$D$5:$F$10,2,FALSE),"Unknown Product")</f>
        <v>Revenue Operations Suite</v>
      </c>
      <c r="S887" t="str">
        <f>IFERROR(VLOOKUP(F887,Lookups!$D$5:$F$10,3,FALSE),"Unknown")</f>
        <v>Revenue Ops</v>
      </c>
      <c r="T887" t="str">
        <f t="shared" si="143"/>
        <v>Enterprise</v>
      </c>
      <c r="U887" t="str">
        <f t="shared" si="144"/>
        <v>Lost</v>
      </c>
      <c r="V887" s="3">
        <f t="shared" si="145"/>
        <v>0</v>
      </c>
      <c r="W887" s="3">
        <f t="shared" si="146"/>
        <v>0</v>
      </c>
      <c r="X887" s="5">
        <f t="shared" si="147"/>
        <v>43</v>
      </c>
      <c r="Y887" s="5">
        <f>IF(U887="Open",Lookups!$B$2-B887,X887)</f>
        <v>43</v>
      </c>
      <c r="Z887" t="str">
        <f t="shared" si="148"/>
        <v>OK</v>
      </c>
      <c r="AA887" t="str">
        <f t="shared" si="149"/>
        <v>2025-10</v>
      </c>
      <c r="AB887" t="str">
        <f t="shared" si="150"/>
        <v>2025-12</v>
      </c>
      <c r="AC887" t="str">
        <f t="shared" si="151"/>
        <v>Q4-2025</v>
      </c>
      <c r="AD887" s="5">
        <f t="shared" si="152"/>
        <v>85</v>
      </c>
      <c r="AE887" t="str">
        <f t="shared" si="153"/>
        <v>Lost</v>
      </c>
    </row>
    <row r="888" spans="1:31">
      <c r="A888" t="s">
        <v>990</v>
      </c>
      <c r="B888" s="1">
        <v>45932</v>
      </c>
      <c r="C888" t="s">
        <v>69</v>
      </c>
      <c r="D888" t="s">
        <v>57</v>
      </c>
      <c r="E888" t="s">
        <v>166</v>
      </c>
      <c r="F888" t="s">
        <v>45</v>
      </c>
      <c r="G888" t="s">
        <v>94</v>
      </c>
      <c r="H888" t="s">
        <v>47</v>
      </c>
      <c r="I888" t="s">
        <v>61</v>
      </c>
      <c r="J888" s="1">
        <v>45967</v>
      </c>
      <c r="K888" s="1">
        <v>45967</v>
      </c>
      <c r="L888" s="3">
        <v>18900</v>
      </c>
      <c r="M888" s="4">
        <v>0</v>
      </c>
      <c r="N888" s="4">
        <v>0</v>
      </c>
      <c r="O888" t="s">
        <v>79</v>
      </c>
      <c r="P888">
        <v>3</v>
      </c>
      <c r="Q888" t="str">
        <f>IFERROR(VLOOKUP(E888,Lookups!$A$5:$B$24,2,FALSE),"Other")</f>
        <v>Referral</v>
      </c>
      <c r="R888" t="str">
        <f>IFERROR(VLOOKUP(F888,Lookups!$D$5:$F$10,2,FALSE),"Unknown Product")</f>
        <v>Service Cloud</v>
      </c>
      <c r="S888" t="str">
        <f>IFERROR(VLOOKUP(F888,Lookups!$D$5:$F$10,3,FALSE),"Unknown")</f>
        <v>Customer Service</v>
      </c>
      <c r="T888" t="str">
        <f t="shared" si="143"/>
        <v>SMB</v>
      </c>
      <c r="U888" t="str">
        <f t="shared" si="144"/>
        <v>Lost</v>
      </c>
      <c r="V888" s="3">
        <f t="shared" si="145"/>
        <v>0</v>
      </c>
      <c r="W888" s="3">
        <f t="shared" si="146"/>
        <v>0</v>
      </c>
      <c r="X888" s="5">
        <f t="shared" si="147"/>
        <v>35</v>
      </c>
      <c r="Y888" s="5">
        <f>IF(U888="Open",Lookups!$B$2-B888,X888)</f>
        <v>35</v>
      </c>
      <c r="Z888" t="str">
        <f t="shared" si="148"/>
        <v>OK</v>
      </c>
      <c r="AA888" t="str">
        <f t="shared" si="149"/>
        <v>2025-10</v>
      </c>
      <c r="AB888" t="str">
        <f t="shared" si="150"/>
        <v>2025-11</v>
      </c>
      <c r="AC888" t="str">
        <f t="shared" si="151"/>
        <v>Q4-2025</v>
      </c>
      <c r="AD888" s="5">
        <f t="shared" si="152"/>
        <v>54</v>
      </c>
      <c r="AE888" t="str">
        <f t="shared" si="153"/>
        <v>Lost</v>
      </c>
    </row>
    <row r="889" spans="1:31">
      <c r="A889" t="s">
        <v>991</v>
      </c>
      <c r="B889" s="1">
        <v>45941</v>
      </c>
      <c r="C889" t="s">
        <v>148</v>
      </c>
      <c r="D889" t="s">
        <v>43</v>
      </c>
      <c r="E889" t="s">
        <v>83</v>
      </c>
      <c r="F889" t="s">
        <v>133</v>
      </c>
      <c r="G889" t="s">
        <v>46</v>
      </c>
      <c r="H889" t="s">
        <v>53</v>
      </c>
      <c r="I889" t="s">
        <v>61</v>
      </c>
      <c r="J889" s="1">
        <v>46001</v>
      </c>
      <c r="K889" s="1">
        <v>46001</v>
      </c>
      <c r="L889" s="3">
        <v>28600</v>
      </c>
      <c r="M889" s="4">
        <v>0</v>
      </c>
      <c r="N889" s="4">
        <v>0</v>
      </c>
      <c r="O889" t="s">
        <v>102</v>
      </c>
      <c r="P889">
        <v>3</v>
      </c>
      <c r="Q889" t="str">
        <f>IFERROR(VLOOKUP(E889,Lookups!$A$5:$B$24,2,FALSE),"Other")</f>
        <v>Organic Search</v>
      </c>
      <c r="R889" t="str">
        <f>IFERROR(VLOOKUP(F889,Lookups!$D$5:$F$10,2,FALSE),"Unknown Product")</f>
        <v>Analytics Plus</v>
      </c>
      <c r="S889" t="str">
        <f>IFERROR(VLOOKUP(F889,Lookups!$D$5:$F$10,3,FALSE),"Unknown")</f>
        <v>Analytics</v>
      </c>
      <c r="T889" t="str">
        <f t="shared" si="143"/>
        <v>Mid-Market</v>
      </c>
      <c r="U889" t="str">
        <f t="shared" si="144"/>
        <v>Lost</v>
      </c>
      <c r="V889" s="3">
        <f t="shared" si="145"/>
        <v>0</v>
      </c>
      <c r="W889" s="3">
        <f t="shared" si="146"/>
        <v>0</v>
      </c>
      <c r="X889" s="5">
        <f t="shared" si="147"/>
        <v>60</v>
      </c>
      <c r="Y889" s="5">
        <f>IF(U889="Open",Lookups!$B$2-B889,X889)</f>
        <v>60</v>
      </c>
      <c r="Z889" t="str">
        <f t="shared" si="148"/>
        <v>OK</v>
      </c>
      <c r="AA889" t="str">
        <f t="shared" si="149"/>
        <v>2025-10</v>
      </c>
      <c r="AB889" t="str">
        <f t="shared" si="150"/>
        <v>2025-12</v>
      </c>
      <c r="AC889" t="str">
        <f t="shared" si="151"/>
        <v>Q4-2025</v>
      </c>
      <c r="AD889" s="5">
        <f t="shared" si="152"/>
        <v>65</v>
      </c>
      <c r="AE889" t="str">
        <f t="shared" si="153"/>
        <v>Lost</v>
      </c>
    </row>
    <row r="890" spans="1:31">
      <c r="A890" t="s">
        <v>992</v>
      </c>
      <c r="B890" s="1">
        <v>45993</v>
      </c>
      <c r="C890" t="s">
        <v>86</v>
      </c>
      <c r="D890" t="s">
        <v>87</v>
      </c>
      <c r="E890" t="s">
        <v>44</v>
      </c>
      <c r="F890" t="s">
        <v>59</v>
      </c>
      <c r="G890" t="s">
        <v>46</v>
      </c>
      <c r="H890" t="s">
        <v>53</v>
      </c>
      <c r="I890" t="s">
        <v>48</v>
      </c>
      <c r="J890" s="1">
        <v>46135</v>
      </c>
      <c r="K890" s="1"/>
      <c r="L890" s="3">
        <v>21600</v>
      </c>
      <c r="M890" s="4">
        <v>0</v>
      </c>
      <c r="N890" s="4">
        <v>0.85</v>
      </c>
      <c r="P890">
        <v>5</v>
      </c>
      <c r="Q890" t="str">
        <f>IFERROR(VLOOKUP(E890,Lookups!$A$5:$B$24,2,FALSE),"Other")</f>
        <v>Organic Search</v>
      </c>
      <c r="R890" t="str">
        <f>IFERROR(VLOOKUP(F890,Lookups!$D$5:$F$10,2,FALSE),"Unknown Product")</f>
        <v>NexaCRM Pro</v>
      </c>
      <c r="S890" t="str">
        <f>IFERROR(VLOOKUP(F890,Lookups!$D$5:$F$10,3,FALSE),"Unknown")</f>
        <v>CRM</v>
      </c>
      <c r="T890" t="str">
        <f t="shared" si="143"/>
        <v>Mid-Market</v>
      </c>
      <c r="U890" t="str">
        <f t="shared" si="144"/>
        <v>Open</v>
      </c>
      <c r="V890" s="3">
        <f t="shared" si="145"/>
        <v>0</v>
      </c>
      <c r="W890" s="3">
        <f t="shared" si="146"/>
        <v>18360</v>
      </c>
      <c r="X890" s="5" t="str">
        <f t="shared" si="147"/>
        <v/>
      </c>
      <c r="Y890" s="5">
        <f>IF(U890="Open",Lookups!$B$2-B890,X890)</f>
        <v>273</v>
      </c>
      <c r="Z890" t="str">
        <f t="shared" si="148"/>
        <v>STALE</v>
      </c>
      <c r="AA890" t="str">
        <f t="shared" si="149"/>
        <v>2025-12</v>
      </c>
      <c r="AB890" t="str">
        <f t="shared" si="150"/>
        <v/>
      </c>
      <c r="AC890" t="str">
        <f t="shared" si="151"/>
        <v>Q4-2025</v>
      </c>
      <c r="AD890" s="5">
        <f t="shared" si="152"/>
        <v>65</v>
      </c>
      <c r="AE890" t="str">
        <f t="shared" si="153"/>
        <v>Commit</v>
      </c>
    </row>
    <row r="891" spans="1:31">
      <c r="A891" t="s">
        <v>993</v>
      </c>
      <c r="B891" s="1">
        <v>45868</v>
      </c>
      <c r="C891" t="s">
        <v>148</v>
      </c>
      <c r="D891" t="s">
        <v>43</v>
      </c>
      <c r="E891" t="s">
        <v>58</v>
      </c>
      <c r="F891" t="s">
        <v>71</v>
      </c>
      <c r="G891" t="s">
        <v>112</v>
      </c>
      <c r="H891" t="s">
        <v>53</v>
      </c>
      <c r="I891" t="s">
        <v>61</v>
      </c>
      <c r="J891" s="1">
        <v>45928</v>
      </c>
      <c r="K891" s="1">
        <v>45928</v>
      </c>
      <c r="L891" s="3">
        <v>17300</v>
      </c>
      <c r="M891" s="4">
        <v>0</v>
      </c>
      <c r="N891" s="4">
        <v>0</v>
      </c>
      <c r="O891" t="s">
        <v>81</v>
      </c>
      <c r="P891">
        <v>4</v>
      </c>
      <c r="Q891" t="str">
        <f>IFERROR(VLOOKUP(E891,Lookups!$A$5:$B$24,2,FALSE),"Other")</f>
        <v>Email</v>
      </c>
      <c r="R891" t="str">
        <f>IFERROR(VLOOKUP(F891,Lookups!$D$5:$F$10,2,FALSE),"Unknown Product")</f>
        <v>Marketing Automation</v>
      </c>
      <c r="S891" t="str">
        <f>IFERROR(VLOOKUP(F891,Lookups!$D$5:$F$10,3,FALSE),"Unknown")</f>
        <v>Marketing</v>
      </c>
      <c r="T891" t="str">
        <f t="shared" si="143"/>
        <v>SMB</v>
      </c>
      <c r="U891" t="str">
        <f t="shared" si="144"/>
        <v>Lost</v>
      </c>
      <c r="V891" s="3">
        <f t="shared" si="145"/>
        <v>0</v>
      </c>
      <c r="W891" s="3">
        <f t="shared" si="146"/>
        <v>0</v>
      </c>
      <c r="X891" s="5">
        <f t="shared" si="147"/>
        <v>60</v>
      </c>
      <c r="Y891" s="5">
        <f>IF(U891="Open",Lookups!$B$2-B891,X891)</f>
        <v>60</v>
      </c>
      <c r="Z891" t="str">
        <f t="shared" si="148"/>
        <v>OK</v>
      </c>
      <c r="AA891" t="str">
        <f t="shared" si="149"/>
        <v>2025-07</v>
      </c>
      <c r="AB891" t="str">
        <f t="shared" si="150"/>
        <v>2025-09</v>
      </c>
      <c r="AC891" t="str">
        <f t="shared" si="151"/>
        <v>Q3-2025</v>
      </c>
      <c r="AD891" s="5">
        <f t="shared" si="152"/>
        <v>60</v>
      </c>
      <c r="AE891" t="str">
        <f t="shared" si="153"/>
        <v>Lost</v>
      </c>
    </row>
    <row r="892" spans="1:31">
      <c r="A892" t="s">
        <v>994</v>
      </c>
      <c r="B892" s="1">
        <v>46042</v>
      </c>
      <c r="C892" t="s">
        <v>50</v>
      </c>
      <c r="D892" t="s">
        <v>43</v>
      </c>
      <c r="E892" t="s">
        <v>115</v>
      </c>
      <c r="F892" t="s">
        <v>52</v>
      </c>
      <c r="G892" t="s">
        <v>76</v>
      </c>
      <c r="H892" t="s">
        <v>47</v>
      </c>
      <c r="I892" t="s">
        <v>48</v>
      </c>
      <c r="J892" s="1">
        <v>46127</v>
      </c>
      <c r="K892" s="1"/>
      <c r="L892" s="3">
        <v>5300</v>
      </c>
      <c r="M892" s="4">
        <v>0.05</v>
      </c>
      <c r="N892" s="4">
        <v>0.85</v>
      </c>
      <c r="P892">
        <v>5</v>
      </c>
      <c r="Q892" t="str">
        <f>IFERROR(VLOOKUP(E892,Lookups!$A$5:$B$24,2,FALSE),"Other")</f>
        <v>Outbound</v>
      </c>
      <c r="R892" t="str">
        <f>IFERROR(VLOOKUP(F892,Lookups!$D$5:$F$10,2,FALSE),"Unknown Product")</f>
        <v>NexaCRM Core</v>
      </c>
      <c r="S892" t="str">
        <f>IFERROR(VLOOKUP(F892,Lookups!$D$5:$F$10,3,FALSE),"Unknown")</f>
        <v>CRM</v>
      </c>
      <c r="T892" t="str">
        <f t="shared" si="143"/>
        <v>SMB</v>
      </c>
      <c r="U892" t="str">
        <f t="shared" si="144"/>
        <v>Open</v>
      </c>
      <c r="V892" s="3">
        <f t="shared" si="145"/>
        <v>0</v>
      </c>
      <c r="W892" s="3">
        <f t="shared" si="146"/>
        <v>4505</v>
      </c>
      <c r="X892" s="5" t="str">
        <f t="shared" si="147"/>
        <v/>
      </c>
      <c r="Y892" s="5">
        <f>IF(U892="Open",Lookups!$B$2-B892,X892)</f>
        <v>224</v>
      </c>
      <c r="Z892" t="str">
        <f t="shared" si="148"/>
        <v>STALE</v>
      </c>
      <c r="AA892" t="str">
        <f t="shared" si="149"/>
        <v>2026-01</v>
      </c>
      <c r="AB892" t="str">
        <f t="shared" si="150"/>
        <v/>
      </c>
      <c r="AC892" t="str">
        <f t="shared" si="151"/>
        <v>Q1-2026</v>
      </c>
      <c r="AD892" s="5">
        <f t="shared" si="152"/>
        <v>43</v>
      </c>
      <c r="AE892" t="str">
        <f t="shared" si="153"/>
        <v>Commit</v>
      </c>
    </row>
    <row r="893" spans="1:31">
      <c r="A893" t="s">
        <v>995</v>
      </c>
      <c r="B893" s="1">
        <v>45930</v>
      </c>
      <c r="C893" t="s">
        <v>90</v>
      </c>
      <c r="D893" t="s">
        <v>57</v>
      </c>
      <c r="E893" t="s">
        <v>75</v>
      </c>
      <c r="F893" t="s">
        <v>59</v>
      </c>
      <c r="G893" t="s">
        <v>76</v>
      </c>
      <c r="H893" t="s">
        <v>47</v>
      </c>
      <c r="I893" t="s">
        <v>77</v>
      </c>
      <c r="J893" s="1">
        <v>45975</v>
      </c>
      <c r="K893" s="1">
        <v>45975</v>
      </c>
      <c r="L893" s="3">
        <v>18100</v>
      </c>
      <c r="M893" s="4">
        <v>0.03</v>
      </c>
      <c r="N893" s="4">
        <v>1</v>
      </c>
      <c r="P893">
        <v>6</v>
      </c>
      <c r="Q893" t="str">
        <f>IFERROR(VLOOKUP(E893,Lookups!$A$5:$B$24,2,FALSE),"Other")</f>
        <v>Webinar</v>
      </c>
      <c r="R893" t="str">
        <f>IFERROR(VLOOKUP(F893,Lookups!$D$5:$F$10,2,FALSE),"Unknown Product")</f>
        <v>NexaCRM Pro</v>
      </c>
      <c r="S893" t="str">
        <f>IFERROR(VLOOKUP(F893,Lookups!$D$5:$F$10,3,FALSE),"Unknown")</f>
        <v>CRM</v>
      </c>
      <c r="T893" t="str">
        <f t="shared" si="143"/>
        <v>SMB</v>
      </c>
      <c r="U893" t="str">
        <f t="shared" si="144"/>
        <v>Won</v>
      </c>
      <c r="V893" s="3">
        <f t="shared" si="145"/>
        <v>17557</v>
      </c>
      <c r="W893" s="3">
        <f t="shared" si="146"/>
        <v>0</v>
      </c>
      <c r="X893" s="5">
        <f t="shared" si="147"/>
        <v>45</v>
      </c>
      <c r="Y893" s="5">
        <f>IF(U893="Open",Lookups!$B$2-B893,X893)</f>
        <v>45</v>
      </c>
      <c r="Z893" t="str">
        <f t="shared" si="148"/>
        <v>OK</v>
      </c>
      <c r="AA893" t="str">
        <f t="shared" si="149"/>
        <v>2025-09</v>
      </c>
      <c r="AB893" t="str">
        <f t="shared" si="150"/>
        <v>2025-11</v>
      </c>
      <c r="AC893" t="str">
        <f t="shared" si="151"/>
        <v>Q3-2025</v>
      </c>
      <c r="AD893" s="5">
        <f t="shared" si="152"/>
        <v>43</v>
      </c>
      <c r="AE893" t="str">
        <f t="shared" si="153"/>
        <v>Won</v>
      </c>
    </row>
    <row r="894" spans="1:31">
      <c r="A894" t="s">
        <v>996</v>
      </c>
      <c r="B894" s="1">
        <v>46054</v>
      </c>
      <c r="C894" t="s">
        <v>42</v>
      </c>
      <c r="D894" t="s">
        <v>43</v>
      </c>
      <c r="E894" t="s">
        <v>70</v>
      </c>
      <c r="F894" t="s">
        <v>71</v>
      </c>
      <c r="G894" t="s">
        <v>112</v>
      </c>
      <c r="H894" t="s">
        <v>47</v>
      </c>
      <c r="I894" t="s">
        <v>61</v>
      </c>
      <c r="J894" s="1">
        <v>46089</v>
      </c>
      <c r="K894" s="1">
        <v>46089</v>
      </c>
      <c r="L894" s="3">
        <v>20200</v>
      </c>
      <c r="M894" s="4">
        <v>0</v>
      </c>
      <c r="N894" s="4">
        <v>0</v>
      </c>
      <c r="O894" t="s">
        <v>79</v>
      </c>
      <c r="P894">
        <v>5</v>
      </c>
      <c r="Q894" t="str">
        <f>IFERROR(VLOOKUP(E894,Lookups!$A$5:$B$24,2,FALSE),"Other")</f>
        <v>LinkedIn</v>
      </c>
      <c r="R894" t="str">
        <f>IFERROR(VLOOKUP(F894,Lookups!$D$5:$F$10,2,FALSE),"Unknown Product")</f>
        <v>Marketing Automation</v>
      </c>
      <c r="S894" t="str">
        <f>IFERROR(VLOOKUP(F894,Lookups!$D$5:$F$10,3,FALSE),"Unknown")</f>
        <v>Marketing</v>
      </c>
      <c r="T894" t="str">
        <f t="shared" si="143"/>
        <v>Mid-Market</v>
      </c>
      <c r="U894" t="str">
        <f t="shared" si="144"/>
        <v>Lost</v>
      </c>
      <c r="V894" s="3">
        <f t="shared" si="145"/>
        <v>0</v>
      </c>
      <c r="W894" s="3">
        <f t="shared" si="146"/>
        <v>0</v>
      </c>
      <c r="X894" s="5">
        <f t="shared" si="147"/>
        <v>35</v>
      </c>
      <c r="Y894" s="5">
        <f>IF(U894="Open",Lookups!$B$2-B894,X894)</f>
        <v>35</v>
      </c>
      <c r="Z894" t="str">
        <f t="shared" si="148"/>
        <v>OK</v>
      </c>
      <c r="AA894" t="str">
        <f t="shared" si="149"/>
        <v>2026-02</v>
      </c>
      <c r="AB894" t="str">
        <f t="shared" si="150"/>
        <v>2026-03</v>
      </c>
      <c r="AC894" t="str">
        <f t="shared" si="151"/>
        <v>Q1-2026</v>
      </c>
      <c r="AD894" s="5">
        <f t="shared" si="152"/>
        <v>56</v>
      </c>
      <c r="AE894" t="str">
        <f t="shared" si="153"/>
        <v>Lost</v>
      </c>
    </row>
    <row r="895" spans="1:31">
      <c r="A895" t="s">
        <v>997</v>
      </c>
      <c r="B895" s="1">
        <v>45968</v>
      </c>
      <c r="C895" t="s">
        <v>56</v>
      </c>
      <c r="D895" t="s">
        <v>57</v>
      </c>
      <c r="E895" t="s">
        <v>115</v>
      </c>
      <c r="F895" t="s">
        <v>59</v>
      </c>
      <c r="G895" t="s">
        <v>60</v>
      </c>
      <c r="H895" t="s">
        <v>84</v>
      </c>
      <c r="I895" t="s">
        <v>61</v>
      </c>
      <c r="J895" s="1">
        <v>45997</v>
      </c>
      <c r="K895" s="1">
        <v>45997</v>
      </c>
      <c r="L895" s="3">
        <v>77500</v>
      </c>
      <c r="M895" s="4">
        <v>0</v>
      </c>
      <c r="N895" s="4">
        <v>0</v>
      </c>
      <c r="O895" t="s">
        <v>79</v>
      </c>
      <c r="P895">
        <v>2</v>
      </c>
      <c r="Q895" t="str">
        <f>IFERROR(VLOOKUP(E895,Lookups!$A$5:$B$24,2,FALSE),"Other")</f>
        <v>Outbound</v>
      </c>
      <c r="R895" t="str">
        <f>IFERROR(VLOOKUP(F895,Lookups!$D$5:$F$10,2,FALSE),"Unknown Product")</f>
        <v>NexaCRM Pro</v>
      </c>
      <c r="S895" t="str">
        <f>IFERROR(VLOOKUP(F895,Lookups!$D$5:$F$10,3,FALSE),"Unknown")</f>
        <v>CRM</v>
      </c>
      <c r="T895" t="str">
        <f t="shared" si="143"/>
        <v>Enterprise</v>
      </c>
      <c r="U895" t="str">
        <f t="shared" si="144"/>
        <v>Lost</v>
      </c>
      <c r="V895" s="3">
        <f t="shared" si="145"/>
        <v>0</v>
      </c>
      <c r="W895" s="3">
        <f t="shared" si="146"/>
        <v>0</v>
      </c>
      <c r="X895" s="5">
        <f t="shared" si="147"/>
        <v>29</v>
      </c>
      <c r="Y895" s="5">
        <f>IF(U895="Open",Lookups!$B$2-B895,X895)</f>
        <v>29</v>
      </c>
      <c r="Z895" t="str">
        <f t="shared" si="148"/>
        <v>OK</v>
      </c>
      <c r="AA895" t="str">
        <f t="shared" si="149"/>
        <v>2025-11</v>
      </c>
      <c r="AB895" t="str">
        <f t="shared" si="150"/>
        <v>2025-12</v>
      </c>
      <c r="AC895" t="str">
        <f t="shared" si="151"/>
        <v>Q4-2025</v>
      </c>
      <c r="AD895" s="5">
        <f t="shared" si="152"/>
        <v>74</v>
      </c>
      <c r="AE895" t="str">
        <f t="shared" si="153"/>
        <v>Lost</v>
      </c>
    </row>
    <row r="896" spans="1:31">
      <c r="A896" t="s">
        <v>998</v>
      </c>
      <c r="B896" s="1">
        <v>46219</v>
      </c>
      <c r="C896" t="s">
        <v>90</v>
      </c>
      <c r="D896" t="s">
        <v>57</v>
      </c>
      <c r="E896" t="s">
        <v>44</v>
      </c>
      <c r="F896" t="s">
        <v>67</v>
      </c>
      <c r="G896" t="s">
        <v>46</v>
      </c>
      <c r="H896" t="s">
        <v>53</v>
      </c>
      <c r="I896" t="s">
        <v>73</v>
      </c>
      <c r="J896" s="1">
        <v>46250</v>
      </c>
      <c r="K896" s="1"/>
      <c r="L896" s="3">
        <v>53400</v>
      </c>
      <c r="M896" s="4">
        <v>0.05</v>
      </c>
      <c r="N896" s="4">
        <v>0.2</v>
      </c>
      <c r="P896">
        <v>2</v>
      </c>
      <c r="Q896" t="str">
        <f>IFERROR(VLOOKUP(E896,Lookups!$A$5:$B$24,2,FALSE),"Other")</f>
        <v>Organic Search</v>
      </c>
      <c r="R896" t="str">
        <f>IFERROR(VLOOKUP(F896,Lookups!$D$5:$F$10,2,FALSE),"Unknown Product")</f>
        <v>Revenue Operations Suite</v>
      </c>
      <c r="S896" t="str">
        <f>IFERROR(VLOOKUP(F896,Lookups!$D$5:$F$10,3,FALSE),"Unknown")</f>
        <v>Revenue Ops</v>
      </c>
      <c r="T896" t="str">
        <f t="shared" si="143"/>
        <v>Enterprise</v>
      </c>
      <c r="U896" t="str">
        <f t="shared" si="144"/>
        <v>Open</v>
      </c>
      <c r="V896" s="3">
        <f t="shared" si="145"/>
        <v>0</v>
      </c>
      <c r="W896" s="3">
        <f t="shared" si="146"/>
        <v>10680</v>
      </c>
      <c r="X896" s="5" t="str">
        <f t="shared" si="147"/>
        <v/>
      </c>
      <c r="Y896" s="5">
        <f>IF(U896="Open",Lookups!$B$2-B896,X896)</f>
        <v>47</v>
      </c>
      <c r="Z896" t="str">
        <f t="shared" si="148"/>
        <v>STALE</v>
      </c>
      <c r="AA896" t="str">
        <f t="shared" si="149"/>
        <v>2026-07</v>
      </c>
      <c r="AB896" t="str">
        <f t="shared" si="150"/>
        <v/>
      </c>
      <c r="AC896" t="str">
        <f t="shared" si="151"/>
        <v>Q3-2026</v>
      </c>
      <c r="AD896" s="5">
        <f t="shared" si="152"/>
        <v>72</v>
      </c>
      <c r="AE896" t="str">
        <f t="shared" si="153"/>
        <v>Pipeline</v>
      </c>
    </row>
    <row r="897" spans="1:31">
      <c r="A897" t="s">
        <v>999</v>
      </c>
      <c r="B897" s="1">
        <v>45805</v>
      </c>
      <c r="C897" t="s">
        <v>56</v>
      </c>
      <c r="D897" t="s">
        <v>57</v>
      </c>
      <c r="E897" t="s">
        <v>44</v>
      </c>
      <c r="F897" t="s">
        <v>71</v>
      </c>
      <c r="G897" t="s">
        <v>76</v>
      </c>
      <c r="H897" t="s">
        <v>53</v>
      </c>
      <c r="I897" t="s">
        <v>48</v>
      </c>
      <c r="J897" s="1">
        <v>46168</v>
      </c>
      <c r="K897" s="1"/>
      <c r="L897" s="3">
        <v>23700</v>
      </c>
      <c r="M897" s="4">
        <v>0</v>
      </c>
      <c r="N897" s="4">
        <v>0.85</v>
      </c>
      <c r="P897">
        <v>5</v>
      </c>
      <c r="Q897" t="str">
        <f>IFERROR(VLOOKUP(E897,Lookups!$A$5:$B$24,2,FALSE),"Other")</f>
        <v>Organic Search</v>
      </c>
      <c r="R897" t="str">
        <f>IFERROR(VLOOKUP(F897,Lookups!$D$5:$F$10,2,FALSE),"Unknown Product")</f>
        <v>Marketing Automation</v>
      </c>
      <c r="S897" t="str">
        <f>IFERROR(VLOOKUP(F897,Lookups!$D$5:$F$10,3,FALSE),"Unknown")</f>
        <v>Marketing</v>
      </c>
      <c r="T897" t="str">
        <f t="shared" si="143"/>
        <v>Mid-Market</v>
      </c>
      <c r="U897" t="str">
        <f t="shared" si="144"/>
        <v>Open</v>
      </c>
      <c r="V897" s="3">
        <f t="shared" si="145"/>
        <v>0</v>
      </c>
      <c r="W897" s="3">
        <f t="shared" si="146"/>
        <v>20145</v>
      </c>
      <c r="X897" s="5" t="str">
        <f t="shared" si="147"/>
        <v/>
      </c>
      <c r="Y897" s="5">
        <f>IF(U897="Open",Lookups!$B$2-B897,X897)</f>
        <v>461</v>
      </c>
      <c r="Z897" t="str">
        <f t="shared" si="148"/>
        <v>STALE</v>
      </c>
      <c r="AA897" t="str">
        <f t="shared" si="149"/>
        <v>2025-05</v>
      </c>
      <c r="AB897" t="str">
        <f t="shared" si="150"/>
        <v/>
      </c>
      <c r="AC897" t="str">
        <f t="shared" si="151"/>
        <v>Q2-2025</v>
      </c>
      <c r="AD897" s="5">
        <f t="shared" si="152"/>
        <v>65</v>
      </c>
      <c r="AE897" t="str">
        <f t="shared" si="153"/>
        <v>Commit</v>
      </c>
    </row>
    <row r="898" spans="1:31">
      <c r="A898" t="s">
        <v>1000</v>
      </c>
      <c r="B898" s="1">
        <v>46230</v>
      </c>
      <c r="C898" t="s">
        <v>64</v>
      </c>
      <c r="D898" t="s">
        <v>57</v>
      </c>
      <c r="E898" t="s">
        <v>92</v>
      </c>
      <c r="F898" t="s">
        <v>45</v>
      </c>
      <c r="G898" t="s">
        <v>99</v>
      </c>
      <c r="H898" t="s">
        <v>47</v>
      </c>
      <c r="I898" t="s">
        <v>61</v>
      </c>
      <c r="J898" s="1">
        <v>46242</v>
      </c>
      <c r="K898" s="1">
        <v>46242</v>
      </c>
      <c r="L898" s="3">
        <v>14300</v>
      </c>
      <c r="M898" s="4">
        <v>0</v>
      </c>
      <c r="N898" s="4">
        <v>0</v>
      </c>
      <c r="O898" t="s">
        <v>81</v>
      </c>
      <c r="P898">
        <v>3</v>
      </c>
      <c r="Q898" t="str">
        <f>IFERROR(VLOOKUP(E898,Lookups!$A$5:$B$24,2,FALSE),"Other")</f>
        <v>Webinar</v>
      </c>
      <c r="R898" t="str">
        <f>IFERROR(VLOOKUP(F898,Lookups!$D$5:$F$10,2,FALSE),"Unknown Product")</f>
        <v>Service Cloud</v>
      </c>
      <c r="S898" t="str">
        <f>IFERROR(VLOOKUP(F898,Lookups!$D$5:$F$10,3,FALSE),"Unknown")</f>
        <v>Customer Service</v>
      </c>
      <c r="T898" t="str">
        <f t="shared" ref="T898:T961" si="154">IF(L898&gt;=50000,"Enterprise",IF(L898&gt;=20000,"Mid-Market","SMB"))</f>
        <v>SMB</v>
      </c>
      <c r="U898" t="str">
        <f t="shared" ref="U898:U961" si="155">IF(I898="Closed Won","Won",IF(I898="Closed Lost","Lost","Open"))</f>
        <v>Lost</v>
      </c>
      <c r="V898" s="3">
        <f t="shared" ref="V898:V961" si="156">IF(U898="Won",L898*(1-M898),0)</f>
        <v>0</v>
      </c>
      <c r="W898" s="3">
        <f t="shared" ref="W898:W961" si="157">IF(U898="Open",L898*N898,0)</f>
        <v>0</v>
      </c>
      <c r="X898" s="5">
        <f t="shared" ref="X898:X961" si="158">IF(U898="Open","",IFERROR(K898-B898,""))</f>
        <v>12</v>
      </c>
      <c r="Y898" s="5">
        <f>IF(U898="Open",Lookups!$B$2-B898,X898)</f>
        <v>12</v>
      </c>
      <c r="Z898" t="str">
        <f t="shared" ref="Z898:Z961" si="159">IF(AND(U898="Open",Y898&gt;30),"STALE","OK")</f>
        <v>OK</v>
      </c>
      <c r="AA898" t="str">
        <f t="shared" ref="AA898:AA961" si="160">TEXT(B898,"yyyy-mm")</f>
        <v>2026-07</v>
      </c>
      <c r="AB898" t="str">
        <f t="shared" ref="AB898:AB961" si="161">IF(K898="","",TEXT(K898,"yyyy-mm"))</f>
        <v>2026-08</v>
      </c>
      <c r="AC898" t="str">
        <f t="shared" ref="AC898:AC961" si="162">"Q"&amp;ROUNDUP(MONTH(B898)/3,0)&amp;"-"&amp;YEAR(B898)</f>
        <v>Q3-2026</v>
      </c>
      <c r="AD898" s="5">
        <f t="shared" ref="AD898:AD961" si="163">MIN(100,IF(H898="Enterprise",30,IF(H898="Mid-Market",22,14))+IF(T898="Enterprise",25,IF(T898="Mid-Market",18,10))+IF(Q898="Referral",25,IF(Q898="Organic Search",20,IF(Q898="Email",18,14)))+IF(G898="Technology",10,5))</f>
        <v>43</v>
      </c>
      <c r="AE898" t="str">
        <f t="shared" ref="AE898:AE961" si="164">IF(U898&lt;&gt;"Open",U898,IF(N898&gt;=0.8,"Commit",IF(N898&gt;=0.5,"Best Case","Pipeline")))</f>
        <v>Lost</v>
      </c>
    </row>
    <row r="899" spans="1:31">
      <c r="A899" t="s">
        <v>1001</v>
      </c>
      <c r="B899" s="1">
        <v>45794</v>
      </c>
      <c r="C899" t="s">
        <v>50</v>
      </c>
      <c r="D899" t="s">
        <v>43</v>
      </c>
      <c r="E899" t="s">
        <v>65</v>
      </c>
      <c r="F899" t="s">
        <v>45</v>
      </c>
      <c r="G899" t="s">
        <v>60</v>
      </c>
      <c r="H899" t="s">
        <v>53</v>
      </c>
      <c r="I899" t="s">
        <v>61</v>
      </c>
      <c r="J899" s="1">
        <v>45826</v>
      </c>
      <c r="K899" s="1">
        <v>45826</v>
      </c>
      <c r="L899" s="3">
        <v>25800</v>
      </c>
      <c r="M899" s="4">
        <v>0</v>
      </c>
      <c r="N899" s="4">
        <v>0</v>
      </c>
      <c r="O899" t="s">
        <v>62</v>
      </c>
      <c r="P899">
        <v>3</v>
      </c>
      <c r="Q899" t="str">
        <f>IFERROR(VLOOKUP(E899,Lookups!$A$5:$B$24,2,FALSE),"Other")</f>
        <v>Paid Search</v>
      </c>
      <c r="R899" t="str">
        <f>IFERROR(VLOOKUP(F899,Lookups!$D$5:$F$10,2,FALSE),"Unknown Product")</f>
        <v>Service Cloud</v>
      </c>
      <c r="S899" t="str">
        <f>IFERROR(VLOOKUP(F899,Lookups!$D$5:$F$10,3,FALSE),"Unknown")</f>
        <v>Customer Service</v>
      </c>
      <c r="T899" t="str">
        <f t="shared" si="154"/>
        <v>Mid-Market</v>
      </c>
      <c r="U899" t="str">
        <f t="shared" si="155"/>
        <v>Lost</v>
      </c>
      <c r="V899" s="3">
        <f t="shared" si="156"/>
        <v>0</v>
      </c>
      <c r="W899" s="3">
        <f t="shared" si="157"/>
        <v>0</v>
      </c>
      <c r="X899" s="5">
        <f t="shared" si="158"/>
        <v>32</v>
      </c>
      <c r="Y899" s="5">
        <f>IF(U899="Open",Lookups!$B$2-B899,X899)</f>
        <v>32</v>
      </c>
      <c r="Z899" t="str">
        <f t="shared" si="159"/>
        <v>OK</v>
      </c>
      <c r="AA899" t="str">
        <f t="shared" si="160"/>
        <v>2025-05</v>
      </c>
      <c r="AB899" t="str">
        <f t="shared" si="161"/>
        <v>2025-06</v>
      </c>
      <c r="AC899" t="str">
        <f t="shared" si="162"/>
        <v>Q2-2025</v>
      </c>
      <c r="AD899" s="5">
        <f t="shared" si="163"/>
        <v>59</v>
      </c>
      <c r="AE899" t="str">
        <f t="shared" si="164"/>
        <v>Lost</v>
      </c>
    </row>
    <row r="900" spans="1:31">
      <c r="A900" t="s">
        <v>1002</v>
      </c>
      <c r="B900" s="1">
        <v>46206</v>
      </c>
      <c r="C900" t="s">
        <v>50</v>
      </c>
      <c r="D900" t="s">
        <v>43</v>
      </c>
      <c r="E900" t="s">
        <v>127</v>
      </c>
      <c r="F900" t="s">
        <v>67</v>
      </c>
      <c r="G900" t="s">
        <v>99</v>
      </c>
      <c r="H900" t="s">
        <v>47</v>
      </c>
      <c r="I900" t="s">
        <v>61</v>
      </c>
      <c r="J900" s="1">
        <v>46253</v>
      </c>
      <c r="K900" s="1">
        <v>46253</v>
      </c>
      <c r="L900" s="3">
        <v>42000</v>
      </c>
      <c r="M900" s="4">
        <v>0</v>
      </c>
      <c r="N900" s="4">
        <v>0</v>
      </c>
      <c r="O900" t="s">
        <v>116</v>
      </c>
      <c r="P900">
        <v>4</v>
      </c>
      <c r="Q900" t="str">
        <f>IFERROR(VLOOKUP(E900,Lookups!$A$5:$B$24,2,FALSE),"Other")</f>
        <v>Paid Search</v>
      </c>
      <c r="R900" t="str">
        <f>IFERROR(VLOOKUP(F900,Lookups!$D$5:$F$10,2,FALSE),"Unknown Product")</f>
        <v>Revenue Operations Suite</v>
      </c>
      <c r="S900" t="str">
        <f>IFERROR(VLOOKUP(F900,Lookups!$D$5:$F$10,3,FALSE),"Unknown")</f>
        <v>Revenue Ops</v>
      </c>
      <c r="T900" t="str">
        <f t="shared" si="154"/>
        <v>Mid-Market</v>
      </c>
      <c r="U900" t="str">
        <f t="shared" si="155"/>
        <v>Lost</v>
      </c>
      <c r="V900" s="3">
        <f t="shared" si="156"/>
        <v>0</v>
      </c>
      <c r="W900" s="3">
        <f t="shared" si="157"/>
        <v>0</v>
      </c>
      <c r="X900" s="5">
        <f t="shared" si="158"/>
        <v>47</v>
      </c>
      <c r="Y900" s="5">
        <f>IF(U900="Open",Lookups!$B$2-B900,X900)</f>
        <v>47</v>
      </c>
      <c r="Z900" t="str">
        <f t="shared" si="159"/>
        <v>OK</v>
      </c>
      <c r="AA900" t="str">
        <f t="shared" si="160"/>
        <v>2026-07</v>
      </c>
      <c r="AB900" t="str">
        <f t="shared" si="161"/>
        <v>2026-08</v>
      </c>
      <c r="AC900" t="str">
        <f t="shared" si="162"/>
        <v>Q3-2026</v>
      </c>
      <c r="AD900" s="5">
        <f t="shared" si="163"/>
        <v>51</v>
      </c>
      <c r="AE900" t="str">
        <f t="shared" si="164"/>
        <v>Lost</v>
      </c>
    </row>
    <row r="901" spans="1:31">
      <c r="A901" t="s">
        <v>1003</v>
      </c>
      <c r="B901" s="1">
        <v>46164</v>
      </c>
      <c r="C901" t="s">
        <v>42</v>
      </c>
      <c r="D901" t="s">
        <v>43</v>
      </c>
      <c r="E901" t="s">
        <v>107</v>
      </c>
      <c r="F901" t="s">
        <v>67</v>
      </c>
      <c r="G901" t="s">
        <v>112</v>
      </c>
      <c r="H901" t="s">
        <v>47</v>
      </c>
      <c r="I901" t="s">
        <v>61</v>
      </c>
      <c r="J901" s="1">
        <v>46190</v>
      </c>
      <c r="K901" s="1">
        <v>46190</v>
      </c>
      <c r="L901" s="3">
        <v>34500</v>
      </c>
      <c r="M901" s="4">
        <v>0</v>
      </c>
      <c r="N901" s="4">
        <v>0</v>
      </c>
      <c r="O901" t="s">
        <v>116</v>
      </c>
      <c r="P901">
        <v>3</v>
      </c>
      <c r="Q901" t="str">
        <f>IFERROR(VLOOKUP(E901,Lookups!$A$5:$B$24,2,FALSE),"Other")</f>
        <v>Referral</v>
      </c>
      <c r="R901" t="str">
        <f>IFERROR(VLOOKUP(F901,Lookups!$D$5:$F$10,2,FALSE),"Unknown Product")</f>
        <v>Revenue Operations Suite</v>
      </c>
      <c r="S901" t="str">
        <f>IFERROR(VLOOKUP(F901,Lookups!$D$5:$F$10,3,FALSE),"Unknown")</f>
        <v>Revenue Ops</v>
      </c>
      <c r="T901" t="str">
        <f t="shared" si="154"/>
        <v>Mid-Market</v>
      </c>
      <c r="U901" t="str">
        <f t="shared" si="155"/>
        <v>Lost</v>
      </c>
      <c r="V901" s="3">
        <f t="shared" si="156"/>
        <v>0</v>
      </c>
      <c r="W901" s="3">
        <f t="shared" si="157"/>
        <v>0</v>
      </c>
      <c r="X901" s="5">
        <f t="shared" si="158"/>
        <v>26</v>
      </c>
      <c r="Y901" s="5">
        <f>IF(U901="Open",Lookups!$B$2-B901,X901)</f>
        <v>26</v>
      </c>
      <c r="Z901" t="str">
        <f t="shared" si="159"/>
        <v>OK</v>
      </c>
      <c r="AA901" t="str">
        <f t="shared" si="160"/>
        <v>2026-05</v>
      </c>
      <c r="AB901" t="str">
        <f t="shared" si="161"/>
        <v>2026-06</v>
      </c>
      <c r="AC901" t="str">
        <f t="shared" si="162"/>
        <v>Q2-2026</v>
      </c>
      <c r="AD901" s="5">
        <f t="shared" si="163"/>
        <v>67</v>
      </c>
      <c r="AE901" t="str">
        <f t="shared" si="164"/>
        <v>Lost</v>
      </c>
    </row>
    <row r="902" spans="1:31">
      <c r="A902" t="s">
        <v>1004</v>
      </c>
      <c r="B902" s="1">
        <v>46113</v>
      </c>
      <c r="C902" t="s">
        <v>69</v>
      </c>
      <c r="D902" t="s">
        <v>57</v>
      </c>
      <c r="E902" t="s">
        <v>65</v>
      </c>
      <c r="F902" t="s">
        <v>59</v>
      </c>
      <c r="G902" t="s">
        <v>99</v>
      </c>
      <c r="H902" t="s">
        <v>53</v>
      </c>
      <c r="I902" t="s">
        <v>61</v>
      </c>
      <c r="J902" s="1">
        <v>46145</v>
      </c>
      <c r="K902" s="1">
        <v>46145</v>
      </c>
      <c r="L902" s="3">
        <v>28200</v>
      </c>
      <c r="M902" s="4">
        <v>0</v>
      </c>
      <c r="N902" s="4">
        <v>0</v>
      </c>
      <c r="O902" t="s">
        <v>79</v>
      </c>
      <c r="P902">
        <v>3</v>
      </c>
      <c r="Q902" t="str">
        <f>IFERROR(VLOOKUP(E902,Lookups!$A$5:$B$24,2,FALSE),"Other")</f>
        <v>Paid Search</v>
      </c>
      <c r="R902" t="str">
        <f>IFERROR(VLOOKUP(F902,Lookups!$D$5:$F$10,2,FALSE),"Unknown Product")</f>
        <v>NexaCRM Pro</v>
      </c>
      <c r="S902" t="str">
        <f>IFERROR(VLOOKUP(F902,Lookups!$D$5:$F$10,3,FALSE),"Unknown")</f>
        <v>CRM</v>
      </c>
      <c r="T902" t="str">
        <f t="shared" si="154"/>
        <v>Mid-Market</v>
      </c>
      <c r="U902" t="str">
        <f t="shared" si="155"/>
        <v>Lost</v>
      </c>
      <c r="V902" s="3">
        <f t="shared" si="156"/>
        <v>0</v>
      </c>
      <c r="W902" s="3">
        <f t="shared" si="157"/>
        <v>0</v>
      </c>
      <c r="X902" s="5">
        <f t="shared" si="158"/>
        <v>32</v>
      </c>
      <c r="Y902" s="5">
        <f>IF(U902="Open",Lookups!$B$2-B902,X902)</f>
        <v>32</v>
      </c>
      <c r="Z902" t="str">
        <f t="shared" si="159"/>
        <v>OK</v>
      </c>
      <c r="AA902" t="str">
        <f t="shared" si="160"/>
        <v>2026-04</v>
      </c>
      <c r="AB902" t="str">
        <f t="shared" si="161"/>
        <v>2026-05</v>
      </c>
      <c r="AC902" t="str">
        <f t="shared" si="162"/>
        <v>Q2-2026</v>
      </c>
      <c r="AD902" s="5">
        <f t="shared" si="163"/>
        <v>59</v>
      </c>
      <c r="AE902" t="str">
        <f t="shared" si="164"/>
        <v>Lost</v>
      </c>
    </row>
    <row r="903" spans="1:31">
      <c r="A903" t="s">
        <v>1005</v>
      </c>
      <c r="B903" s="1">
        <v>46040</v>
      </c>
      <c r="C903" t="s">
        <v>69</v>
      </c>
      <c r="D903" t="s">
        <v>57</v>
      </c>
      <c r="E903" t="s">
        <v>65</v>
      </c>
      <c r="F903" t="s">
        <v>133</v>
      </c>
      <c r="G903" t="s">
        <v>60</v>
      </c>
      <c r="H903" t="s">
        <v>47</v>
      </c>
      <c r="I903" t="s">
        <v>77</v>
      </c>
      <c r="J903" s="1">
        <v>46099</v>
      </c>
      <c r="K903" s="1">
        <v>46099</v>
      </c>
      <c r="L903" s="3">
        <v>19600</v>
      </c>
      <c r="M903" s="4">
        <v>0.1</v>
      </c>
      <c r="N903" s="4">
        <v>1</v>
      </c>
      <c r="P903">
        <v>6</v>
      </c>
      <c r="Q903" t="str">
        <f>IFERROR(VLOOKUP(E903,Lookups!$A$5:$B$24,2,FALSE),"Other")</f>
        <v>Paid Search</v>
      </c>
      <c r="R903" t="str">
        <f>IFERROR(VLOOKUP(F903,Lookups!$D$5:$F$10,2,FALSE),"Unknown Product")</f>
        <v>Analytics Plus</v>
      </c>
      <c r="S903" t="str">
        <f>IFERROR(VLOOKUP(F903,Lookups!$D$5:$F$10,3,FALSE),"Unknown")</f>
        <v>Analytics</v>
      </c>
      <c r="T903" t="str">
        <f t="shared" si="154"/>
        <v>SMB</v>
      </c>
      <c r="U903" t="str">
        <f t="shared" si="155"/>
        <v>Won</v>
      </c>
      <c r="V903" s="3">
        <f t="shared" si="156"/>
        <v>17640</v>
      </c>
      <c r="W903" s="3">
        <f t="shared" si="157"/>
        <v>0</v>
      </c>
      <c r="X903" s="5">
        <f t="shared" si="158"/>
        <v>59</v>
      </c>
      <c r="Y903" s="5">
        <f>IF(U903="Open",Lookups!$B$2-B903,X903)</f>
        <v>59</v>
      </c>
      <c r="Z903" t="str">
        <f t="shared" si="159"/>
        <v>OK</v>
      </c>
      <c r="AA903" t="str">
        <f t="shared" si="160"/>
        <v>2026-01</v>
      </c>
      <c r="AB903" t="str">
        <f t="shared" si="161"/>
        <v>2026-03</v>
      </c>
      <c r="AC903" t="str">
        <f t="shared" si="162"/>
        <v>Q1-2026</v>
      </c>
      <c r="AD903" s="5">
        <f t="shared" si="163"/>
        <v>43</v>
      </c>
      <c r="AE903" t="str">
        <f t="shared" si="164"/>
        <v>Won</v>
      </c>
    </row>
    <row r="904" spans="1:31">
      <c r="A904" t="s">
        <v>1006</v>
      </c>
      <c r="B904" s="1">
        <v>45672</v>
      </c>
      <c r="C904" t="s">
        <v>56</v>
      </c>
      <c r="D904" t="s">
        <v>57</v>
      </c>
      <c r="E904" t="s">
        <v>138</v>
      </c>
      <c r="F904" t="s">
        <v>52</v>
      </c>
      <c r="G904" t="s">
        <v>60</v>
      </c>
      <c r="H904" t="s">
        <v>47</v>
      </c>
      <c r="I904" t="s">
        <v>61</v>
      </c>
      <c r="J904" s="1">
        <v>45722</v>
      </c>
      <c r="K904" s="1">
        <v>45722</v>
      </c>
      <c r="L904" s="3">
        <v>5900</v>
      </c>
      <c r="M904" s="4">
        <v>0</v>
      </c>
      <c r="N904" s="4">
        <v>0</v>
      </c>
      <c r="O904" t="s">
        <v>62</v>
      </c>
      <c r="P904">
        <v>2</v>
      </c>
      <c r="Q904" t="str">
        <f>IFERROR(VLOOKUP(E904,Lookups!$A$5:$B$24,2,FALSE),"Other")</f>
        <v>Organic Search</v>
      </c>
      <c r="R904" t="str">
        <f>IFERROR(VLOOKUP(F904,Lookups!$D$5:$F$10,2,FALSE),"Unknown Product")</f>
        <v>NexaCRM Core</v>
      </c>
      <c r="S904" t="str">
        <f>IFERROR(VLOOKUP(F904,Lookups!$D$5:$F$10,3,FALSE),"Unknown")</f>
        <v>CRM</v>
      </c>
      <c r="T904" t="str">
        <f t="shared" si="154"/>
        <v>SMB</v>
      </c>
      <c r="U904" t="str">
        <f t="shared" si="155"/>
        <v>Lost</v>
      </c>
      <c r="V904" s="3">
        <f t="shared" si="156"/>
        <v>0</v>
      </c>
      <c r="W904" s="3">
        <f t="shared" si="157"/>
        <v>0</v>
      </c>
      <c r="X904" s="5">
        <f t="shared" si="158"/>
        <v>50</v>
      </c>
      <c r="Y904" s="5">
        <f>IF(U904="Open",Lookups!$B$2-B904,X904)</f>
        <v>50</v>
      </c>
      <c r="Z904" t="str">
        <f t="shared" si="159"/>
        <v>OK</v>
      </c>
      <c r="AA904" t="str">
        <f t="shared" si="160"/>
        <v>2025-01</v>
      </c>
      <c r="AB904" t="str">
        <f t="shared" si="161"/>
        <v>2025-03</v>
      </c>
      <c r="AC904" t="str">
        <f t="shared" si="162"/>
        <v>Q1-2025</v>
      </c>
      <c r="AD904" s="5">
        <f t="shared" si="163"/>
        <v>49</v>
      </c>
      <c r="AE904" t="str">
        <f t="shared" si="164"/>
        <v>Lost</v>
      </c>
    </row>
    <row r="905" spans="1:31">
      <c r="A905" t="s">
        <v>1007</v>
      </c>
      <c r="B905" s="1">
        <v>46152</v>
      </c>
      <c r="C905" t="s">
        <v>148</v>
      </c>
      <c r="D905" t="s">
        <v>43</v>
      </c>
      <c r="E905" t="s">
        <v>96</v>
      </c>
      <c r="F905" t="s">
        <v>71</v>
      </c>
      <c r="G905" t="s">
        <v>99</v>
      </c>
      <c r="H905" t="s">
        <v>53</v>
      </c>
      <c r="I905" t="s">
        <v>77</v>
      </c>
      <c r="J905" s="1">
        <v>46208</v>
      </c>
      <c r="K905" s="1">
        <v>46208</v>
      </c>
      <c r="L905" s="3">
        <v>37600</v>
      </c>
      <c r="M905" s="4">
        <v>0.05</v>
      </c>
      <c r="N905" s="4">
        <v>1</v>
      </c>
      <c r="P905">
        <v>6</v>
      </c>
      <c r="Q905" t="str">
        <f>IFERROR(VLOOKUP(E905,Lookups!$A$5:$B$24,2,FALSE),"Other")</f>
        <v>LinkedIn</v>
      </c>
      <c r="R905" t="str">
        <f>IFERROR(VLOOKUP(F905,Lookups!$D$5:$F$10,2,FALSE),"Unknown Product")</f>
        <v>Marketing Automation</v>
      </c>
      <c r="S905" t="str">
        <f>IFERROR(VLOOKUP(F905,Lookups!$D$5:$F$10,3,FALSE),"Unknown")</f>
        <v>Marketing</v>
      </c>
      <c r="T905" t="str">
        <f t="shared" si="154"/>
        <v>Mid-Market</v>
      </c>
      <c r="U905" t="str">
        <f t="shared" si="155"/>
        <v>Won</v>
      </c>
      <c r="V905" s="3">
        <f t="shared" si="156"/>
        <v>35720</v>
      </c>
      <c r="W905" s="3">
        <f t="shared" si="157"/>
        <v>0</v>
      </c>
      <c r="X905" s="5">
        <f t="shared" si="158"/>
        <v>56</v>
      </c>
      <c r="Y905" s="5">
        <f>IF(U905="Open",Lookups!$B$2-B905,X905)</f>
        <v>56</v>
      </c>
      <c r="Z905" t="str">
        <f t="shared" si="159"/>
        <v>OK</v>
      </c>
      <c r="AA905" t="str">
        <f t="shared" si="160"/>
        <v>2026-05</v>
      </c>
      <c r="AB905" t="str">
        <f t="shared" si="161"/>
        <v>2026-07</v>
      </c>
      <c r="AC905" t="str">
        <f t="shared" si="162"/>
        <v>Q2-2026</v>
      </c>
      <c r="AD905" s="5">
        <f t="shared" si="163"/>
        <v>59</v>
      </c>
      <c r="AE905" t="str">
        <f t="shared" si="164"/>
        <v>Won</v>
      </c>
    </row>
    <row r="906" spans="1:31">
      <c r="A906" t="s">
        <v>1008</v>
      </c>
      <c r="B906" s="1">
        <v>46068</v>
      </c>
      <c r="C906" t="s">
        <v>64</v>
      </c>
      <c r="D906" t="s">
        <v>57</v>
      </c>
      <c r="E906" t="s">
        <v>44</v>
      </c>
      <c r="F906" t="s">
        <v>52</v>
      </c>
      <c r="G906" t="s">
        <v>60</v>
      </c>
      <c r="H906" t="s">
        <v>47</v>
      </c>
      <c r="I906" t="s">
        <v>77</v>
      </c>
      <c r="J906" s="1">
        <v>46137</v>
      </c>
      <c r="K906" s="1">
        <v>46137</v>
      </c>
      <c r="L906" s="3">
        <v>7400</v>
      </c>
      <c r="M906" s="4">
        <v>0.12</v>
      </c>
      <c r="N906" s="4">
        <v>1</v>
      </c>
      <c r="P906">
        <v>6</v>
      </c>
      <c r="Q906" t="str">
        <f>IFERROR(VLOOKUP(E906,Lookups!$A$5:$B$24,2,FALSE),"Other")</f>
        <v>Organic Search</v>
      </c>
      <c r="R906" t="str">
        <f>IFERROR(VLOOKUP(F906,Lookups!$D$5:$F$10,2,FALSE),"Unknown Product")</f>
        <v>NexaCRM Core</v>
      </c>
      <c r="S906" t="str">
        <f>IFERROR(VLOOKUP(F906,Lookups!$D$5:$F$10,3,FALSE),"Unknown")</f>
        <v>CRM</v>
      </c>
      <c r="T906" t="str">
        <f t="shared" si="154"/>
        <v>SMB</v>
      </c>
      <c r="U906" t="str">
        <f t="shared" si="155"/>
        <v>Won</v>
      </c>
      <c r="V906" s="3">
        <f t="shared" si="156"/>
        <v>6512</v>
      </c>
      <c r="W906" s="3">
        <f t="shared" si="157"/>
        <v>0</v>
      </c>
      <c r="X906" s="5">
        <f t="shared" si="158"/>
        <v>69</v>
      </c>
      <c r="Y906" s="5">
        <f>IF(U906="Open",Lookups!$B$2-B906,X906)</f>
        <v>69</v>
      </c>
      <c r="Z906" t="str">
        <f t="shared" si="159"/>
        <v>OK</v>
      </c>
      <c r="AA906" t="str">
        <f t="shared" si="160"/>
        <v>2026-02</v>
      </c>
      <c r="AB906" t="str">
        <f t="shared" si="161"/>
        <v>2026-04</v>
      </c>
      <c r="AC906" t="str">
        <f t="shared" si="162"/>
        <v>Q1-2026</v>
      </c>
      <c r="AD906" s="5">
        <f t="shared" si="163"/>
        <v>49</v>
      </c>
      <c r="AE906" t="str">
        <f t="shared" si="164"/>
        <v>Won</v>
      </c>
    </row>
    <row r="907" spans="1:31">
      <c r="A907" t="s">
        <v>1009</v>
      </c>
      <c r="B907" s="1">
        <v>46195</v>
      </c>
      <c r="C907" t="s">
        <v>50</v>
      </c>
      <c r="D907" t="s">
        <v>43</v>
      </c>
      <c r="E907" t="s">
        <v>138</v>
      </c>
      <c r="F907" t="s">
        <v>67</v>
      </c>
      <c r="G907" t="s">
        <v>46</v>
      </c>
      <c r="H907" t="s">
        <v>53</v>
      </c>
      <c r="I907" t="s">
        <v>105</v>
      </c>
      <c r="J907" s="1">
        <v>46245</v>
      </c>
      <c r="K907" s="1"/>
      <c r="L907" s="3">
        <v>39200</v>
      </c>
      <c r="M907" s="4">
        <v>0</v>
      </c>
      <c r="N907" s="4">
        <v>0.4</v>
      </c>
      <c r="P907">
        <v>3</v>
      </c>
      <c r="Q907" t="str">
        <f>IFERROR(VLOOKUP(E907,Lookups!$A$5:$B$24,2,FALSE),"Other")</f>
        <v>Organic Search</v>
      </c>
      <c r="R907" t="str">
        <f>IFERROR(VLOOKUP(F907,Lookups!$D$5:$F$10,2,FALSE),"Unknown Product")</f>
        <v>Revenue Operations Suite</v>
      </c>
      <c r="S907" t="str">
        <f>IFERROR(VLOOKUP(F907,Lookups!$D$5:$F$10,3,FALSE),"Unknown")</f>
        <v>Revenue Ops</v>
      </c>
      <c r="T907" t="str">
        <f t="shared" si="154"/>
        <v>Mid-Market</v>
      </c>
      <c r="U907" t="str">
        <f t="shared" si="155"/>
        <v>Open</v>
      </c>
      <c r="V907" s="3">
        <f t="shared" si="156"/>
        <v>0</v>
      </c>
      <c r="W907" s="3">
        <f t="shared" si="157"/>
        <v>15680</v>
      </c>
      <c r="X907" s="5" t="str">
        <f t="shared" si="158"/>
        <v/>
      </c>
      <c r="Y907" s="5">
        <f>IF(U907="Open",Lookups!$B$2-B907,X907)</f>
        <v>71</v>
      </c>
      <c r="Z907" t="str">
        <f t="shared" si="159"/>
        <v>STALE</v>
      </c>
      <c r="AA907" t="str">
        <f t="shared" si="160"/>
        <v>2026-06</v>
      </c>
      <c r="AB907" t="str">
        <f t="shared" si="161"/>
        <v/>
      </c>
      <c r="AC907" t="str">
        <f t="shared" si="162"/>
        <v>Q2-2026</v>
      </c>
      <c r="AD907" s="5">
        <f t="shared" si="163"/>
        <v>65</v>
      </c>
      <c r="AE907" t="str">
        <f t="shared" si="164"/>
        <v>Pipeline</v>
      </c>
    </row>
    <row r="908" spans="1:31">
      <c r="A908" t="s">
        <v>1010</v>
      </c>
      <c r="B908" s="1">
        <v>46093</v>
      </c>
      <c r="C908" t="s">
        <v>148</v>
      </c>
      <c r="D908" t="s">
        <v>43</v>
      </c>
      <c r="E908" t="s">
        <v>70</v>
      </c>
      <c r="F908" t="s">
        <v>59</v>
      </c>
      <c r="G908" t="s">
        <v>112</v>
      </c>
      <c r="H908" t="s">
        <v>53</v>
      </c>
      <c r="I908" t="s">
        <v>77</v>
      </c>
      <c r="J908" s="1">
        <v>46164</v>
      </c>
      <c r="K908" s="1">
        <v>46164</v>
      </c>
      <c r="L908" s="3">
        <v>35500</v>
      </c>
      <c r="M908" s="4">
        <v>0.1</v>
      </c>
      <c r="N908" s="4">
        <v>1</v>
      </c>
      <c r="P908">
        <v>6</v>
      </c>
      <c r="Q908" t="str">
        <f>IFERROR(VLOOKUP(E908,Lookups!$A$5:$B$24,2,FALSE),"Other")</f>
        <v>LinkedIn</v>
      </c>
      <c r="R908" t="str">
        <f>IFERROR(VLOOKUP(F908,Lookups!$D$5:$F$10,2,FALSE),"Unknown Product")</f>
        <v>NexaCRM Pro</v>
      </c>
      <c r="S908" t="str">
        <f>IFERROR(VLOOKUP(F908,Lookups!$D$5:$F$10,3,FALSE),"Unknown")</f>
        <v>CRM</v>
      </c>
      <c r="T908" t="str">
        <f t="shared" si="154"/>
        <v>Mid-Market</v>
      </c>
      <c r="U908" t="str">
        <f t="shared" si="155"/>
        <v>Won</v>
      </c>
      <c r="V908" s="3">
        <f t="shared" si="156"/>
        <v>31950</v>
      </c>
      <c r="W908" s="3">
        <f t="shared" si="157"/>
        <v>0</v>
      </c>
      <c r="X908" s="5">
        <f t="shared" si="158"/>
        <v>71</v>
      </c>
      <c r="Y908" s="5">
        <f>IF(U908="Open",Lookups!$B$2-B908,X908)</f>
        <v>71</v>
      </c>
      <c r="Z908" t="str">
        <f t="shared" si="159"/>
        <v>OK</v>
      </c>
      <c r="AA908" t="str">
        <f t="shared" si="160"/>
        <v>2026-03</v>
      </c>
      <c r="AB908" t="str">
        <f t="shared" si="161"/>
        <v>2026-05</v>
      </c>
      <c r="AC908" t="str">
        <f t="shared" si="162"/>
        <v>Q1-2026</v>
      </c>
      <c r="AD908" s="5">
        <f t="shared" si="163"/>
        <v>64</v>
      </c>
      <c r="AE908" t="str">
        <f t="shared" si="164"/>
        <v>Won</v>
      </c>
    </row>
    <row r="909" spans="1:31">
      <c r="A909" t="s">
        <v>1011</v>
      </c>
      <c r="B909" s="1">
        <v>46176</v>
      </c>
      <c r="C909" t="s">
        <v>56</v>
      </c>
      <c r="D909" t="s">
        <v>57</v>
      </c>
      <c r="E909" t="s">
        <v>65</v>
      </c>
      <c r="F909" t="s">
        <v>67</v>
      </c>
      <c r="G909" t="s">
        <v>60</v>
      </c>
      <c r="H909" t="s">
        <v>47</v>
      </c>
      <c r="I909" t="s">
        <v>61</v>
      </c>
      <c r="J909" s="1">
        <v>46220</v>
      </c>
      <c r="K909" s="1">
        <v>46220</v>
      </c>
      <c r="L909" s="3">
        <v>32500</v>
      </c>
      <c r="M909" s="4">
        <v>0</v>
      </c>
      <c r="N909" s="4">
        <v>0</v>
      </c>
      <c r="O909" t="s">
        <v>79</v>
      </c>
      <c r="P909">
        <v>2</v>
      </c>
      <c r="Q909" t="str">
        <f>IFERROR(VLOOKUP(E909,Lookups!$A$5:$B$24,2,FALSE),"Other")</f>
        <v>Paid Search</v>
      </c>
      <c r="R909" t="str">
        <f>IFERROR(VLOOKUP(F909,Lookups!$D$5:$F$10,2,FALSE),"Unknown Product")</f>
        <v>Revenue Operations Suite</v>
      </c>
      <c r="S909" t="str">
        <f>IFERROR(VLOOKUP(F909,Lookups!$D$5:$F$10,3,FALSE),"Unknown")</f>
        <v>Revenue Ops</v>
      </c>
      <c r="T909" t="str">
        <f t="shared" si="154"/>
        <v>Mid-Market</v>
      </c>
      <c r="U909" t="str">
        <f t="shared" si="155"/>
        <v>Lost</v>
      </c>
      <c r="V909" s="3">
        <f t="shared" si="156"/>
        <v>0</v>
      </c>
      <c r="W909" s="3">
        <f t="shared" si="157"/>
        <v>0</v>
      </c>
      <c r="X909" s="5">
        <f t="shared" si="158"/>
        <v>44</v>
      </c>
      <c r="Y909" s="5">
        <f>IF(U909="Open",Lookups!$B$2-B909,X909)</f>
        <v>44</v>
      </c>
      <c r="Z909" t="str">
        <f t="shared" si="159"/>
        <v>OK</v>
      </c>
      <c r="AA909" t="str">
        <f t="shared" si="160"/>
        <v>2026-06</v>
      </c>
      <c r="AB909" t="str">
        <f t="shared" si="161"/>
        <v>2026-07</v>
      </c>
      <c r="AC909" t="str">
        <f t="shared" si="162"/>
        <v>Q2-2026</v>
      </c>
      <c r="AD909" s="5">
        <f t="shared" si="163"/>
        <v>51</v>
      </c>
      <c r="AE909" t="str">
        <f t="shared" si="164"/>
        <v>Lost</v>
      </c>
    </row>
    <row r="910" spans="1:31">
      <c r="A910" t="s">
        <v>1012</v>
      </c>
      <c r="B910" s="1">
        <v>45847</v>
      </c>
      <c r="C910" t="s">
        <v>42</v>
      </c>
      <c r="D910" t="s">
        <v>43</v>
      </c>
      <c r="E910" t="s">
        <v>92</v>
      </c>
      <c r="F910" t="s">
        <v>71</v>
      </c>
      <c r="G910" t="s">
        <v>72</v>
      </c>
      <c r="H910" t="s">
        <v>47</v>
      </c>
      <c r="I910" t="s">
        <v>61</v>
      </c>
      <c r="J910" s="1">
        <v>45897</v>
      </c>
      <c r="K910" s="1">
        <v>45897</v>
      </c>
      <c r="L910" s="3">
        <v>18400</v>
      </c>
      <c r="M910" s="4">
        <v>0</v>
      </c>
      <c r="N910" s="4">
        <v>0</v>
      </c>
      <c r="O910" t="s">
        <v>81</v>
      </c>
      <c r="P910">
        <v>5</v>
      </c>
      <c r="Q910" t="str">
        <f>IFERROR(VLOOKUP(E910,Lookups!$A$5:$B$24,2,FALSE),"Other")</f>
        <v>Webinar</v>
      </c>
      <c r="R910" t="str">
        <f>IFERROR(VLOOKUP(F910,Lookups!$D$5:$F$10,2,FALSE),"Unknown Product")</f>
        <v>Marketing Automation</v>
      </c>
      <c r="S910" t="str">
        <f>IFERROR(VLOOKUP(F910,Lookups!$D$5:$F$10,3,FALSE),"Unknown")</f>
        <v>Marketing</v>
      </c>
      <c r="T910" t="str">
        <f t="shared" si="154"/>
        <v>SMB</v>
      </c>
      <c r="U910" t="str">
        <f t="shared" si="155"/>
        <v>Lost</v>
      </c>
      <c r="V910" s="3">
        <f t="shared" si="156"/>
        <v>0</v>
      </c>
      <c r="W910" s="3">
        <f t="shared" si="157"/>
        <v>0</v>
      </c>
      <c r="X910" s="5">
        <f t="shared" si="158"/>
        <v>50</v>
      </c>
      <c r="Y910" s="5">
        <f>IF(U910="Open",Lookups!$B$2-B910,X910)</f>
        <v>50</v>
      </c>
      <c r="Z910" t="str">
        <f t="shared" si="159"/>
        <v>OK</v>
      </c>
      <c r="AA910" t="str">
        <f t="shared" si="160"/>
        <v>2025-07</v>
      </c>
      <c r="AB910" t="str">
        <f t="shared" si="161"/>
        <v>2025-08</v>
      </c>
      <c r="AC910" t="str">
        <f t="shared" si="162"/>
        <v>Q3-2025</v>
      </c>
      <c r="AD910" s="5">
        <f t="shared" si="163"/>
        <v>43</v>
      </c>
      <c r="AE910" t="str">
        <f t="shared" si="164"/>
        <v>Lost</v>
      </c>
    </row>
    <row r="911" spans="1:31">
      <c r="A911" t="s">
        <v>1013</v>
      </c>
      <c r="B911" s="1">
        <v>45963</v>
      </c>
      <c r="C911" t="s">
        <v>90</v>
      </c>
      <c r="D911" t="s">
        <v>57</v>
      </c>
      <c r="E911" t="s">
        <v>65</v>
      </c>
      <c r="F911" t="s">
        <v>59</v>
      </c>
      <c r="G911" t="s">
        <v>46</v>
      </c>
      <c r="H911" t="s">
        <v>47</v>
      </c>
      <c r="I911" t="s">
        <v>61</v>
      </c>
      <c r="J911" s="1">
        <v>46027</v>
      </c>
      <c r="K911" s="1">
        <v>46027</v>
      </c>
      <c r="L911" s="3">
        <v>19700</v>
      </c>
      <c r="M911" s="4">
        <v>0</v>
      </c>
      <c r="N911" s="4">
        <v>0</v>
      </c>
      <c r="O911" t="s">
        <v>116</v>
      </c>
      <c r="P911">
        <v>2</v>
      </c>
      <c r="Q911" t="str">
        <f>IFERROR(VLOOKUP(E911,Lookups!$A$5:$B$24,2,FALSE),"Other")</f>
        <v>Paid Search</v>
      </c>
      <c r="R911" t="str">
        <f>IFERROR(VLOOKUP(F911,Lookups!$D$5:$F$10,2,FALSE),"Unknown Product")</f>
        <v>NexaCRM Pro</v>
      </c>
      <c r="S911" t="str">
        <f>IFERROR(VLOOKUP(F911,Lookups!$D$5:$F$10,3,FALSE),"Unknown")</f>
        <v>CRM</v>
      </c>
      <c r="T911" t="str">
        <f t="shared" si="154"/>
        <v>SMB</v>
      </c>
      <c r="U911" t="str">
        <f t="shared" si="155"/>
        <v>Lost</v>
      </c>
      <c r="V911" s="3">
        <f t="shared" si="156"/>
        <v>0</v>
      </c>
      <c r="W911" s="3">
        <f t="shared" si="157"/>
        <v>0</v>
      </c>
      <c r="X911" s="5">
        <f t="shared" si="158"/>
        <v>64</v>
      </c>
      <c r="Y911" s="5">
        <f>IF(U911="Open",Lookups!$B$2-B911,X911)</f>
        <v>64</v>
      </c>
      <c r="Z911" t="str">
        <f t="shared" si="159"/>
        <v>OK</v>
      </c>
      <c r="AA911" t="str">
        <f t="shared" si="160"/>
        <v>2025-11</v>
      </c>
      <c r="AB911" t="str">
        <f t="shared" si="161"/>
        <v>2026-01</v>
      </c>
      <c r="AC911" t="str">
        <f t="shared" si="162"/>
        <v>Q4-2025</v>
      </c>
      <c r="AD911" s="5">
        <f t="shared" si="163"/>
        <v>43</v>
      </c>
      <c r="AE911" t="str">
        <f t="shared" si="164"/>
        <v>Lost</v>
      </c>
    </row>
    <row r="912" spans="1:31">
      <c r="A912" t="s">
        <v>1014</v>
      </c>
      <c r="B912" s="1">
        <v>46013</v>
      </c>
      <c r="C912" t="s">
        <v>148</v>
      </c>
      <c r="D912" t="s">
        <v>43</v>
      </c>
      <c r="E912" t="s">
        <v>107</v>
      </c>
      <c r="F912" t="s">
        <v>71</v>
      </c>
      <c r="G912" t="s">
        <v>60</v>
      </c>
      <c r="H912" t="s">
        <v>47</v>
      </c>
      <c r="I912" t="s">
        <v>77</v>
      </c>
      <c r="J912" s="1">
        <v>46064</v>
      </c>
      <c r="K912" s="1">
        <v>46064</v>
      </c>
      <c r="L912" s="3">
        <v>13500</v>
      </c>
      <c r="M912" s="4">
        <v>0.08</v>
      </c>
      <c r="N912" s="4">
        <v>1</v>
      </c>
      <c r="P912">
        <v>6</v>
      </c>
      <c r="Q912" t="str">
        <f>IFERROR(VLOOKUP(E912,Lookups!$A$5:$B$24,2,FALSE),"Other")</f>
        <v>Referral</v>
      </c>
      <c r="R912" t="str">
        <f>IFERROR(VLOOKUP(F912,Lookups!$D$5:$F$10,2,FALSE),"Unknown Product")</f>
        <v>Marketing Automation</v>
      </c>
      <c r="S912" t="str">
        <f>IFERROR(VLOOKUP(F912,Lookups!$D$5:$F$10,3,FALSE),"Unknown")</f>
        <v>Marketing</v>
      </c>
      <c r="T912" t="str">
        <f t="shared" si="154"/>
        <v>SMB</v>
      </c>
      <c r="U912" t="str">
        <f t="shared" si="155"/>
        <v>Won</v>
      </c>
      <c r="V912" s="3">
        <f t="shared" si="156"/>
        <v>12420</v>
      </c>
      <c r="W912" s="3">
        <f t="shared" si="157"/>
        <v>0</v>
      </c>
      <c r="X912" s="5">
        <f t="shared" si="158"/>
        <v>51</v>
      </c>
      <c r="Y912" s="5">
        <f>IF(U912="Open",Lookups!$B$2-B912,X912)</f>
        <v>51</v>
      </c>
      <c r="Z912" t="str">
        <f t="shared" si="159"/>
        <v>OK</v>
      </c>
      <c r="AA912" t="str">
        <f t="shared" si="160"/>
        <v>2025-12</v>
      </c>
      <c r="AB912" t="str">
        <f t="shared" si="161"/>
        <v>2026-02</v>
      </c>
      <c r="AC912" t="str">
        <f t="shared" si="162"/>
        <v>Q4-2025</v>
      </c>
      <c r="AD912" s="5">
        <f t="shared" si="163"/>
        <v>54</v>
      </c>
      <c r="AE912" t="str">
        <f t="shared" si="164"/>
        <v>Won</v>
      </c>
    </row>
    <row r="913" spans="1:31">
      <c r="A913" t="s">
        <v>1015</v>
      </c>
      <c r="B913" s="1">
        <v>46248</v>
      </c>
      <c r="C913" t="s">
        <v>69</v>
      </c>
      <c r="D913" t="s">
        <v>57</v>
      </c>
      <c r="E913" t="s">
        <v>75</v>
      </c>
      <c r="F913" t="s">
        <v>67</v>
      </c>
      <c r="G913" t="s">
        <v>46</v>
      </c>
      <c r="H913" t="s">
        <v>47</v>
      </c>
      <c r="I913" t="s">
        <v>187</v>
      </c>
      <c r="J913" s="1">
        <v>46258</v>
      </c>
      <c r="K913" s="1"/>
      <c r="L913" s="3">
        <v>36100</v>
      </c>
      <c r="M913" s="4">
        <v>0</v>
      </c>
      <c r="N913" s="4">
        <v>0.05</v>
      </c>
      <c r="P913">
        <v>1</v>
      </c>
      <c r="Q913" t="str">
        <f>IFERROR(VLOOKUP(E913,Lookups!$A$5:$B$24,2,FALSE),"Other")</f>
        <v>Webinar</v>
      </c>
      <c r="R913" t="str">
        <f>IFERROR(VLOOKUP(F913,Lookups!$D$5:$F$10,2,FALSE),"Unknown Product")</f>
        <v>Revenue Operations Suite</v>
      </c>
      <c r="S913" t="str">
        <f>IFERROR(VLOOKUP(F913,Lookups!$D$5:$F$10,3,FALSE),"Unknown")</f>
        <v>Revenue Ops</v>
      </c>
      <c r="T913" t="str">
        <f t="shared" si="154"/>
        <v>Mid-Market</v>
      </c>
      <c r="U913" t="str">
        <f t="shared" si="155"/>
        <v>Open</v>
      </c>
      <c r="V913" s="3">
        <f t="shared" si="156"/>
        <v>0</v>
      </c>
      <c r="W913" s="3">
        <f t="shared" si="157"/>
        <v>1805</v>
      </c>
      <c r="X913" s="5" t="str">
        <f t="shared" si="158"/>
        <v/>
      </c>
      <c r="Y913" s="5">
        <f>IF(U913="Open",Lookups!$B$2-B913,X913)</f>
        <v>18</v>
      </c>
      <c r="Z913" t="str">
        <f t="shared" si="159"/>
        <v>OK</v>
      </c>
      <c r="AA913" t="str">
        <f t="shared" si="160"/>
        <v>2026-08</v>
      </c>
      <c r="AB913" t="str">
        <f t="shared" si="161"/>
        <v/>
      </c>
      <c r="AC913" t="str">
        <f t="shared" si="162"/>
        <v>Q3-2026</v>
      </c>
      <c r="AD913" s="5">
        <f t="shared" si="163"/>
        <v>51</v>
      </c>
      <c r="AE913" t="str">
        <f t="shared" si="164"/>
        <v>Pipeline</v>
      </c>
    </row>
    <row r="914" spans="1:31">
      <c r="A914" t="s">
        <v>1016</v>
      </c>
      <c r="B914" s="1">
        <v>45999</v>
      </c>
      <c r="C914" t="s">
        <v>42</v>
      </c>
      <c r="D914" t="s">
        <v>43</v>
      </c>
      <c r="E914" t="s">
        <v>44</v>
      </c>
      <c r="F914" t="s">
        <v>67</v>
      </c>
      <c r="G914" t="s">
        <v>46</v>
      </c>
      <c r="H914" t="s">
        <v>47</v>
      </c>
      <c r="I914" t="s">
        <v>77</v>
      </c>
      <c r="J914" s="1">
        <v>46029</v>
      </c>
      <c r="K914" s="1">
        <v>46029</v>
      </c>
      <c r="L914" s="3">
        <v>22400</v>
      </c>
      <c r="M914" s="4">
        <v>0.03</v>
      </c>
      <c r="N914" s="4">
        <v>1</v>
      </c>
      <c r="P914">
        <v>6</v>
      </c>
      <c r="Q914" t="str">
        <f>IFERROR(VLOOKUP(E914,Lookups!$A$5:$B$24,2,FALSE),"Other")</f>
        <v>Organic Search</v>
      </c>
      <c r="R914" t="str">
        <f>IFERROR(VLOOKUP(F914,Lookups!$D$5:$F$10,2,FALSE),"Unknown Product")</f>
        <v>Revenue Operations Suite</v>
      </c>
      <c r="S914" t="str">
        <f>IFERROR(VLOOKUP(F914,Lookups!$D$5:$F$10,3,FALSE),"Unknown")</f>
        <v>Revenue Ops</v>
      </c>
      <c r="T914" t="str">
        <f t="shared" si="154"/>
        <v>Mid-Market</v>
      </c>
      <c r="U914" t="str">
        <f t="shared" si="155"/>
        <v>Won</v>
      </c>
      <c r="V914" s="3">
        <f t="shared" si="156"/>
        <v>21728</v>
      </c>
      <c r="W914" s="3">
        <f t="shared" si="157"/>
        <v>0</v>
      </c>
      <c r="X914" s="5">
        <f t="shared" si="158"/>
        <v>30</v>
      </c>
      <c r="Y914" s="5">
        <f>IF(U914="Open",Lookups!$B$2-B914,X914)</f>
        <v>30</v>
      </c>
      <c r="Z914" t="str">
        <f t="shared" si="159"/>
        <v>OK</v>
      </c>
      <c r="AA914" t="str">
        <f t="shared" si="160"/>
        <v>2025-12</v>
      </c>
      <c r="AB914" t="str">
        <f t="shared" si="161"/>
        <v>2026-01</v>
      </c>
      <c r="AC914" t="str">
        <f t="shared" si="162"/>
        <v>Q4-2025</v>
      </c>
      <c r="AD914" s="5">
        <f t="shared" si="163"/>
        <v>57</v>
      </c>
      <c r="AE914" t="str">
        <f t="shared" si="164"/>
        <v>Won</v>
      </c>
    </row>
    <row r="915" spans="1:31">
      <c r="A915" t="s">
        <v>1017</v>
      </c>
      <c r="B915" s="1">
        <v>45732</v>
      </c>
      <c r="C915" t="s">
        <v>148</v>
      </c>
      <c r="D915" t="s">
        <v>43</v>
      </c>
      <c r="E915" t="s">
        <v>58</v>
      </c>
      <c r="F915" t="s">
        <v>59</v>
      </c>
      <c r="G915" t="s">
        <v>60</v>
      </c>
      <c r="H915" t="s">
        <v>53</v>
      </c>
      <c r="I915" t="s">
        <v>61</v>
      </c>
      <c r="J915" s="1">
        <v>45740</v>
      </c>
      <c r="K915" s="1">
        <v>45740</v>
      </c>
      <c r="L915" s="3">
        <v>42200</v>
      </c>
      <c r="M915" s="4">
        <v>0</v>
      </c>
      <c r="N915" s="4">
        <v>0</v>
      </c>
      <c r="O915" t="s">
        <v>81</v>
      </c>
      <c r="P915">
        <v>3</v>
      </c>
      <c r="Q915" t="str">
        <f>IFERROR(VLOOKUP(E915,Lookups!$A$5:$B$24,2,FALSE),"Other")</f>
        <v>Email</v>
      </c>
      <c r="R915" t="str">
        <f>IFERROR(VLOOKUP(F915,Lookups!$D$5:$F$10,2,FALSE),"Unknown Product")</f>
        <v>NexaCRM Pro</v>
      </c>
      <c r="S915" t="str">
        <f>IFERROR(VLOOKUP(F915,Lookups!$D$5:$F$10,3,FALSE),"Unknown")</f>
        <v>CRM</v>
      </c>
      <c r="T915" t="str">
        <f t="shared" si="154"/>
        <v>Mid-Market</v>
      </c>
      <c r="U915" t="str">
        <f t="shared" si="155"/>
        <v>Lost</v>
      </c>
      <c r="V915" s="3">
        <f t="shared" si="156"/>
        <v>0</v>
      </c>
      <c r="W915" s="3">
        <f t="shared" si="157"/>
        <v>0</v>
      </c>
      <c r="X915" s="5">
        <f t="shared" si="158"/>
        <v>8</v>
      </c>
      <c r="Y915" s="5">
        <f>IF(U915="Open",Lookups!$B$2-B915,X915)</f>
        <v>8</v>
      </c>
      <c r="Z915" t="str">
        <f t="shared" si="159"/>
        <v>OK</v>
      </c>
      <c r="AA915" t="str">
        <f t="shared" si="160"/>
        <v>2025-03</v>
      </c>
      <c r="AB915" t="str">
        <f t="shared" si="161"/>
        <v>2025-03</v>
      </c>
      <c r="AC915" t="str">
        <f t="shared" si="162"/>
        <v>Q1-2025</v>
      </c>
      <c r="AD915" s="5">
        <f t="shared" si="163"/>
        <v>63</v>
      </c>
      <c r="AE915" t="str">
        <f t="shared" si="164"/>
        <v>Lost</v>
      </c>
    </row>
    <row r="916" spans="1:31">
      <c r="A916" t="s">
        <v>1018</v>
      </c>
      <c r="B916" s="1">
        <v>45664</v>
      </c>
      <c r="C916" t="s">
        <v>56</v>
      </c>
      <c r="D916" t="s">
        <v>57</v>
      </c>
      <c r="E916" t="s">
        <v>109</v>
      </c>
      <c r="F916" t="s">
        <v>52</v>
      </c>
      <c r="G916" t="s">
        <v>76</v>
      </c>
      <c r="H916" t="s">
        <v>47</v>
      </c>
      <c r="I916" t="s">
        <v>61</v>
      </c>
      <c r="J916" s="1">
        <v>45688</v>
      </c>
      <c r="K916" s="1">
        <v>45688</v>
      </c>
      <c r="L916" s="3">
        <v>8700</v>
      </c>
      <c r="M916" s="4">
        <v>0</v>
      </c>
      <c r="N916" s="4">
        <v>0</v>
      </c>
      <c r="O916" t="s">
        <v>116</v>
      </c>
      <c r="P916">
        <v>5</v>
      </c>
      <c r="Q916" t="str">
        <f>IFERROR(VLOOKUP(E916,Lookups!$A$5:$B$24,2,FALSE),"Other")</f>
        <v>Outbound</v>
      </c>
      <c r="R916" t="str">
        <f>IFERROR(VLOOKUP(F916,Lookups!$D$5:$F$10,2,FALSE),"Unknown Product")</f>
        <v>NexaCRM Core</v>
      </c>
      <c r="S916" t="str">
        <f>IFERROR(VLOOKUP(F916,Lookups!$D$5:$F$10,3,FALSE),"Unknown")</f>
        <v>CRM</v>
      </c>
      <c r="T916" t="str">
        <f t="shared" si="154"/>
        <v>SMB</v>
      </c>
      <c r="U916" t="str">
        <f t="shared" si="155"/>
        <v>Lost</v>
      </c>
      <c r="V916" s="3">
        <f t="shared" si="156"/>
        <v>0</v>
      </c>
      <c r="W916" s="3">
        <f t="shared" si="157"/>
        <v>0</v>
      </c>
      <c r="X916" s="5">
        <f t="shared" si="158"/>
        <v>24</v>
      </c>
      <c r="Y916" s="5">
        <f>IF(U916="Open",Lookups!$B$2-B916,X916)</f>
        <v>24</v>
      </c>
      <c r="Z916" t="str">
        <f t="shared" si="159"/>
        <v>OK</v>
      </c>
      <c r="AA916" t="str">
        <f t="shared" si="160"/>
        <v>2025-01</v>
      </c>
      <c r="AB916" t="str">
        <f t="shared" si="161"/>
        <v>2025-01</v>
      </c>
      <c r="AC916" t="str">
        <f t="shared" si="162"/>
        <v>Q1-2025</v>
      </c>
      <c r="AD916" s="5">
        <f t="shared" si="163"/>
        <v>43</v>
      </c>
      <c r="AE916" t="str">
        <f t="shared" si="164"/>
        <v>Lost</v>
      </c>
    </row>
    <row r="917" spans="1:31">
      <c r="A917" t="s">
        <v>1019</v>
      </c>
      <c r="B917" s="1">
        <v>45685</v>
      </c>
      <c r="C917" t="s">
        <v>148</v>
      </c>
      <c r="D917" t="s">
        <v>43</v>
      </c>
      <c r="E917" t="s">
        <v>44</v>
      </c>
      <c r="F917" t="s">
        <v>133</v>
      </c>
      <c r="G917" t="s">
        <v>112</v>
      </c>
      <c r="H917" t="s">
        <v>53</v>
      </c>
      <c r="I917" t="s">
        <v>77</v>
      </c>
      <c r="J917" s="1">
        <v>45732</v>
      </c>
      <c r="K917" s="1">
        <v>45732</v>
      </c>
      <c r="L917" s="3">
        <v>27100</v>
      </c>
      <c r="M917" s="4">
        <v>0.05</v>
      </c>
      <c r="N917" s="4">
        <v>1</v>
      </c>
      <c r="P917">
        <v>6</v>
      </c>
      <c r="Q917" t="str">
        <f>IFERROR(VLOOKUP(E917,Lookups!$A$5:$B$24,2,FALSE),"Other")</f>
        <v>Organic Search</v>
      </c>
      <c r="R917" t="str">
        <f>IFERROR(VLOOKUP(F917,Lookups!$D$5:$F$10,2,FALSE),"Unknown Product")</f>
        <v>Analytics Plus</v>
      </c>
      <c r="S917" t="str">
        <f>IFERROR(VLOOKUP(F917,Lookups!$D$5:$F$10,3,FALSE),"Unknown")</f>
        <v>Analytics</v>
      </c>
      <c r="T917" t="str">
        <f t="shared" si="154"/>
        <v>Mid-Market</v>
      </c>
      <c r="U917" t="str">
        <f t="shared" si="155"/>
        <v>Won</v>
      </c>
      <c r="V917" s="3">
        <f t="shared" si="156"/>
        <v>25745</v>
      </c>
      <c r="W917" s="3">
        <f t="shared" si="157"/>
        <v>0</v>
      </c>
      <c r="X917" s="5">
        <f t="shared" si="158"/>
        <v>47</v>
      </c>
      <c r="Y917" s="5">
        <f>IF(U917="Open",Lookups!$B$2-B917,X917)</f>
        <v>47</v>
      </c>
      <c r="Z917" t="str">
        <f t="shared" si="159"/>
        <v>OK</v>
      </c>
      <c r="AA917" t="str">
        <f t="shared" si="160"/>
        <v>2025-01</v>
      </c>
      <c r="AB917" t="str">
        <f t="shared" si="161"/>
        <v>2025-03</v>
      </c>
      <c r="AC917" t="str">
        <f t="shared" si="162"/>
        <v>Q1-2025</v>
      </c>
      <c r="AD917" s="5">
        <f t="shared" si="163"/>
        <v>70</v>
      </c>
      <c r="AE917" t="str">
        <f t="shared" si="164"/>
        <v>Won</v>
      </c>
    </row>
    <row r="918" spans="1:31">
      <c r="A918" t="s">
        <v>1020</v>
      </c>
      <c r="B918" s="1">
        <v>46122</v>
      </c>
      <c r="C918" t="s">
        <v>86</v>
      </c>
      <c r="D918" t="s">
        <v>87</v>
      </c>
      <c r="E918" t="s">
        <v>146</v>
      </c>
      <c r="F918" t="s">
        <v>59</v>
      </c>
      <c r="G918" t="s">
        <v>76</v>
      </c>
      <c r="H918" t="s">
        <v>53</v>
      </c>
      <c r="I918" t="s">
        <v>61</v>
      </c>
      <c r="J918" s="1">
        <v>46141</v>
      </c>
      <c r="K918" s="1">
        <v>46141</v>
      </c>
      <c r="L918" s="3">
        <v>20200</v>
      </c>
      <c r="M918" s="4">
        <v>0</v>
      </c>
      <c r="N918" s="4">
        <v>0</v>
      </c>
      <c r="O918" t="s">
        <v>81</v>
      </c>
      <c r="P918">
        <v>2</v>
      </c>
      <c r="Q918" t="str">
        <f>IFERROR(VLOOKUP(E918,Lookups!$A$5:$B$24,2,FALSE),"Other")</f>
        <v>LinkedIn</v>
      </c>
      <c r="R918" t="str">
        <f>IFERROR(VLOOKUP(F918,Lookups!$D$5:$F$10,2,FALSE),"Unknown Product")</f>
        <v>NexaCRM Pro</v>
      </c>
      <c r="S918" t="str">
        <f>IFERROR(VLOOKUP(F918,Lookups!$D$5:$F$10,3,FALSE),"Unknown")</f>
        <v>CRM</v>
      </c>
      <c r="T918" t="str">
        <f t="shared" si="154"/>
        <v>Mid-Market</v>
      </c>
      <c r="U918" t="str">
        <f t="shared" si="155"/>
        <v>Lost</v>
      </c>
      <c r="V918" s="3">
        <f t="shared" si="156"/>
        <v>0</v>
      </c>
      <c r="W918" s="3">
        <f t="shared" si="157"/>
        <v>0</v>
      </c>
      <c r="X918" s="5">
        <f t="shared" si="158"/>
        <v>19</v>
      </c>
      <c r="Y918" s="5">
        <f>IF(U918="Open",Lookups!$B$2-B918,X918)</f>
        <v>19</v>
      </c>
      <c r="Z918" t="str">
        <f t="shared" si="159"/>
        <v>OK</v>
      </c>
      <c r="AA918" t="str">
        <f t="shared" si="160"/>
        <v>2026-04</v>
      </c>
      <c r="AB918" t="str">
        <f t="shared" si="161"/>
        <v>2026-04</v>
      </c>
      <c r="AC918" t="str">
        <f t="shared" si="162"/>
        <v>Q2-2026</v>
      </c>
      <c r="AD918" s="5">
        <f t="shared" si="163"/>
        <v>59</v>
      </c>
      <c r="AE918" t="str">
        <f t="shared" si="164"/>
        <v>Lost</v>
      </c>
    </row>
    <row r="919" spans="1:31">
      <c r="A919" t="s">
        <v>1021</v>
      </c>
      <c r="B919" s="1">
        <v>45731</v>
      </c>
      <c r="C919" t="s">
        <v>50</v>
      </c>
      <c r="D919" t="s">
        <v>43</v>
      </c>
      <c r="E919" t="s">
        <v>70</v>
      </c>
      <c r="F919" t="s">
        <v>59</v>
      </c>
      <c r="G919" t="s">
        <v>60</v>
      </c>
      <c r="H919" t="s">
        <v>47</v>
      </c>
      <c r="I919" t="s">
        <v>77</v>
      </c>
      <c r="J919" s="1">
        <v>45780</v>
      </c>
      <c r="K919" s="1">
        <v>45780</v>
      </c>
      <c r="L919" s="3">
        <v>15200</v>
      </c>
      <c r="M919" s="4">
        <v>0.08</v>
      </c>
      <c r="N919" s="4">
        <v>1</v>
      </c>
      <c r="P919">
        <v>6</v>
      </c>
      <c r="Q919" t="str">
        <f>IFERROR(VLOOKUP(E919,Lookups!$A$5:$B$24,2,FALSE),"Other")</f>
        <v>LinkedIn</v>
      </c>
      <c r="R919" t="str">
        <f>IFERROR(VLOOKUP(F919,Lookups!$D$5:$F$10,2,FALSE),"Unknown Product")</f>
        <v>NexaCRM Pro</v>
      </c>
      <c r="S919" t="str">
        <f>IFERROR(VLOOKUP(F919,Lookups!$D$5:$F$10,3,FALSE),"Unknown")</f>
        <v>CRM</v>
      </c>
      <c r="T919" t="str">
        <f t="shared" si="154"/>
        <v>SMB</v>
      </c>
      <c r="U919" t="str">
        <f t="shared" si="155"/>
        <v>Won</v>
      </c>
      <c r="V919" s="3">
        <f t="shared" si="156"/>
        <v>13984</v>
      </c>
      <c r="W919" s="3">
        <f t="shared" si="157"/>
        <v>0</v>
      </c>
      <c r="X919" s="5">
        <f t="shared" si="158"/>
        <v>49</v>
      </c>
      <c r="Y919" s="5">
        <f>IF(U919="Open",Lookups!$B$2-B919,X919)</f>
        <v>49</v>
      </c>
      <c r="Z919" t="str">
        <f t="shared" si="159"/>
        <v>OK</v>
      </c>
      <c r="AA919" t="str">
        <f t="shared" si="160"/>
        <v>2025-03</v>
      </c>
      <c r="AB919" t="str">
        <f t="shared" si="161"/>
        <v>2025-05</v>
      </c>
      <c r="AC919" t="str">
        <f t="shared" si="162"/>
        <v>Q1-2025</v>
      </c>
      <c r="AD919" s="5">
        <f t="shared" si="163"/>
        <v>43</v>
      </c>
      <c r="AE919" t="str">
        <f t="shared" si="164"/>
        <v>Won</v>
      </c>
    </row>
    <row r="920" spans="1:31">
      <c r="A920" t="s">
        <v>1022</v>
      </c>
      <c r="B920" s="1">
        <v>45890</v>
      </c>
      <c r="C920" t="s">
        <v>42</v>
      </c>
      <c r="D920" t="s">
        <v>43</v>
      </c>
      <c r="E920" t="s">
        <v>138</v>
      </c>
      <c r="F920" t="s">
        <v>67</v>
      </c>
      <c r="G920" t="s">
        <v>99</v>
      </c>
      <c r="H920" t="s">
        <v>53</v>
      </c>
      <c r="I920" t="s">
        <v>61</v>
      </c>
      <c r="J920" s="1">
        <v>45905</v>
      </c>
      <c r="K920" s="1">
        <v>45905</v>
      </c>
      <c r="L920" s="3">
        <v>40600</v>
      </c>
      <c r="M920" s="4">
        <v>0</v>
      </c>
      <c r="N920" s="4">
        <v>0</v>
      </c>
      <c r="O920" t="s">
        <v>79</v>
      </c>
      <c r="P920">
        <v>3</v>
      </c>
      <c r="Q920" t="str">
        <f>IFERROR(VLOOKUP(E920,Lookups!$A$5:$B$24,2,FALSE),"Other")</f>
        <v>Organic Search</v>
      </c>
      <c r="R920" t="str">
        <f>IFERROR(VLOOKUP(F920,Lookups!$D$5:$F$10,2,FALSE),"Unknown Product")</f>
        <v>Revenue Operations Suite</v>
      </c>
      <c r="S920" t="str">
        <f>IFERROR(VLOOKUP(F920,Lookups!$D$5:$F$10,3,FALSE),"Unknown")</f>
        <v>Revenue Ops</v>
      </c>
      <c r="T920" t="str">
        <f t="shared" si="154"/>
        <v>Mid-Market</v>
      </c>
      <c r="U920" t="str">
        <f t="shared" si="155"/>
        <v>Lost</v>
      </c>
      <c r="V920" s="3">
        <f t="shared" si="156"/>
        <v>0</v>
      </c>
      <c r="W920" s="3">
        <f t="shared" si="157"/>
        <v>0</v>
      </c>
      <c r="X920" s="5">
        <f t="shared" si="158"/>
        <v>15</v>
      </c>
      <c r="Y920" s="5">
        <f>IF(U920="Open",Lookups!$B$2-B920,X920)</f>
        <v>15</v>
      </c>
      <c r="Z920" t="str">
        <f t="shared" si="159"/>
        <v>OK</v>
      </c>
      <c r="AA920" t="str">
        <f t="shared" si="160"/>
        <v>2025-08</v>
      </c>
      <c r="AB920" t="str">
        <f t="shared" si="161"/>
        <v>2025-09</v>
      </c>
      <c r="AC920" t="str">
        <f t="shared" si="162"/>
        <v>Q3-2025</v>
      </c>
      <c r="AD920" s="5">
        <f t="shared" si="163"/>
        <v>65</v>
      </c>
      <c r="AE920" t="str">
        <f t="shared" si="164"/>
        <v>Lost</v>
      </c>
    </row>
    <row r="921" spans="1:31">
      <c r="A921" t="s">
        <v>1023</v>
      </c>
      <c r="B921" s="1">
        <v>46025</v>
      </c>
      <c r="C921" t="s">
        <v>148</v>
      </c>
      <c r="D921" t="s">
        <v>43</v>
      </c>
      <c r="E921" t="s">
        <v>70</v>
      </c>
      <c r="F921" t="s">
        <v>59</v>
      </c>
      <c r="G921" t="s">
        <v>99</v>
      </c>
      <c r="H921" t="s">
        <v>53</v>
      </c>
      <c r="I921" t="s">
        <v>61</v>
      </c>
      <c r="J921" s="1">
        <v>46088</v>
      </c>
      <c r="K921" s="1">
        <v>46088</v>
      </c>
      <c r="L921" s="3">
        <v>29200</v>
      </c>
      <c r="M921" s="4">
        <v>0</v>
      </c>
      <c r="N921" s="4">
        <v>0</v>
      </c>
      <c r="O921" t="s">
        <v>116</v>
      </c>
      <c r="P921">
        <v>4</v>
      </c>
      <c r="Q921" t="str">
        <f>IFERROR(VLOOKUP(E921,Lookups!$A$5:$B$24,2,FALSE),"Other")</f>
        <v>LinkedIn</v>
      </c>
      <c r="R921" t="str">
        <f>IFERROR(VLOOKUP(F921,Lookups!$D$5:$F$10,2,FALSE),"Unknown Product")</f>
        <v>NexaCRM Pro</v>
      </c>
      <c r="S921" t="str">
        <f>IFERROR(VLOOKUP(F921,Lookups!$D$5:$F$10,3,FALSE),"Unknown")</f>
        <v>CRM</v>
      </c>
      <c r="T921" t="str">
        <f t="shared" si="154"/>
        <v>Mid-Market</v>
      </c>
      <c r="U921" t="str">
        <f t="shared" si="155"/>
        <v>Lost</v>
      </c>
      <c r="V921" s="3">
        <f t="shared" si="156"/>
        <v>0</v>
      </c>
      <c r="W921" s="3">
        <f t="shared" si="157"/>
        <v>0</v>
      </c>
      <c r="X921" s="5">
        <f t="shared" si="158"/>
        <v>63</v>
      </c>
      <c r="Y921" s="5">
        <f>IF(U921="Open",Lookups!$B$2-B921,X921)</f>
        <v>63</v>
      </c>
      <c r="Z921" t="str">
        <f t="shared" si="159"/>
        <v>OK</v>
      </c>
      <c r="AA921" t="str">
        <f t="shared" si="160"/>
        <v>2026-01</v>
      </c>
      <c r="AB921" t="str">
        <f t="shared" si="161"/>
        <v>2026-03</v>
      </c>
      <c r="AC921" t="str">
        <f t="shared" si="162"/>
        <v>Q1-2026</v>
      </c>
      <c r="AD921" s="5">
        <f t="shared" si="163"/>
        <v>59</v>
      </c>
      <c r="AE921" t="str">
        <f t="shared" si="164"/>
        <v>Lost</v>
      </c>
    </row>
    <row r="922" spans="1:31">
      <c r="A922" t="s">
        <v>1024</v>
      </c>
      <c r="B922" s="1">
        <v>46104</v>
      </c>
      <c r="C922" t="s">
        <v>69</v>
      </c>
      <c r="D922" t="s">
        <v>57</v>
      </c>
      <c r="E922" t="s">
        <v>132</v>
      </c>
      <c r="F922" t="s">
        <v>52</v>
      </c>
      <c r="G922" t="s">
        <v>76</v>
      </c>
      <c r="H922" t="s">
        <v>84</v>
      </c>
      <c r="I922" t="s">
        <v>61</v>
      </c>
      <c r="J922" s="1">
        <v>46142</v>
      </c>
      <c r="K922" s="1">
        <v>46142</v>
      </c>
      <c r="L922" s="3">
        <v>28200</v>
      </c>
      <c r="M922" s="4">
        <v>0</v>
      </c>
      <c r="N922" s="4">
        <v>0</v>
      </c>
      <c r="O922" t="s">
        <v>79</v>
      </c>
      <c r="P922">
        <v>2</v>
      </c>
      <c r="Q922" t="str">
        <f>IFERROR(VLOOKUP(E922,Lookups!$A$5:$B$24,2,FALSE),"Other")</f>
        <v>Other</v>
      </c>
      <c r="R922" t="str">
        <f>IFERROR(VLOOKUP(F922,Lookups!$D$5:$F$10,2,FALSE),"Unknown Product")</f>
        <v>NexaCRM Core</v>
      </c>
      <c r="S922" t="str">
        <f>IFERROR(VLOOKUP(F922,Lookups!$D$5:$F$10,3,FALSE),"Unknown")</f>
        <v>CRM</v>
      </c>
      <c r="T922" t="str">
        <f t="shared" si="154"/>
        <v>Mid-Market</v>
      </c>
      <c r="U922" t="str">
        <f t="shared" si="155"/>
        <v>Lost</v>
      </c>
      <c r="V922" s="3">
        <f t="shared" si="156"/>
        <v>0</v>
      </c>
      <c r="W922" s="3">
        <f t="shared" si="157"/>
        <v>0</v>
      </c>
      <c r="X922" s="5">
        <f t="shared" si="158"/>
        <v>38</v>
      </c>
      <c r="Y922" s="5">
        <f>IF(U922="Open",Lookups!$B$2-B922,X922)</f>
        <v>38</v>
      </c>
      <c r="Z922" t="str">
        <f t="shared" si="159"/>
        <v>OK</v>
      </c>
      <c r="AA922" t="str">
        <f t="shared" si="160"/>
        <v>2026-03</v>
      </c>
      <c r="AB922" t="str">
        <f t="shared" si="161"/>
        <v>2026-04</v>
      </c>
      <c r="AC922" t="str">
        <f t="shared" si="162"/>
        <v>Q1-2026</v>
      </c>
      <c r="AD922" s="5">
        <f t="shared" si="163"/>
        <v>67</v>
      </c>
      <c r="AE922" t="str">
        <f t="shared" si="164"/>
        <v>Lost</v>
      </c>
    </row>
    <row r="923" spans="1:31">
      <c r="A923" t="s">
        <v>1025</v>
      </c>
      <c r="B923" s="1">
        <v>45723</v>
      </c>
      <c r="C923" t="s">
        <v>69</v>
      </c>
      <c r="D923" t="s">
        <v>57</v>
      </c>
      <c r="E923" t="s">
        <v>83</v>
      </c>
      <c r="F923" t="s">
        <v>59</v>
      </c>
      <c r="G923" t="s">
        <v>112</v>
      </c>
      <c r="H923" t="s">
        <v>53</v>
      </c>
      <c r="I923" t="s">
        <v>61</v>
      </c>
      <c r="J923" s="1">
        <v>45747</v>
      </c>
      <c r="K923" s="1">
        <v>45747</v>
      </c>
      <c r="L923" s="3">
        <v>28700</v>
      </c>
      <c r="M923" s="4">
        <v>0</v>
      </c>
      <c r="N923" s="4">
        <v>0</v>
      </c>
      <c r="O923" t="s">
        <v>81</v>
      </c>
      <c r="P923">
        <v>5</v>
      </c>
      <c r="Q923" t="str">
        <f>IFERROR(VLOOKUP(E923,Lookups!$A$5:$B$24,2,FALSE),"Other")</f>
        <v>Organic Search</v>
      </c>
      <c r="R923" t="str">
        <f>IFERROR(VLOOKUP(F923,Lookups!$D$5:$F$10,2,FALSE),"Unknown Product")</f>
        <v>NexaCRM Pro</v>
      </c>
      <c r="S923" t="str">
        <f>IFERROR(VLOOKUP(F923,Lookups!$D$5:$F$10,3,FALSE),"Unknown")</f>
        <v>CRM</v>
      </c>
      <c r="T923" t="str">
        <f t="shared" si="154"/>
        <v>Mid-Market</v>
      </c>
      <c r="U923" t="str">
        <f t="shared" si="155"/>
        <v>Lost</v>
      </c>
      <c r="V923" s="3">
        <f t="shared" si="156"/>
        <v>0</v>
      </c>
      <c r="W923" s="3">
        <f t="shared" si="157"/>
        <v>0</v>
      </c>
      <c r="X923" s="5">
        <f t="shared" si="158"/>
        <v>24</v>
      </c>
      <c r="Y923" s="5">
        <f>IF(U923="Open",Lookups!$B$2-B923,X923)</f>
        <v>24</v>
      </c>
      <c r="Z923" t="str">
        <f t="shared" si="159"/>
        <v>OK</v>
      </c>
      <c r="AA923" t="str">
        <f t="shared" si="160"/>
        <v>2025-03</v>
      </c>
      <c r="AB923" t="str">
        <f t="shared" si="161"/>
        <v>2025-03</v>
      </c>
      <c r="AC923" t="str">
        <f t="shared" si="162"/>
        <v>Q1-2025</v>
      </c>
      <c r="AD923" s="5">
        <f t="shared" si="163"/>
        <v>70</v>
      </c>
      <c r="AE923" t="str">
        <f t="shared" si="164"/>
        <v>Lost</v>
      </c>
    </row>
    <row r="924" spans="1:31">
      <c r="A924" t="s">
        <v>1026</v>
      </c>
      <c r="B924" s="1">
        <v>45704</v>
      </c>
      <c r="C924" t="s">
        <v>50</v>
      </c>
      <c r="D924" t="s">
        <v>43</v>
      </c>
      <c r="E924" t="s">
        <v>92</v>
      </c>
      <c r="F924" t="s">
        <v>71</v>
      </c>
      <c r="G924" t="s">
        <v>46</v>
      </c>
      <c r="H924" t="s">
        <v>53</v>
      </c>
      <c r="I924" t="s">
        <v>61</v>
      </c>
      <c r="J924" s="1">
        <v>45753</v>
      </c>
      <c r="K924" s="1">
        <v>45753</v>
      </c>
      <c r="L924" s="3">
        <v>27300</v>
      </c>
      <c r="M924" s="4">
        <v>0</v>
      </c>
      <c r="N924" s="4">
        <v>0</v>
      </c>
      <c r="O924" t="s">
        <v>62</v>
      </c>
      <c r="P924">
        <v>5</v>
      </c>
      <c r="Q924" t="str">
        <f>IFERROR(VLOOKUP(E924,Lookups!$A$5:$B$24,2,FALSE),"Other")</f>
        <v>Webinar</v>
      </c>
      <c r="R924" t="str">
        <f>IFERROR(VLOOKUP(F924,Lookups!$D$5:$F$10,2,FALSE),"Unknown Product")</f>
        <v>Marketing Automation</v>
      </c>
      <c r="S924" t="str">
        <f>IFERROR(VLOOKUP(F924,Lookups!$D$5:$F$10,3,FALSE),"Unknown")</f>
        <v>Marketing</v>
      </c>
      <c r="T924" t="str">
        <f t="shared" si="154"/>
        <v>Mid-Market</v>
      </c>
      <c r="U924" t="str">
        <f t="shared" si="155"/>
        <v>Lost</v>
      </c>
      <c r="V924" s="3">
        <f t="shared" si="156"/>
        <v>0</v>
      </c>
      <c r="W924" s="3">
        <f t="shared" si="157"/>
        <v>0</v>
      </c>
      <c r="X924" s="5">
        <f t="shared" si="158"/>
        <v>49</v>
      </c>
      <c r="Y924" s="5">
        <f>IF(U924="Open",Lookups!$B$2-B924,X924)</f>
        <v>49</v>
      </c>
      <c r="Z924" t="str">
        <f t="shared" si="159"/>
        <v>OK</v>
      </c>
      <c r="AA924" t="str">
        <f t="shared" si="160"/>
        <v>2025-02</v>
      </c>
      <c r="AB924" t="str">
        <f t="shared" si="161"/>
        <v>2025-04</v>
      </c>
      <c r="AC924" t="str">
        <f t="shared" si="162"/>
        <v>Q1-2025</v>
      </c>
      <c r="AD924" s="5">
        <f t="shared" si="163"/>
        <v>59</v>
      </c>
      <c r="AE924" t="str">
        <f t="shared" si="164"/>
        <v>Lost</v>
      </c>
    </row>
    <row r="925" spans="1:31">
      <c r="A925" t="s">
        <v>1027</v>
      </c>
      <c r="B925" s="1">
        <v>46022</v>
      </c>
      <c r="C925" t="s">
        <v>56</v>
      </c>
      <c r="D925" t="s">
        <v>57</v>
      </c>
      <c r="E925" t="s">
        <v>127</v>
      </c>
      <c r="F925" t="s">
        <v>52</v>
      </c>
      <c r="G925" t="s">
        <v>112</v>
      </c>
      <c r="H925" t="s">
        <v>84</v>
      </c>
      <c r="I925" t="s">
        <v>61</v>
      </c>
      <c r="J925" s="1">
        <v>46085</v>
      </c>
      <c r="K925" s="1">
        <v>46085</v>
      </c>
      <c r="L925" s="3">
        <v>24800</v>
      </c>
      <c r="M925" s="4">
        <v>0</v>
      </c>
      <c r="N925" s="4">
        <v>0</v>
      </c>
      <c r="O925" t="s">
        <v>79</v>
      </c>
      <c r="P925">
        <v>3</v>
      </c>
      <c r="Q925" t="str">
        <f>IFERROR(VLOOKUP(E925,Lookups!$A$5:$B$24,2,FALSE),"Other")</f>
        <v>Paid Search</v>
      </c>
      <c r="R925" t="str">
        <f>IFERROR(VLOOKUP(F925,Lookups!$D$5:$F$10,2,FALSE),"Unknown Product")</f>
        <v>NexaCRM Core</v>
      </c>
      <c r="S925" t="str">
        <f>IFERROR(VLOOKUP(F925,Lookups!$D$5:$F$10,3,FALSE),"Unknown")</f>
        <v>CRM</v>
      </c>
      <c r="T925" t="str">
        <f t="shared" si="154"/>
        <v>Mid-Market</v>
      </c>
      <c r="U925" t="str">
        <f t="shared" si="155"/>
        <v>Lost</v>
      </c>
      <c r="V925" s="3">
        <f t="shared" si="156"/>
        <v>0</v>
      </c>
      <c r="W925" s="3">
        <f t="shared" si="157"/>
        <v>0</v>
      </c>
      <c r="X925" s="5">
        <f t="shared" si="158"/>
        <v>63</v>
      </c>
      <c r="Y925" s="5">
        <f>IF(U925="Open",Lookups!$B$2-B925,X925)</f>
        <v>63</v>
      </c>
      <c r="Z925" t="str">
        <f t="shared" si="159"/>
        <v>OK</v>
      </c>
      <c r="AA925" t="str">
        <f t="shared" si="160"/>
        <v>2025-12</v>
      </c>
      <c r="AB925" t="str">
        <f t="shared" si="161"/>
        <v>2026-03</v>
      </c>
      <c r="AC925" t="str">
        <f t="shared" si="162"/>
        <v>Q4-2025</v>
      </c>
      <c r="AD925" s="5">
        <f t="shared" si="163"/>
        <v>72</v>
      </c>
      <c r="AE925" t="str">
        <f t="shared" si="164"/>
        <v>Lost</v>
      </c>
    </row>
    <row r="926" spans="1:31">
      <c r="A926" t="s">
        <v>1028</v>
      </c>
      <c r="B926" s="1">
        <v>45688</v>
      </c>
      <c r="C926" t="s">
        <v>50</v>
      </c>
      <c r="D926" t="s">
        <v>43</v>
      </c>
      <c r="E926" t="s">
        <v>96</v>
      </c>
      <c r="F926" t="s">
        <v>59</v>
      </c>
      <c r="G926" t="s">
        <v>76</v>
      </c>
      <c r="H926" t="s">
        <v>47</v>
      </c>
      <c r="I926" t="s">
        <v>61</v>
      </c>
      <c r="J926" s="1">
        <v>45712</v>
      </c>
      <c r="K926" s="1">
        <v>45712</v>
      </c>
      <c r="L926" s="3">
        <v>25500</v>
      </c>
      <c r="M926" s="4">
        <v>0</v>
      </c>
      <c r="N926" s="4">
        <v>0</v>
      </c>
      <c r="O926" t="s">
        <v>110</v>
      </c>
      <c r="P926">
        <v>4</v>
      </c>
      <c r="Q926" t="str">
        <f>IFERROR(VLOOKUP(E926,Lookups!$A$5:$B$24,2,FALSE),"Other")</f>
        <v>LinkedIn</v>
      </c>
      <c r="R926" t="str">
        <f>IFERROR(VLOOKUP(F926,Lookups!$D$5:$F$10,2,FALSE),"Unknown Product")</f>
        <v>NexaCRM Pro</v>
      </c>
      <c r="S926" t="str">
        <f>IFERROR(VLOOKUP(F926,Lookups!$D$5:$F$10,3,FALSE),"Unknown")</f>
        <v>CRM</v>
      </c>
      <c r="T926" t="str">
        <f t="shared" si="154"/>
        <v>Mid-Market</v>
      </c>
      <c r="U926" t="str">
        <f t="shared" si="155"/>
        <v>Lost</v>
      </c>
      <c r="V926" s="3">
        <f t="shared" si="156"/>
        <v>0</v>
      </c>
      <c r="W926" s="3">
        <f t="shared" si="157"/>
        <v>0</v>
      </c>
      <c r="X926" s="5">
        <f t="shared" si="158"/>
        <v>24</v>
      </c>
      <c r="Y926" s="5">
        <f>IF(U926="Open",Lookups!$B$2-B926,X926)</f>
        <v>24</v>
      </c>
      <c r="Z926" t="str">
        <f t="shared" si="159"/>
        <v>OK</v>
      </c>
      <c r="AA926" t="str">
        <f t="shared" si="160"/>
        <v>2025-01</v>
      </c>
      <c r="AB926" t="str">
        <f t="shared" si="161"/>
        <v>2025-02</v>
      </c>
      <c r="AC926" t="str">
        <f t="shared" si="162"/>
        <v>Q1-2025</v>
      </c>
      <c r="AD926" s="5">
        <f t="shared" si="163"/>
        <v>51</v>
      </c>
      <c r="AE926" t="str">
        <f t="shared" si="164"/>
        <v>Lost</v>
      </c>
    </row>
    <row r="927" spans="1:31">
      <c r="A927" t="s">
        <v>1029</v>
      </c>
      <c r="B927" s="1">
        <v>46230</v>
      </c>
      <c r="C927" t="s">
        <v>64</v>
      </c>
      <c r="D927" t="s">
        <v>57</v>
      </c>
      <c r="E927" t="s">
        <v>83</v>
      </c>
      <c r="F927" t="s">
        <v>133</v>
      </c>
      <c r="G927" t="s">
        <v>99</v>
      </c>
      <c r="H927" t="s">
        <v>47</v>
      </c>
      <c r="I927" t="s">
        <v>77</v>
      </c>
      <c r="J927" s="1">
        <v>46266</v>
      </c>
      <c r="K927" s="1">
        <v>46266</v>
      </c>
      <c r="L927" s="3">
        <v>26600</v>
      </c>
      <c r="M927" s="4">
        <v>0</v>
      </c>
      <c r="N927" s="4">
        <v>1</v>
      </c>
      <c r="P927">
        <v>6</v>
      </c>
      <c r="Q927" t="str">
        <f>IFERROR(VLOOKUP(E927,Lookups!$A$5:$B$24,2,FALSE),"Other")</f>
        <v>Organic Search</v>
      </c>
      <c r="R927" t="str">
        <f>IFERROR(VLOOKUP(F927,Lookups!$D$5:$F$10,2,FALSE),"Unknown Product")</f>
        <v>Analytics Plus</v>
      </c>
      <c r="S927" t="str">
        <f>IFERROR(VLOOKUP(F927,Lookups!$D$5:$F$10,3,FALSE),"Unknown")</f>
        <v>Analytics</v>
      </c>
      <c r="T927" t="str">
        <f t="shared" si="154"/>
        <v>Mid-Market</v>
      </c>
      <c r="U927" t="str">
        <f t="shared" si="155"/>
        <v>Won</v>
      </c>
      <c r="V927" s="3">
        <f t="shared" si="156"/>
        <v>26600</v>
      </c>
      <c r="W927" s="3">
        <f t="shared" si="157"/>
        <v>0</v>
      </c>
      <c r="X927" s="5">
        <f t="shared" si="158"/>
        <v>36</v>
      </c>
      <c r="Y927" s="5">
        <f>IF(U927="Open",Lookups!$B$2-B927,X927)</f>
        <v>36</v>
      </c>
      <c r="Z927" t="str">
        <f t="shared" si="159"/>
        <v>OK</v>
      </c>
      <c r="AA927" t="str">
        <f t="shared" si="160"/>
        <v>2026-07</v>
      </c>
      <c r="AB927" t="str">
        <f t="shared" si="161"/>
        <v>2026-09</v>
      </c>
      <c r="AC927" t="str">
        <f t="shared" si="162"/>
        <v>Q3-2026</v>
      </c>
      <c r="AD927" s="5">
        <f t="shared" si="163"/>
        <v>57</v>
      </c>
      <c r="AE927" t="str">
        <f t="shared" si="164"/>
        <v>Won</v>
      </c>
    </row>
    <row r="928" spans="1:31">
      <c r="A928" t="s">
        <v>1030</v>
      </c>
      <c r="B928" s="1">
        <v>45725</v>
      </c>
      <c r="C928" t="s">
        <v>64</v>
      </c>
      <c r="D928" t="s">
        <v>57</v>
      </c>
      <c r="E928" t="s">
        <v>51</v>
      </c>
      <c r="F928" t="s">
        <v>67</v>
      </c>
      <c r="G928" t="s">
        <v>94</v>
      </c>
      <c r="H928" t="s">
        <v>53</v>
      </c>
      <c r="I928" t="s">
        <v>61</v>
      </c>
      <c r="J928" s="1">
        <v>45789</v>
      </c>
      <c r="K928" s="1">
        <v>45789</v>
      </c>
      <c r="L928" s="3">
        <v>66800</v>
      </c>
      <c r="M928" s="4">
        <v>0</v>
      </c>
      <c r="N928" s="4">
        <v>0</v>
      </c>
      <c r="O928" t="s">
        <v>110</v>
      </c>
      <c r="P928">
        <v>3</v>
      </c>
      <c r="Q928" t="str">
        <f>IFERROR(VLOOKUP(E928,Lookups!$A$5:$B$24,2,FALSE),"Other")</f>
        <v>Paid Search</v>
      </c>
      <c r="R928" t="str">
        <f>IFERROR(VLOOKUP(F928,Lookups!$D$5:$F$10,2,FALSE),"Unknown Product")</f>
        <v>Revenue Operations Suite</v>
      </c>
      <c r="S928" t="str">
        <f>IFERROR(VLOOKUP(F928,Lookups!$D$5:$F$10,3,FALSE),"Unknown")</f>
        <v>Revenue Ops</v>
      </c>
      <c r="T928" t="str">
        <f t="shared" si="154"/>
        <v>Enterprise</v>
      </c>
      <c r="U928" t="str">
        <f t="shared" si="155"/>
        <v>Lost</v>
      </c>
      <c r="V928" s="3">
        <f t="shared" si="156"/>
        <v>0</v>
      </c>
      <c r="W928" s="3">
        <f t="shared" si="157"/>
        <v>0</v>
      </c>
      <c r="X928" s="5">
        <f t="shared" si="158"/>
        <v>64</v>
      </c>
      <c r="Y928" s="5">
        <f>IF(U928="Open",Lookups!$B$2-B928,X928)</f>
        <v>64</v>
      </c>
      <c r="Z928" t="str">
        <f t="shared" si="159"/>
        <v>OK</v>
      </c>
      <c r="AA928" t="str">
        <f t="shared" si="160"/>
        <v>2025-03</v>
      </c>
      <c r="AB928" t="str">
        <f t="shared" si="161"/>
        <v>2025-05</v>
      </c>
      <c r="AC928" t="str">
        <f t="shared" si="162"/>
        <v>Q1-2025</v>
      </c>
      <c r="AD928" s="5">
        <f t="shared" si="163"/>
        <v>66</v>
      </c>
      <c r="AE928" t="str">
        <f t="shared" si="164"/>
        <v>Lost</v>
      </c>
    </row>
    <row r="929" spans="1:31">
      <c r="A929" t="s">
        <v>1031</v>
      </c>
      <c r="B929" s="1">
        <v>45800</v>
      </c>
      <c r="C929" t="s">
        <v>90</v>
      </c>
      <c r="D929" t="s">
        <v>57</v>
      </c>
      <c r="E929" t="s">
        <v>138</v>
      </c>
      <c r="F929" t="s">
        <v>71</v>
      </c>
      <c r="G929" t="s">
        <v>46</v>
      </c>
      <c r="H929" t="s">
        <v>53</v>
      </c>
      <c r="I929" t="s">
        <v>61</v>
      </c>
      <c r="J929" s="1">
        <v>45849</v>
      </c>
      <c r="K929" s="1">
        <v>45849</v>
      </c>
      <c r="L929" s="3">
        <v>17300</v>
      </c>
      <c r="M929" s="4">
        <v>0</v>
      </c>
      <c r="N929" s="4">
        <v>0</v>
      </c>
      <c r="O929" t="s">
        <v>79</v>
      </c>
      <c r="P929">
        <v>2</v>
      </c>
      <c r="Q929" t="str">
        <f>IFERROR(VLOOKUP(E929,Lookups!$A$5:$B$24,2,FALSE),"Other")</f>
        <v>Organic Search</v>
      </c>
      <c r="R929" t="str">
        <f>IFERROR(VLOOKUP(F929,Lookups!$D$5:$F$10,2,FALSE),"Unknown Product")</f>
        <v>Marketing Automation</v>
      </c>
      <c r="S929" t="str">
        <f>IFERROR(VLOOKUP(F929,Lookups!$D$5:$F$10,3,FALSE),"Unknown")</f>
        <v>Marketing</v>
      </c>
      <c r="T929" t="str">
        <f t="shared" si="154"/>
        <v>SMB</v>
      </c>
      <c r="U929" t="str">
        <f t="shared" si="155"/>
        <v>Lost</v>
      </c>
      <c r="V929" s="3">
        <f t="shared" si="156"/>
        <v>0</v>
      </c>
      <c r="W929" s="3">
        <f t="shared" si="157"/>
        <v>0</v>
      </c>
      <c r="X929" s="5">
        <f t="shared" si="158"/>
        <v>49</v>
      </c>
      <c r="Y929" s="5">
        <f>IF(U929="Open",Lookups!$B$2-B929,X929)</f>
        <v>49</v>
      </c>
      <c r="Z929" t="str">
        <f t="shared" si="159"/>
        <v>OK</v>
      </c>
      <c r="AA929" t="str">
        <f t="shared" si="160"/>
        <v>2025-05</v>
      </c>
      <c r="AB929" t="str">
        <f t="shared" si="161"/>
        <v>2025-07</v>
      </c>
      <c r="AC929" t="str">
        <f t="shared" si="162"/>
        <v>Q2-2025</v>
      </c>
      <c r="AD929" s="5">
        <f t="shared" si="163"/>
        <v>57</v>
      </c>
      <c r="AE929" t="str">
        <f t="shared" si="164"/>
        <v>Lost</v>
      </c>
    </row>
    <row r="930" spans="1:31">
      <c r="A930" t="s">
        <v>1032</v>
      </c>
      <c r="B930" s="1">
        <v>45847</v>
      </c>
      <c r="C930" t="s">
        <v>148</v>
      </c>
      <c r="D930" t="s">
        <v>43</v>
      </c>
      <c r="E930" t="s">
        <v>166</v>
      </c>
      <c r="F930" t="s">
        <v>71</v>
      </c>
      <c r="G930" t="s">
        <v>46</v>
      </c>
      <c r="H930" t="s">
        <v>53</v>
      </c>
      <c r="I930" t="s">
        <v>48</v>
      </c>
      <c r="J930" s="1">
        <v>46007</v>
      </c>
      <c r="K930" s="1"/>
      <c r="L930" s="3">
        <v>23100</v>
      </c>
      <c r="M930" s="4">
        <v>0.03</v>
      </c>
      <c r="N930" s="4">
        <v>0.85</v>
      </c>
      <c r="P930">
        <v>5</v>
      </c>
      <c r="Q930" t="str">
        <f>IFERROR(VLOOKUP(E930,Lookups!$A$5:$B$24,2,FALSE),"Other")</f>
        <v>Referral</v>
      </c>
      <c r="R930" t="str">
        <f>IFERROR(VLOOKUP(F930,Lookups!$D$5:$F$10,2,FALSE),"Unknown Product")</f>
        <v>Marketing Automation</v>
      </c>
      <c r="S930" t="str">
        <f>IFERROR(VLOOKUP(F930,Lookups!$D$5:$F$10,3,FALSE),"Unknown")</f>
        <v>Marketing</v>
      </c>
      <c r="T930" t="str">
        <f t="shared" si="154"/>
        <v>Mid-Market</v>
      </c>
      <c r="U930" t="str">
        <f t="shared" si="155"/>
        <v>Open</v>
      </c>
      <c r="V930" s="3">
        <f t="shared" si="156"/>
        <v>0</v>
      </c>
      <c r="W930" s="3">
        <f t="shared" si="157"/>
        <v>19635</v>
      </c>
      <c r="X930" s="5" t="str">
        <f t="shared" si="158"/>
        <v/>
      </c>
      <c r="Y930" s="5">
        <f>IF(U930="Open",Lookups!$B$2-B930,X930)</f>
        <v>419</v>
      </c>
      <c r="Z930" t="str">
        <f t="shared" si="159"/>
        <v>STALE</v>
      </c>
      <c r="AA930" t="str">
        <f t="shared" si="160"/>
        <v>2025-07</v>
      </c>
      <c r="AB930" t="str">
        <f t="shared" si="161"/>
        <v/>
      </c>
      <c r="AC930" t="str">
        <f t="shared" si="162"/>
        <v>Q3-2025</v>
      </c>
      <c r="AD930" s="5">
        <f t="shared" si="163"/>
        <v>70</v>
      </c>
      <c r="AE930" t="str">
        <f t="shared" si="164"/>
        <v>Commit</v>
      </c>
    </row>
    <row r="931" spans="1:31">
      <c r="A931" t="s">
        <v>1033</v>
      </c>
      <c r="B931" s="1">
        <v>45694</v>
      </c>
      <c r="C931" t="s">
        <v>148</v>
      </c>
      <c r="D931" t="s">
        <v>43</v>
      </c>
      <c r="E931" t="s">
        <v>98</v>
      </c>
      <c r="F931" t="s">
        <v>71</v>
      </c>
      <c r="G931" t="s">
        <v>76</v>
      </c>
      <c r="H931" t="s">
        <v>84</v>
      </c>
      <c r="I931" t="s">
        <v>61</v>
      </c>
      <c r="J931" s="1">
        <v>45751</v>
      </c>
      <c r="K931" s="1">
        <v>45751</v>
      </c>
      <c r="L931" s="3">
        <v>60300</v>
      </c>
      <c r="M931" s="4">
        <v>0</v>
      </c>
      <c r="N931" s="4">
        <v>0</v>
      </c>
      <c r="O931" t="s">
        <v>81</v>
      </c>
      <c r="P931">
        <v>4</v>
      </c>
      <c r="Q931" t="str">
        <f>IFERROR(VLOOKUP(E931,Lookups!$A$5:$B$24,2,FALSE),"Other")</f>
        <v>Outbound</v>
      </c>
      <c r="R931" t="str">
        <f>IFERROR(VLOOKUP(F931,Lookups!$D$5:$F$10,2,FALSE),"Unknown Product")</f>
        <v>Marketing Automation</v>
      </c>
      <c r="S931" t="str">
        <f>IFERROR(VLOOKUP(F931,Lookups!$D$5:$F$10,3,FALSE),"Unknown")</f>
        <v>Marketing</v>
      </c>
      <c r="T931" t="str">
        <f t="shared" si="154"/>
        <v>Enterprise</v>
      </c>
      <c r="U931" t="str">
        <f t="shared" si="155"/>
        <v>Lost</v>
      </c>
      <c r="V931" s="3">
        <f t="shared" si="156"/>
        <v>0</v>
      </c>
      <c r="W931" s="3">
        <f t="shared" si="157"/>
        <v>0</v>
      </c>
      <c r="X931" s="5">
        <f t="shared" si="158"/>
        <v>57</v>
      </c>
      <c r="Y931" s="5">
        <f>IF(U931="Open",Lookups!$B$2-B931,X931)</f>
        <v>57</v>
      </c>
      <c r="Z931" t="str">
        <f t="shared" si="159"/>
        <v>OK</v>
      </c>
      <c r="AA931" t="str">
        <f t="shared" si="160"/>
        <v>2025-02</v>
      </c>
      <c r="AB931" t="str">
        <f t="shared" si="161"/>
        <v>2025-04</v>
      </c>
      <c r="AC931" t="str">
        <f t="shared" si="162"/>
        <v>Q1-2025</v>
      </c>
      <c r="AD931" s="5">
        <f t="shared" si="163"/>
        <v>74</v>
      </c>
      <c r="AE931" t="str">
        <f t="shared" si="164"/>
        <v>Lost</v>
      </c>
    </row>
    <row r="932" spans="1:31">
      <c r="A932" t="s">
        <v>1034</v>
      </c>
      <c r="B932" s="1">
        <v>46210</v>
      </c>
      <c r="C932" t="s">
        <v>42</v>
      </c>
      <c r="D932" t="s">
        <v>43</v>
      </c>
      <c r="E932" t="s">
        <v>119</v>
      </c>
      <c r="F932" t="s">
        <v>133</v>
      </c>
      <c r="G932" t="s">
        <v>46</v>
      </c>
      <c r="H932" t="s">
        <v>53</v>
      </c>
      <c r="I932" t="s">
        <v>105</v>
      </c>
      <c r="J932" s="1">
        <v>46246</v>
      </c>
      <c r="K932" s="1"/>
      <c r="L932" s="3">
        <v>25400</v>
      </c>
      <c r="M932" s="4">
        <v>0.05</v>
      </c>
      <c r="N932" s="4">
        <v>0.4</v>
      </c>
      <c r="P932">
        <v>3</v>
      </c>
      <c r="Q932" t="str">
        <f>IFERROR(VLOOKUP(E932,Lookups!$A$5:$B$24,2,FALSE),"Other")</f>
        <v>Referral</v>
      </c>
      <c r="R932" t="str">
        <f>IFERROR(VLOOKUP(F932,Lookups!$D$5:$F$10,2,FALSE),"Unknown Product")</f>
        <v>Analytics Plus</v>
      </c>
      <c r="S932" t="str">
        <f>IFERROR(VLOOKUP(F932,Lookups!$D$5:$F$10,3,FALSE),"Unknown")</f>
        <v>Analytics</v>
      </c>
      <c r="T932" t="str">
        <f t="shared" si="154"/>
        <v>Mid-Market</v>
      </c>
      <c r="U932" t="str">
        <f t="shared" si="155"/>
        <v>Open</v>
      </c>
      <c r="V932" s="3">
        <f t="shared" si="156"/>
        <v>0</v>
      </c>
      <c r="W932" s="3">
        <f t="shared" si="157"/>
        <v>10160</v>
      </c>
      <c r="X932" s="5" t="str">
        <f t="shared" si="158"/>
        <v/>
      </c>
      <c r="Y932" s="5">
        <f>IF(U932="Open",Lookups!$B$2-B932,X932)</f>
        <v>56</v>
      </c>
      <c r="Z932" t="str">
        <f t="shared" si="159"/>
        <v>STALE</v>
      </c>
      <c r="AA932" t="str">
        <f t="shared" si="160"/>
        <v>2026-07</v>
      </c>
      <c r="AB932" t="str">
        <f t="shared" si="161"/>
        <v/>
      </c>
      <c r="AC932" t="str">
        <f t="shared" si="162"/>
        <v>Q3-2026</v>
      </c>
      <c r="AD932" s="5">
        <f t="shared" si="163"/>
        <v>70</v>
      </c>
      <c r="AE932" t="str">
        <f t="shared" si="164"/>
        <v>Pipeline</v>
      </c>
    </row>
    <row r="933" spans="1:31">
      <c r="A933" t="s">
        <v>1035</v>
      </c>
      <c r="B933" s="1">
        <v>45781</v>
      </c>
      <c r="C933" t="s">
        <v>42</v>
      </c>
      <c r="D933" t="s">
        <v>43</v>
      </c>
      <c r="E933" t="s">
        <v>119</v>
      </c>
      <c r="F933" t="s">
        <v>71</v>
      </c>
      <c r="G933" t="s">
        <v>60</v>
      </c>
      <c r="H933" t="s">
        <v>53</v>
      </c>
      <c r="I933" t="s">
        <v>48</v>
      </c>
      <c r="J933" s="1">
        <v>46182</v>
      </c>
      <c r="K933" s="1"/>
      <c r="L933" s="3">
        <v>34400</v>
      </c>
      <c r="M933" s="4">
        <v>0.05</v>
      </c>
      <c r="N933" s="4">
        <v>0.85</v>
      </c>
      <c r="P933">
        <v>5</v>
      </c>
      <c r="Q933" t="str">
        <f>IFERROR(VLOOKUP(E933,Lookups!$A$5:$B$24,2,FALSE),"Other")</f>
        <v>Referral</v>
      </c>
      <c r="R933" t="str">
        <f>IFERROR(VLOOKUP(F933,Lookups!$D$5:$F$10,2,FALSE),"Unknown Product")</f>
        <v>Marketing Automation</v>
      </c>
      <c r="S933" t="str">
        <f>IFERROR(VLOOKUP(F933,Lookups!$D$5:$F$10,3,FALSE),"Unknown")</f>
        <v>Marketing</v>
      </c>
      <c r="T933" t="str">
        <f t="shared" si="154"/>
        <v>Mid-Market</v>
      </c>
      <c r="U933" t="str">
        <f t="shared" si="155"/>
        <v>Open</v>
      </c>
      <c r="V933" s="3">
        <f t="shared" si="156"/>
        <v>0</v>
      </c>
      <c r="W933" s="3">
        <f t="shared" si="157"/>
        <v>29240</v>
      </c>
      <c r="X933" s="5" t="str">
        <f t="shared" si="158"/>
        <v/>
      </c>
      <c r="Y933" s="5">
        <f>IF(U933="Open",Lookups!$B$2-B933,X933)</f>
        <v>485</v>
      </c>
      <c r="Z933" t="str">
        <f t="shared" si="159"/>
        <v>STALE</v>
      </c>
      <c r="AA933" t="str">
        <f t="shared" si="160"/>
        <v>2025-05</v>
      </c>
      <c r="AB933" t="str">
        <f t="shared" si="161"/>
        <v/>
      </c>
      <c r="AC933" t="str">
        <f t="shared" si="162"/>
        <v>Q2-2025</v>
      </c>
      <c r="AD933" s="5">
        <f t="shared" si="163"/>
        <v>70</v>
      </c>
      <c r="AE933" t="str">
        <f t="shared" si="164"/>
        <v>Commit</v>
      </c>
    </row>
    <row r="934" spans="1:31">
      <c r="A934" t="s">
        <v>1036</v>
      </c>
      <c r="B934" s="1">
        <v>45789</v>
      </c>
      <c r="C934" t="s">
        <v>56</v>
      </c>
      <c r="D934" t="s">
        <v>57</v>
      </c>
      <c r="E934" t="s">
        <v>92</v>
      </c>
      <c r="F934" t="s">
        <v>133</v>
      </c>
      <c r="G934" t="s">
        <v>76</v>
      </c>
      <c r="H934" t="s">
        <v>84</v>
      </c>
      <c r="I934" t="s">
        <v>61</v>
      </c>
      <c r="J934" s="1">
        <v>45850</v>
      </c>
      <c r="K934" s="1">
        <v>45850</v>
      </c>
      <c r="L934" s="3">
        <v>71200</v>
      </c>
      <c r="M934" s="4">
        <v>0</v>
      </c>
      <c r="N934" s="4">
        <v>0</v>
      </c>
      <c r="O934" t="s">
        <v>81</v>
      </c>
      <c r="P934">
        <v>5</v>
      </c>
      <c r="Q934" t="str">
        <f>IFERROR(VLOOKUP(E934,Lookups!$A$5:$B$24,2,FALSE),"Other")</f>
        <v>Webinar</v>
      </c>
      <c r="R934" t="str">
        <f>IFERROR(VLOOKUP(F934,Lookups!$D$5:$F$10,2,FALSE),"Unknown Product")</f>
        <v>Analytics Plus</v>
      </c>
      <c r="S934" t="str">
        <f>IFERROR(VLOOKUP(F934,Lookups!$D$5:$F$10,3,FALSE),"Unknown")</f>
        <v>Analytics</v>
      </c>
      <c r="T934" t="str">
        <f t="shared" si="154"/>
        <v>Enterprise</v>
      </c>
      <c r="U934" t="str">
        <f t="shared" si="155"/>
        <v>Lost</v>
      </c>
      <c r="V934" s="3">
        <f t="shared" si="156"/>
        <v>0</v>
      </c>
      <c r="W934" s="3">
        <f t="shared" si="157"/>
        <v>0</v>
      </c>
      <c r="X934" s="5">
        <f t="shared" si="158"/>
        <v>61</v>
      </c>
      <c r="Y934" s="5">
        <f>IF(U934="Open",Lookups!$B$2-B934,X934)</f>
        <v>61</v>
      </c>
      <c r="Z934" t="str">
        <f t="shared" si="159"/>
        <v>OK</v>
      </c>
      <c r="AA934" t="str">
        <f t="shared" si="160"/>
        <v>2025-05</v>
      </c>
      <c r="AB934" t="str">
        <f t="shared" si="161"/>
        <v>2025-07</v>
      </c>
      <c r="AC934" t="str">
        <f t="shared" si="162"/>
        <v>Q2-2025</v>
      </c>
      <c r="AD934" s="5">
        <f t="shared" si="163"/>
        <v>74</v>
      </c>
      <c r="AE934" t="str">
        <f t="shared" si="164"/>
        <v>Lost</v>
      </c>
    </row>
    <row r="935" spans="1:31">
      <c r="A935" t="s">
        <v>1037</v>
      </c>
      <c r="B935" s="1">
        <v>46064</v>
      </c>
      <c r="C935" t="s">
        <v>69</v>
      </c>
      <c r="D935" t="s">
        <v>57</v>
      </c>
      <c r="E935" t="s">
        <v>132</v>
      </c>
      <c r="F935" t="s">
        <v>45</v>
      </c>
      <c r="G935" t="s">
        <v>112</v>
      </c>
      <c r="H935" t="s">
        <v>84</v>
      </c>
      <c r="I935" t="s">
        <v>61</v>
      </c>
      <c r="J935" s="1">
        <v>46077</v>
      </c>
      <c r="K935" s="1">
        <v>46077</v>
      </c>
      <c r="L935" s="3">
        <v>43100</v>
      </c>
      <c r="M935" s="4">
        <v>0</v>
      </c>
      <c r="N935" s="4">
        <v>0</v>
      </c>
      <c r="O935" t="s">
        <v>116</v>
      </c>
      <c r="P935">
        <v>4</v>
      </c>
      <c r="Q935" t="str">
        <f>IFERROR(VLOOKUP(E935,Lookups!$A$5:$B$24,2,FALSE),"Other")</f>
        <v>Other</v>
      </c>
      <c r="R935" t="str">
        <f>IFERROR(VLOOKUP(F935,Lookups!$D$5:$F$10,2,FALSE),"Unknown Product")</f>
        <v>Service Cloud</v>
      </c>
      <c r="S935" t="str">
        <f>IFERROR(VLOOKUP(F935,Lookups!$D$5:$F$10,3,FALSE),"Unknown")</f>
        <v>Customer Service</v>
      </c>
      <c r="T935" t="str">
        <f t="shared" si="154"/>
        <v>Mid-Market</v>
      </c>
      <c r="U935" t="str">
        <f t="shared" si="155"/>
        <v>Lost</v>
      </c>
      <c r="V935" s="3">
        <f t="shared" si="156"/>
        <v>0</v>
      </c>
      <c r="W935" s="3">
        <f t="shared" si="157"/>
        <v>0</v>
      </c>
      <c r="X935" s="5">
        <f t="shared" si="158"/>
        <v>13</v>
      </c>
      <c r="Y935" s="5">
        <f>IF(U935="Open",Lookups!$B$2-B935,X935)</f>
        <v>13</v>
      </c>
      <c r="Z935" t="str">
        <f t="shared" si="159"/>
        <v>OK</v>
      </c>
      <c r="AA935" t="str">
        <f t="shared" si="160"/>
        <v>2026-02</v>
      </c>
      <c r="AB935" t="str">
        <f t="shared" si="161"/>
        <v>2026-02</v>
      </c>
      <c r="AC935" t="str">
        <f t="shared" si="162"/>
        <v>Q1-2026</v>
      </c>
      <c r="AD935" s="5">
        <f t="shared" si="163"/>
        <v>72</v>
      </c>
      <c r="AE935" t="str">
        <f t="shared" si="164"/>
        <v>Lost</v>
      </c>
    </row>
    <row r="936" spans="1:31">
      <c r="A936" t="s">
        <v>1038</v>
      </c>
      <c r="B936" s="1">
        <v>46185</v>
      </c>
      <c r="C936" t="s">
        <v>69</v>
      </c>
      <c r="D936" t="s">
        <v>57</v>
      </c>
      <c r="E936" t="s">
        <v>44</v>
      </c>
      <c r="F936" t="s">
        <v>59</v>
      </c>
      <c r="G936" t="s">
        <v>60</v>
      </c>
      <c r="H936" t="s">
        <v>53</v>
      </c>
      <c r="I936" t="s">
        <v>61</v>
      </c>
      <c r="J936" s="1">
        <v>46231</v>
      </c>
      <c r="K936" s="1">
        <v>46231</v>
      </c>
      <c r="L936" s="3">
        <v>21800</v>
      </c>
      <c r="M936" s="4">
        <v>0</v>
      </c>
      <c r="N936" s="4">
        <v>0</v>
      </c>
      <c r="O936" t="s">
        <v>79</v>
      </c>
      <c r="P936">
        <v>4</v>
      </c>
      <c r="Q936" t="str">
        <f>IFERROR(VLOOKUP(E936,Lookups!$A$5:$B$24,2,FALSE),"Other")</f>
        <v>Organic Search</v>
      </c>
      <c r="R936" t="str">
        <f>IFERROR(VLOOKUP(F936,Lookups!$D$5:$F$10,2,FALSE),"Unknown Product")</f>
        <v>NexaCRM Pro</v>
      </c>
      <c r="S936" t="str">
        <f>IFERROR(VLOOKUP(F936,Lookups!$D$5:$F$10,3,FALSE),"Unknown")</f>
        <v>CRM</v>
      </c>
      <c r="T936" t="str">
        <f t="shared" si="154"/>
        <v>Mid-Market</v>
      </c>
      <c r="U936" t="str">
        <f t="shared" si="155"/>
        <v>Lost</v>
      </c>
      <c r="V936" s="3">
        <f t="shared" si="156"/>
        <v>0</v>
      </c>
      <c r="W936" s="3">
        <f t="shared" si="157"/>
        <v>0</v>
      </c>
      <c r="X936" s="5">
        <f t="shared" si="158"/>
        <v>46</v>
      </c>
      <c r="Y936" s="5">
        <f>IF(U936="Open",Lookups!$B$2-B936,X936)</f>
        <v>46</v>
      </c>
      <c r="Z936" t="str">
        <f t="shared" si="159"/>
        <v>OK</v>
      </c>
      <c r="AA936" t="str">
        <f t="shared" si="160"/>
        <v>2026-06</v>
      </c>
      <c r="AB936" t="str">
        <f t="shared" si="161"/>
        <v>2026-07</v>
      </c>
      <c r="AC936" t="str">
        <f t="shared" si="162"/>
        <v>Q2-2026</v>
      </c>
      <c r="AD936" s="5">
        <f t="shared" si="163"/>
        <v>65</v>
      </c>
      <c r="AE936" t="str">
        <f t="shared" si="164"/>
        <v>Lost</v>
      </c>
    </row>
    <row r="937" spans="1:31">
      <c r="A937" t="s">
        <v>1039</v>
      </c>
      <c r="B937" s="1">
        <v>45667</v>
      </c>
      <c r="C937" t="s">
        <v>50</v>
      </c>
      <c r="D937" t="s">
        <v>43</v>
      </c>
      <c r="E937" t="s">
        <v>51</v>
      </c>
      <c r="F937" t="s">
        <v>52</v>
      </c>
      <c r="G937" t="s">
        <v>60</v>
      </c>
      <c r="H937" t="s">
        <v>84</v>
      </c>
      <c r="I937" t="s">
        <v>48</v>
      </c>
      <c r="J937" s="1">
        <v>45987</v>
      </c>
      <c r="K937" s="1"/>
      <c r="L937" s="3">
        <v>30900</v>
      </c>
      <c r="M937" s="4">
        <v>0</v>
      </c>
      <c r="N937" s="4">
        <v>0.85</v>
      </c>
      <c r="P937">
        <v>5</v>
      </c>
      <c r="Q937" t="str">
        <f>IFERROR(VLOOKUP(E937,Lookups!$A$5:$B$24,2,FALSE),"Other")</f>
        <v>Paid Search</v>
      </c>
      <c r="R937" t="str">
        <f>IFERROR(VLOOKUP(F937,Lookups!$D$5:$F$10,2,FALSE),"Unknown Product")</f>
        <v>NexaCRM Core</v>
      </c>
      <c r="S937" t="str">
        <f>IFERROR(VLOOKUP(F937,Lookups!$D$5:$F$10,3,FALSE),"Unknown")</f>
        <v>CRM</v>
      </c>
      <c r="T937" t="str">
        <f t="shared" si="154"/>
        <v>Mid-Market</v>
      </c>
      <c r="U937" t="str">
        <f t="shared" si="155"/>
        <v>Open</v>
      </c>
      <c r="V937" s="3">
        <f t="shared" si="156"/>
        <v>0</v>
      </c>
      <c r="W937" s="3">
        <f t="shared" si="157"/>
        <v>26265</v>
      </c>
      <c r="X937" s="5" t="str">
        <f t="shared" si="158"/>
        <v/>
      </c>
      <c r="Y937" s="5">
        <f>IF(U937="Open",Lookups!$B$2-B937,X937)</f>
        <v>599</v>
      </c>
      <c r="Z937" t="str">
        <f t="shared" si="159"/>
        <v>STALE</v>
      </c>
      <c r="AA937" t="str">
        <f t="shared" si="160"/>
        <v>2025-01</v>
      </c>
      <c r="AB937" t="str">
        <f t="shared" si="161"/>
        <v/>
      </c>
      <c r="AC937" t="str">
        <f t="shared" si="162"/>
        <v>Q1-2025</v>
      </c>
      <c r="AD937" s="5">
        <f t="shared" si="163"/>
        <v>67</v>
      </c>
      <c r="AE937" t="str">
        <f t="shared" si="164"/>
        <v>Commit</v>
      </c>
    </row>
    <row r="938" spans="1:31">
      <c r="A938" t="s">
        <v>1040</v>
      </c>
      <c r="B938" s="1">
        <v>46240</v>
      </c>
      <c r="C938" t="s">
        <v>148</v>
      </c>
      <c r="D938" t="s">
        <v>43</v>
      </c>
      <c r="E938" t="s">
        <v>166</v>
      </c>
      <c r="F938" t="s">
        <v>71</v>
      </c>
      <c r="G938" t="s">
        <v>60</v>
      </c>
      <c r="H938" t="s">
        <v>53</v>
      </c>
      <c r="I938" t="s">
        <v>61</v>
      </c>
      <c r="J938" s="1">
        <v>46266</v>
      </c>
      <c r="K938" s="1">
        <v>46266</v>
      </c>
      <c r="L938" s="3">
        <v>19500</v>
      </c>
      <c r="M938" s="4">
        <v>0</v>
      </c>
      <c r="N938" s="4">
        <v>0</v>
      </c>
      <c r="O938" t="s">
        <v>79</v>
      </c>
      <c r="P938">
        <v>5</v>
      </c>
      <c r="Q938" t="str">
        <f>IFERROR(VLOOKUP(E938,Lookups!$A$5:$B$24,2,FALSE),"Other")</f>
        <v>Referral</v>
      </c>
      <c r="R938" t="str">
        <f>IFERROR(VLOOKUP(F938,Lookups!$D$5:$F$10,2,FALSE),"Unknown Product")</f>
        <v>Marketing Automation</v>
      </c>
      <c r="S938" t="str">
        <f>IFERROR(VLOOKUP(F938,Lookups!$D$5:$F$10,3,FALSE),"Unknown")</f>
        <v>Marketing</v>
      </c>
      <c r="T938" t="str">
        <f t="shared" si="154"/>
        <v>SMB</v>
      </c>
      <c r="U938" t="str">
        <f t="shared" si="155"/>
        <v>Lost</v>
      </c>
      <c r="V938" s="3">
        <f t="shared" si="156"/>
        <v>0</v>
      </c>
      <c r="W938" s="3">
        <f t="shared" si="157"/>
        <v>0</v>
      </c>
      <c r="X938" s="5">
        <f t="shared" si="158"/>
        <v>26</v>
      </c>
      <c r="Y938" s="5">
        <f>IF(U938="Open",Lookups!$B$2-B938,X938)</f>
        <v>26</v>
      </c>
      <c r="Z938" t="str">
        <f t="shared" si="159"/>
        <v>OK</v>
      </c>
      <c r="AA938" t="str">
        <f t="shared" si="160"/>
        <v>2026-08</v>
      </c>
      <c r="AB938" t="str">
        <f t="shared" si="161"/>
        <v>2026-09</v>
      </c>
      <c r="AC938" t="str">
        <f t="shared" si="162"/>
        <v>Q3-2026</v>
      </c>
      <c r="AD938" s="5">
        <f t="shared" si="163"/>
        <v>62</v>
      </c>
      <c r="AE938" t="str">
        <f t="shared" si="164"/>
        <v>Lost</v>
      </c>
    </row>
    <row r="939" spans="1:31">
      <c r="A939" t="s">
        <v>1041</v>
      </c>
      <c r="B939" s="1">
        <v>45798</v>
      </c>
      <c r="C939" t="s">
        <v>50</v>
      </c>
      <c r="D939" t="s">
        <v>43</v>
      </c>
      <c r="E939" t="s">
        <v>166</v>
      </c>
      <c r="F939" t="s">
        <v>45</v>
      </c>
      <c r="G939" t="s">
        <v>76</v>
      </c>
      <c r="H939" t="s">
        <v>84</v>
      </c>
      <c r="I939" t="s">
        <v>48</v>
      </c>
      <c r="J939" s="1">
        <v>46143</v>
      </c>
      <c r="K939" s="1"/>
      <c r="L939" s="3">
        <v>60300</v>
      </c>
      <c r="M939" s="4">
        <v>0</v>
      </c>
      <c r="N939" s="4">
        <v>0.85</v>
      </c>
      <c r="P939">
        <v>5</v>
      </c>
      <c r="Q939" t="str">
        <f>IFERROR(VLOOKUP(E939,Lookups!$A$5:$B$24,2,FALSE),"Other")</f>
        <v>Referral</v>
      </c>
      <c r="R939" t="str">
        <f>IFERROR(VLOOKUP(F939,Lookups!$D$5:$F$10,2,FALSE),"Unknown Product")</f>
        <v>Service Cloud</v>
      </c>
      <c r="S939" t="str">
        <f>IFERROR(VLOOKUP(F939,Lookups!$D$5:$F$10,3,FALSE),"Unknown")</f>
        <v>Customer Service</v>
      </c>
      <c r="T939" t="str">
        <f t="shared" si="154"/>
        <v>Enterprise</v>
      </c>
      <c r="U939" t="str">
        <f t="shared" si="155"/>
        <v>Open</v>
      </c>
      <c r="V939" s="3">
        <f t="shared" si="156"/>
        <v>0</v>
      </c>
      <c r="W939" s="3">
        <f t="shared" si="157"/>
        <v>51255</v>
      </c>
      <c r="X939" s="5" t="str">
        <f t="shared" si="158"/>
        <v/>
      </c>
      <c r="Y939" s="5">
        <f>IF(U939="Open",Lookups!$B$2-B939,X939)</f>
        <v>468</v>
      </c>
      <c r="Z939" t="str">
        <f t="shared" si="159"/>
        <v>STALE</v>
      </c>
      <c r="AA939" t="str">
        <f t="shared" si="160"/>
        <v>2025-05</v>
      </c>
      <c r="AB939" t="str">
        <f t="shared" si="161"/>
        <v/>
      </c>
      <c r="AC939" t="str">
        <f t="shared" si="162"/>
        <v>Q2-2025</v>
      </c>
      <c r="AD939" s="5">
        <f t="shared" si="163"/>
        <v>85</v>
      </c>
      <c r="AE939" t="str">
        <f t="shared" si="164"/>
        <v>Commit</v>
      </c>
    </row>
    <row r="940" spans="1:31">
      <c r="A940" t="s">
        <v>1042</v>
      </c>
      <c r="B940" s="1">
        <v>46209</v>
      </c>
      <c r="C940" t="s">
        <v>50</v>
      </c>
      <c r="D940" t="s">
        <v>43</v>
      </c>
      <c r="E940" t="s">
        <v>115</v>
      </c>
      <c r="F940" t="s">
        <v>133</v>
      </c>
      <c r="G940" t="s">
        <v>76</v>
      </c>
      <c r="H940" t="s">
        <v>53</v>
      </c>
      <c r="I940" t="s">
        <v>73</v>
      </c>
      <c r="J940" s="1">
        <v>46254</v>
      </c>
      <c r="K940" s="1"/>
      <c r="L940" s="3">
        <v>34700</v>
      </c>
      <c r="M940" s="4">
        <v>0</v>
      </c>
      <c r="N940" s="4">
        <v>0.2</v>
      </c>
      <c r="P940">
        <v>2</v>
      </c>
      <c r="Q940" t="str">
        <f>IFERROR(VLOOKUP(E940,Lookups!$A$5:$B$24,2,FALSE),"Other")</f>
        <v>Outbound</v>
      </c>
      <c r="R940" t="str">
        <f>IFERROR(VLOOKUP(F940,Lookups!$D$5:$F$10,2,FALSE),"Unknown Product")</f>
        <v>Analytics Plus</v>
      </c>
      <c r="S940" t="str">
        <f>IFERROR(VLOOKUP(F940,Lookups!$D$5:$F$10,3,FALSE),"Unknown")</f>
        <v>Analytics</v>
      </c>
      <c r="T940" t="str">
        <f t="shared" si="154"/>
        <v>Mid-Market</v>
      </c>
      <c r="U940" t="str">
        <f t="shared" si="155"/>
        <v>Open</v>
      </c>
      <c r="V940" s="3">
        <f t="shared" si="156"/>
        <v>0</v>
      </c>
      <c r="W940" s="3">
        <f t="shared" si="157"/>
        <v>6940</v>
      </c>
      <c r="X940" s="5" t="str">
        <f t="shared" si="158"/>
        <v/>
      </c>
      <c r="Y940" s="5">
        <f>IF(U940="Open",Lookups!$B$2-B940,X940)</f>
        <v>57</v>
      </c>
      <c r="Z940" t="str">
        <f t="shared" si="159"/>
        <v>STALE</v>
      </c>
      <c r="AA940" t="str">
        <f t="shared" si="160"/>
        <v>2026-07</v>
      </c>
      <c r="AB940" t="str">
        <f t="shared" si="161"/>
        <v/>
      </c>
      <c r="AC940" t="str">
        <f t="shared" si="162"/>
        <v>Q3-2026</v>
      </c>
      <c r="AD940" s="5">
        <f t="shared" si="163"/>
        <v>59</v>
      </c>
      <c r="AE940" t="str">
        <f t="shared" si="164"/>
        <v>Pipeline</v>
      </c>
    </row>
    <row r="941" spans="1:31">
      <c r="A941" t="s">
        <v>1043</v>
      </c>
      <c r="B941" s="1">
        <v>46137</v>
      </c>
      <c r="C941" t="s">
        <v>64</v>
      </c>
      <c r="D941" t="s">
        <v>57</v>
      </c>
      <c r="E941" t="s">
        <v>58</v>
      </c>
      <c r="F941" t="s">
        <v>52</v>
      </c>
      <c r="G941" t="s">
        <v>46</v>
      </c>
      <c r="H941" t="s">
        <v>47</v>
      </c>
      <c r="I941" t="s">
        <v>61</v>
      </c>
      <c r="J941" s="1">
        <v>46175</v>
      </c>
      <c r="K941" s="1">
        <v>46175</v>
      </c>
      <c r="L941" s="3">
        <v>4800</v>
      </c>
      <c r="M941" s="4">
        <v>0</v>
      </c>
      <c r="N941" s="4">
        <v>0</v>
      </c>
      <c r="O941" t="s">
        <v>116</v>
      </c>
      <c r="P941">
        <v>5</v>
      </c>
      <c r="Q941" t="str">
        <f>IFERROR(VLOOKUP(E941,Lookups!$A$5:$B$24,2,FALSE),"Other")</f>
        <v>Email</v>
      </c>
      <c r="R941" t="str">
        <f>IFERROR(VLOOKUP(F941,Lookups!$D$5:$F$10,2,FALSE),"Unknown Product")</f>
        <v>NexaCRM Core</v>
      </c>
      <c r="S941" t="str">
        <f>IFERROR(VLOOKUP(F941,Lookups!$D$5:$F$10,3,FALSE),"Unknown")</f>
        <v>CRM</v>
      </c>
      <c r="T941" t="str">
        <f t="shared" si="154"/>
        <v>SMB</v>
      </c>
      <c r="U941" t="str">
        <f t="shared" si="155"/>
        <v>Lost</v>
      </c>
      <c r="V941" s="3">
        <f t="shared" si="156"/>
        <v>0</v>
      </c>
      <c r="W941" s="3">
        <f t="shared" si="157"/>
        <v>0</v>
      </c>
      <c r="X941" s="5">
        <f t="shared" si="158"/>
        <v>38</v>
      </c>
      <c r="Y941" s="5">
        <f>IF(U941="Open",Lookups!$B$2-B941,X941)</f>
        <v>38</v>
      </c>
      <c r="Z941" t="str">
        <f t="shared" si="159"/>
        <v>OK</v>
      </c>
      <c r="AA941" t="str">
        <f t="shared" si="160"/>
        <v>2026-04</v>
      </c>
      <c r="AB941" t="str">
        <f t="shared" si="161"/>
        <v>2026-06</v>
      </c>
      <c r="AC941" t="str">
        <f t="shared" si="162"/>
        <v>Q2-2026</v>
      </c>
      <c r="AD941" s="5">
        <f t="shared" si="163"/>
        <v>47</v>
      </c>
      <c r="AE941" t="str">
        <f t="shared" si="164"/>
        <v>Lost</v>
      </c>
    </row>
    <row r="942" spans="1:31">
      <c r="A942" t="s">
        <v>1044</v>
      </c>
      <c r="B942" s="1">
        <v>45802</v>
      </c>
      <c r="C942" t="s">
        <v>69</v>
      </c>
      <c r="D942" t="s">
        <v>57</v>
      </c>
      <c r="E942" t="s">
        <v>160</v>
      </c>
      <c r="F942" t="s">
        <v>45</v>
      </c>
      <c r="G942" t="s">
        <v>72</v>
      </c>
      <c r="H942" t="s">
        <v>47</v>
      </c>
      <c r="I942" t="s">
        <v>48</v>
      </c>
      <c r="J942" s="1">
        <v>46088</v>
      </c>
      <c r="K942" s="1"/>
      <c r="L942" s="3">
        <v>18400</v>
      </c>
      <c r="M942" s="4">
        <v>0.03</v>
      </c>
      <c r="N942" s="4">
        <v>0.85</v>
      </c>
      <c r="P942">
        <v>5</v>
      </c>
      <c r="Q942" t="str">
        <f>IFERROR(VLOOKUP(E942,Lookups!$A$5:$B$24,2,FALSE),"Other")</f>
        <v>Email</v>
      </c>
      <c r="R942" t="str">
        <f>IFERROR(VLOOKUP(F942,Lookups!$D$5:$F$10,2,FALSE),"Unknown Product")</f>
        <v>Service Cloud</v>
      </c>
      <c r="S942" t="str">
        <f>IFERROR(VLOOKUP(F942,Lookups!$D$5:$F$10,3,FALSE),"Unknown")</f>
        <v>Customer Service</v>
      </c>
      <c r="T942" t="str">
        <f t="shared" si="154"/>
        <v>SMB</v>
      </c>
      <c r="U942" t="str">
        <f t="shared" si="155"/>
        <v>Open</v>
      </c>
      <c r="V942" s="3">
        <f t="shared" si="156"/>
        <v>0</v>
      </c>
      <c r="W942" s="3">
        <f t="shared" si="157"/>
        <v>15640</v>
      </c>
      <c r="X942" s="5" t="str">
        <f t="shared" si="158"/>
        <v/>
      </c>
      <c r="Y942" s="5">
        <f>IF(U942="Open",Lookups!$B$2-B942,X942)</f>
        <v>464</v>
      </c>
      <c r="Z942" t="str">
        <f t="shared" si="159"/>
        <v>STALE</v>
      </c>
      <c r="AA942" t="str">
        <f t="shared" si="160"/>
        <v>2025-05</v>
      </c>
      <c r="AB942" t="str">
        <f t="shared" si="161"/>
        <v/>
      </c>
      <c r="AC942" t="str">
        <f t="shared" si="162"/>
        <v>Q2-2025</v>
      </c>
      <c r="AD942" s="5">
        <f t="shared" si="163"/>
        <v>47</v>
      </c>
      <c r="AE942" t="str">
        <f t="shared" si="164"/>
        <v>Commit</v>
      </c>
    </row>
    <row r="943" spans="1:31">
      <c r="A943" t="s">
        <v>1045</v>
      </c>
      <c r="B943" s="1">
        <v>45965</v>
      </c>
      <c r="C943" t="s">
        <v>90</v>
      </c>
      <c r="D943" t="s">
        <v>57</v>
      </c>
      <c r="E943" t="s">
        <v>65</v>
      </c>
      <c r="F943" t="s">
        <v>59</v>
      </c>
      <c r="G943" t="s">
        <v>112</v>
      </c>
      <c r="H943" t="s">
        <v>53</v>
      </c>
      <c r="I943" t="s">
        <v>77</v>
      </c>
      <c r="J943" s="1">
        <v>46050</v>
      </c>
      <c r="K943" s="1">
        <v>46050</v>
      </c>
      <c r="L943" s="3">
        <v>22600</v>
      </c>
      <c r="M943" s="4">
        <v>0.03</v>
      </c>
      <c r="N943" s="4">
        <v>1</v>
      </c>
      <c r="P943">
        <v>6</v>
      </c>
      <c r="Q943" t="str">
        <f>IFERROR(VLOOKUP(E943,Lookups!$A$5:$B$24,2,FALSE),"Other")</f>
        <v>Paid Search</v>
      </c>
      <c r="R943" t="str">
        <f>IFERROR(VLOOKUP(F943,Lookups!$D$5:$F$10,2,FALSE),"Unknown Product")</f>
        <v>NexaCRM Pro</v>
      </c>
      <c r="S943" t="str">
        <f>IFERROR(VLOOKUP(F943,Lookups!$D$5:$F$10,3,FALSE),"Unknown")</f>
        <v>CRM</v>
      </c>
      <c r="T943" t="str">
        <f t="shared" si="154"/>
        <v>Mid-Market</v>
      </c>
      <c r="U943" t="str">
        <f t="shared" si="155"/>
        <v>Won</v>
      </c>
      <c r="V943" s="3">
        <f t="shared" si="156"/>
        <v>21922</v>
      </c>
      <c r="W943" s="3">
        <f t="shared" si="157"/>
        <v>0</v>
      </c>
      <c r="X943" s="5">
        <f t="shared" si="158"/>
        <v>85</v>
      </c>
      <c r="Y943" s="5">
        <f>IF(U943="Open",Lookups!$B$2-B943,X943)</f>
        <v>85</v>
      </c>
      <c r="Z943" t="str">
        <f t="shared" si="159"/>
        <v>OK</v>
      </c>
      <c r="AA943" t="str">
        <f t="shared" si="160"/>
        <v>2025-11</v>
      </c>
      <c r="AB943" t="str">
        <f t="shared" si="161"/>
        <v>2026-01</v>
      </c>
      <c r="AC943" t="str">
        <f t="shared" si="162"/>
        <v>Q4-2025</v>
      </c>
      <c r="AD943" s="5">
        <f t="shared" si="163"/>
        <v>64</v>
      </c>
      <c r="AE943" t="str">
        <f t="shared" si="164"/>
        <v>Won</v>
      </c>
    </row>
    <row r="944" spans="1:31">
      <c r="A944" t="s">
        <v>1046</v>
      </c>
      <c r="B944" s="1">
        <v>45663</v>
      </c>
      <c r="C944" t="s">
        <v>50</v>
      </c>
      <c r="D944" t="s">
        <v>43</v>
      </c>
      <c r="E944" t="s">
        <v>83</v>
      </c>
      <c r="F944" t="s">
        <v>71</v>
      </c>
      <c r="G944" t="s">
        <v>60</v>
      </c>
      <c r="H944" t="s">
        <v>47</v>
      </c>
      <c r="I944" t="s">
        <v>61</v>
      </c>
      <c r="J944" s="1">
        <v>45689</v>
      </c>
      <c r="K944" s="1">
        <v>45689</v>
      </c>
      <c r="L944" s="3">
        <v>11400</v>
      </c>
      <c r="M944" s="4">
        <v>0</v>
      </c>
      <c r="N944" s="4">
        <v>0</v>
      </c>
      <c r="O944" t="s">
        <v>116</v>
      </c>
      <c r="P944">
        <v>2</v>
      </c>
      <c r="Q944" t="str">
        <f>IFERROR(VLOOKUP(E944,Lookups!$A$5:$B$24,2,FALSE),"Other")</f>
        <v>Organic Search</v>
      </c>
      <c r="R944" t="str">
        <f>IFERROR(VLOOKUP(F944,Lookups!$D$5:$F$10,2,FALSE),"Unknown Product")</f>
        <v>Marketing Automation</v>
      </c>
      <c r="S944" t="str">
        <f>IFERROR(VLOOKUP(F944,Lookups!$D$5:$F$10,3,FALSE),"Unknown")</f>
        <v>Marketing</v>
      </c>
      <c r="T944" t="str">
        <f t="shared" si="154"/>
        <v>SMB</v>
      </c>
      <c r="U944" t="str">
        <f t="shared" si="155"/>
        <v>Lost</v>
      </c>
      <c r="V944" s="3">
        <f t="shared" si="156"/>
        <v>0</v>
      </c>
      <c r="W944" s="3">
        <f t="shared" si="157"/>
        <v>0</v>
      </c>
      <c r="X944" s="5">
        <f t="shared" si="158"/>
        <v>26</v>
      </c>
      <c r="Y944" s="5">
        <f>IF(U944="Open",Lookups!$B$2-B944,X944)</f>
        <v>26</v>
      </c>
      <c r="Z944" t="str">
        <f t="shared" si="159"/>
        <v>OK</v>
      </c>
      <c r="AA944" t="str">
        <f t="shared" si="160"/>
        <v>2025-01</v>
      </c>
      <c r="AB944" t="str">
        <f t="shared" si="161"/>
        <v>2025-02</v>
      </c>
      <c r="AC944" t="str">
        <f t="shared" si="162"/>
        <v>Q1-2025</v>
      </c>
      <c r="AD944" s="5">
        <f t="shared" si="163"/>
        <v>49</v>
      </c>
      <c r="AE944" t="str">
        <f t="shared" si="164"/>
        <v>Lost</v>
      </c>
    </row>
    <row r="945" spans="1:31">
      <c r="A945" t="s">
        <v>1047</v>
      </c>
      <c r="B945" s="1">
        <v>46061</v>
      </c>
      <c r="C945" t="s">
        <v>90</v>
      </c>
      <c r="D945" t="s">
        <v>57</v>
      </c>
      <c r="E945" t="s">
        <v>115</v>
      </c>
      <c r="F945" t="s">
        <v>52</v>
      </c>
      <c r="G945" t="s">
        <v>94</v>
      </c>
      <c r="H945" t="s">
        <v>53</v>
      </c>
      <c r="I945" t="s">
        <v>61</v>
      </c>
      <c r="J945" s="1">
        <v>46144</v>
      </c>
      <c r="K945" s="1">
        <v>46144</v>
      </c>
      <c r="L945" s="3">
        <v>12100</v>
      </c>
      <c r="M945" s="4">
        <v>0</v>
      </c>
      <c r="N945" s="4">
        <v>0</v>
      </c>
      <c r="O945" t="s">
        <v>116</v>
      </c>
      <c r="P945">
        <v>3</v>
      </c>
      <c r="Q945" t="str">
        <f>IFERROR(VLOOKUP(E945,Lookups!$A$5:$B$24,2,FALSE),"Other")</f>
        <v>Outbound</v>
      </c>
      <c r="R945" t="str">
        <f>IFERROR(VLOOKUP(F945,Lookups!$D$5:$F$10,2,FALSE),"Unknown Product")</f>
        <v>NexaCRM Core</v>
      </c>
      <c r="S945" t="str">
        <f>IFERROR(VLOOKUP(F945,Lookups!$D$5:$F$10,3,FALSE),"Unknown")</f>
        <v>CRM</v>
      </c>
      <c r="T945" t="str">
        <f t="shared" si="154"/>
        <v>SMB</v>
      </c>
      <c r="U945" t="str">
        <f t="shared" si="155"/>
        <v>Lost</v>
      </c>
      <c r="V945" s="3">
        <f t="shared" si="156"/>
        <v>0</v>
      </c>
      <c r="W945" s="3">
        <f t="shared" si="157"/>
        <v>0</v>
      </c>
      <c r="X945" s="5">
        <f t="shared" si="158"/>
        <v>83</v>
      </c>
      <c r="Y945" s="5">
        <f>IF(U945="Open",Lookups!$B$2-B945,X945)</f>
        <v>83</v>
      </c>
      <c r="Z945" t="str">
        <f t="shared" si="159"/>
        <v>OK</v>
      </c>
      <c r="AA945" t="str">
        <f t="shared" si="160"/>
        <v>2026-02</v>
      </c>
      <c r="AB945" t="str">
        <f t="shared" si="161"/>
        <v>2026-05</v>
      </c>
      <c r="AC945" t="str">
        <f t="shared" si="162"/>
        <v>Q1-2026</v>
      </c>
      <c r="AD945" s="5">
        <f t="shared" si="163"/>
        <v>51</v>
      </c>
      <c r="AE945" t="str">
        <f t="shared" si="164"/>
        <v>Lost</v>
      </c>
    </row>
    <row r="946" spans="1:31">
      <c r="A946" t="s">
        <v>1048</v>
      </c>
      <c r="B946" s="1">
        <v>46122</v>
      </c>
      <c r="C946" t="s">
        <v>42</v>
      </c>
      <c r="D946" t="s">
        <v>43</v>
      </c>
      <c r="E946" t="s">
        <v>44</v>
      </c>
      <c r="F946" t="s">
        <v>67</v>
      </c>
      <c r="G946" t="s">
        <v>112</v>
      </c>
      <c r="H946" t="s">
        <v>53</v>
      </c>
      <c r="I946" t="s">
        <v>61</v>
      </c>
      <c r="J946" s="1">
        <v>46176</v>
      </c>
      <c r="K946" s="1">
        <v>46176</v>
      </c>
      <c r="L946" s="3">
        <v>62700</v>
      </c>
      <c r="M946" s="4">
        <v>0</v>
      </c>
      <c r="N946" s="4">
        <v>0</v>
      </c>
      <c r="O946" t="s">
        <v>102</v>
      </c>
      <c r="P946">
        <v>4</v>
      </c>
      <c r="Q946" t="str">
        <f>IFERROR(VLOOKUP(E946,Lookups!$A$5:$B$24,2,FALSE),"Other")</f>
        <v>Organic Search</v>
      </c>
      <c r="R946" t="str">
        <f>IFERROR(VLOOKUP(F946,Lookups!$D$5:$F$10,2,FALSE),"Unknown Product")</f>
        <v>Revenue Operations Suite</v>
      </c>
      <c r="S946" t="str">
        <f>IFERROR(VLOOKUP(F946,Lookups!$D$5:$F$10,3,FALSE),"Unknown")</f>
        <v>Revenue Ops</v>
      </c>
      <c r="T946" t="str">
        <f t="shared" si="154"/>
        <v>Enterprise</v>
      </c>
      <c r="U946" t="str">
        <f t="shared" si="155"/>
        <v>Lost</v>
      </c>
      <c r="V946" s="3">
        <f t="shared" si="156"/>
        <v>0</v>
      </c>
      <c r="W946" s="3">
        <f t="shared" si="157"/>
        <v>0</v>
      </c>
      <c r="X946" s="5">
        <f t="shared" si="158"/>
        <v>54</v>
      </c>
      <c r="Y946" s="5">
        <f>IF(U946="Open",Lookups!$B$2-B946,X946)</f>
        <v>54</v>
      </c>
      <c r="Z946" t="str">
        <f t="shared" si="159"/>
        <v>OK</v>
      </c>
      <c r="AA946" t="str">
        <f t="shared" si="160"/>
        <v>2026-04</v>
      </c>
      <c r="AB946" t="str">
        <f t="shared" si="161"/>
        <v>2026-06</v>
      </c>
      <c r="AC946" t="str">
        <f t="shared" si="162"/>
        <v>Q2-2026</v>
      </c>
      <c r="AD946" s="5">
        <f t="shared" si="163"/>
        <v>77</v>
      </c>
      <c r="AE946" t="str">
        <f t="shared" si="164"/>
        <v>Lost</v>
      </c>
    </row>
    <row r="947" spans="1:31">
      <c r="A947" t="s">
        <v>1049</v>
      </c>
      <c r="B947" s="1">
        <v>45745</v>
      </c>
      <c r="C947" t="s">
        <v>69</v>
      </c>
      <c r="D947" t="s">
        <v>57</v>
      </c>
      <c r="E947" t="s">
        <v>51</v>
      </c>
      <c r="F947" t="s">
        <v>71</v>
      </c>
      <c r="G947" t="s">
        <v>46</v>
      </c>
      <c r="H947" t="s">
        <v>53</v>
      </c>
      <c r="I947" t="s">
        <v>61</v>
      </c>
      <c r="J947" s="1">
        <v>45785</v>
      </c>
      <c r="K947" s="1">
        <v>45785</v>
      </c>
      <c r="L947" s="3">
        <v>17600</v>
      </c>
      <c r="M947" s="4">
        <v>0</v>
      </c>
      <c r="N947" s="4">
        <v>0</v>
      </c>
      <c r="O947" t="s">
        <v>110</v>
      </c>
      <c r="P947">
        <v>4</v>
      </c>
      <c r="Q947" t="str">
        <f>IFERROR(VLOOKUP(E947,Lookups!$A$5:$B$24,2,FALSE),"Other")</f>
        <v>Paid Search</v>
      </c>
      <c r="R947" t="str">
        <f>IFERROR(VLOOKUP(F947,Lookups!$D$5:$F$10,2,FALSE),"Unknown Product")</f>
        <v>Marketing Automation</v>
      </c>
      <c r="S947" t="str">
        <f>IFERROR(VLOOKUP(F947,Lookups!$D$5:$F$10,3,FALSE),"Unknown")</f>
        <v>Marketing</v>
      </c>
      <c r="T947" t="str">
        <f t="shared" si="154"/>
        <v>SMB</v>
      </c>
      <c r="U947" t="str">
        <f t="shared" si="155"/>
        <v>Lost</v>
      </c>
      <c r="V947" s="3">
        <f t="shared" si="156"/>
        <v>0</v>
      </c>
      <c r="W947" s="3">
        <f t="shared" si="157"/>
        <v>0</v>
      </c>
      <c r="X947" s="5">
        <f t="shared" si="158"/>
        <v>40</v>
      </c>
      <c r="Y947" s="5">
        <f>IF(U947="Open",Lookups!$B$2-B947,X947)</f>
        <v>40</v>
      </c>
      <c r="Z947" t="str">
        <f t="shared" si="159"/>
        <v>OK</v>
      </c>
      <c r="AA947" t="str">
        <f t="shared" si="160"/>
        <v>2025-03</v>
      </c>
      <c r="AB947" t="str">
        <f t="shared" si="161"/>
        <v>2025-05</v>
      </c>
      <c r="AC947" t="str">
        <f t="shared" si="162"/>
        <v>Q1-2025</v>
      </c>
      <c r="AD947" s="5">
        <f t="shared" si="163"/>
        <v>51</v>
      </c>
      <c r="AE947" t="str">
        <f t="shared" si="164"/>
        <v>Lost</v>
      </c>
    </row>
    <row r="948" spans="1:31">
      <c r="A948" t="s">
        <v>1050</v>
      </c>
      <c r="B948" s="1">
        <v>46070</v>
      </c>
      <c r="C948" t="s">
        <v>90</v>
      </c>
      <c r="D948" t="s">
        <v>57</v>
      </c>
      <c r="E948" t="s">
        <v>58</v>
      </c>
      <c r="F948" t="s">
        <v>45</v>
      </c>
      <c r="G948" t="s">
        <v>99</v>
      </c>
      <c r="H948" t="s">
        <v>47</v>
      </c>
      <c r="I948" t="s">
        <v>61</v>
      </c>
      <c r="J948" s="1">
        <v>46140</v>
      </c>
      <c r="K948" s="1">
        <v>46140</v>
      </c>
      <c r="L948" s="3">
        <v>20800</v>
      </c>
      <c r="M948" s="4">
        <v>0</v>
      </c>
      <c r="N948" s="4">
        <v>0</v>
      </c>
      <c r="O948" t="s">
        <v>81</v>
      </c>
      <c r="P948">
        <v>3</v>
      </c>
      <c r="Q948" t="str">
        <f>IFERROR(VLOOKUP(E948,Lookups!$A$5:$B$24,2,FALSE),"Other")</f>
        <v>Email</v>
      </c>
      <c r="R948" t="str">
        <f>IFERROR(VLOOKUP(F948,Lookups!$D$5:$F$10,2,FALSE),"Unknown Product")</f>
        <v>Service Cloud</v>
      </c>
      <c r="S948" t="str">
        <f>IFERROR(VLOOKUP(F948,Lookups!$D$5:$F$10,3,FALSE),"Unknown")</f>
        <v>Customer Service</v>
      </c>
      <c r="T948" t="str">
        <f t="shared" si="154"/>
        <v>Mid-Market</v>
      </c>
      <c r="U948" t="str">
        <f t="shared" si="155"/>
        <v>Lost</v>
      </c>
      <c r="V948" s="3">
        <f t="shared" si="156"/>
        <v>0</v>
      </c>
      <c r="W948" s="3">
        <f t="shared" si="157"/>
        <v>0</v>
      </c>
      <c r="X948" s="5">
        <f t="shared" si="158"/>
        <v>70</v>
      </c>
      <c r="Y948" s="5">
        <f>IF(U948="Open",Lookups!$B$2-B948,X948)</f>
        <v>70</v>
      </c>
      <c r="Z948" t="str">
        <f t="shared" si="159"/>
        <v>OK</v>
      </c>
      <c r="AA948" t="str">
        <f t="shared" si="160"/>
        <v>2026-02</v>
      </c>
      <c r="AB948" t="str">
        <f t="shared" si="161"/>
        <v>2026-04</v>
      </c>
      <c r="AC948" t="str">
        <f t="shared" si="162"/>
        <v>Q1-2026</v>
      </c>
      <c r="AD948" s="5">
        <f t="shared" si="163"/>
        <v>55</v>
      </c>
      <c r="AE948" t="str">
        <f t="shared" si="164"/>
        <v>Lost</v>
      </c>
    </row>
    <row r="949" spans="1:31">
      <c r="A949" t="s">
        <v>1051</v>
      </c>
      <c r="B949" s="1">
        <v>46040</v>
      </c>
      <c r="C949" t="s">
        <v>42</v>
      </c>
      <c r="D949" t="s">
        <v>43</v>
      </c>
      <c r="E949" t="s">
        <v>119</v>
      </c>
      <c r="F949" t="s">
        <v>45</v>
      </c>
      <c r="G949" t="s">
        <v>72</v>
      </c>
      <c r="H949" t="s">
        <v>53</v>
      </c>
      <c r="I949" t="s">
        <v>61</v>
      </c>
      <c r="J949" s="1">
        <v>46068</v>
      </c>
      <c r="K949" s="1">
        <v>46068</v>
      </c>
      <c r="L949" s="3">
        <v>46000</v>
      </c>
      <c r="M949" s="4">
        <v>0</v>
      </c>
      <c r="N949" s="4">
        <v>0</v>
      </c>
      <c r="O949" t="s">
        <v>81</v>
      </c>
      <c r="P949">
        <v>5</v>
      </c>
      <c r="Q949" t="str">
        <f>IFERROR(VLOOKUP(E949,Lookups!$A$5:$B$24,2,FALSE),"Other")</f>
        <v>Referral</v>
      </c>
      <c r="R949" t="str">
        <f>IFERROR(VLOOKUP(F949,Lookups!$D$5:$F$10,2,FALSE),"Unknown Product")</f>
        <v>Service Cloud</v>
      </c>
      <c r="S949" t="str">
        <f>IFERROR(VLOOKUP(F949,Lookups!$D$5:$F$10,3,FALSE),"Unknown")</f>
        <v>Customer Service</v>
      </c>
      <c r="T949" t="str">
        <f t="shared" si="154"/>
        <v>Mid-Market</v>
      </c>
      <c r="U949" t="str">
        <f t="shared" si="155"/>
        <v>Lost</v>
      </c>
      <c r="V949" s="3">
        <f t="shared" si="156"/>
        <v>0</v>
      </c>
      <c r="W949" s="3">
        <f t="shared" si="157"/>
        <v>0</v>
      </c>
      <c r="X949" s="5">
        <f t="shared" si="158"/>
        <v>28</v>
      </c>
      <c r="Y949" s="5">
        <f>IF(U949="Open",Lookups!$B$2-B949,X949)</f>
        <v>28</v>
      </c>
      <c r="Z949" t="str">
        <f t="shared" si="159"/>
        <v>OK</v>
      </c>
      <c r="AA949" t="str">
        <f t="shared" si="160"/>
        <v>2026-01</v>
      </c>
      <c r="AB949" t="str">
        <f t="shared" si="161"/>
        <v>2026-02</v>
      </c>
      <c r="AC949" t="str">
        <f t="shared" si="162"/>
        <v>Q1-2026</v>
      </c>
      <c r="AD949" s="5">
        <f t="shared" si="163"/>
        <v>70</v>
      </c>
      <c r="AE949" t="str">
        <f t="shared" si="164"/>
        <v>Lost</v>
      </c>
    </row>
    <row r="950" spans="1:31">
      <c r="A950" t="s">
        <v>1052</v>
      </c>
      <c r="B950" s="1">
        <v>45668</v>
      </c>
      <c r="C950" t="s">
        <v>90</v>
      </c>
      <c r="D950" t="s">
        <v>57</v>
      </c>
      <c r="E950" t="s">
        <v>98</v>
      </c>
      <c r="F950" t="s">
        <v>52</v>
      </c>
      <c r="G950" t="s">
        <v>112</v>
      </c>
      <c r="H950" t="s">
        <v>84</v>
      </c>
      <c r="I950" t="s">
        <v>61</v>
      </c>
      <c r="J950" s="1">
        <v>45688</v>
      </c>
      <c r="K950" s="1">
        <v>45688</v>
      </c>
      <c r="L950" s="3">
        <v>17300</v>
      </c>
      <c r="M950" s="4">
        <v>0</v>
      </c>
      <c r="N950" s="4">
        <v>0</v>
      </c>
      <c r="O950" t="s">
        <v>62</v>
      </c>
      <c r="P950">
        <v>4</v>
      </c>
      <c r="Q950" t="str">
        <f>IFERROR(VLOOKUP(E950,Lookups!$A$5:$B$24,2,FALSE),"Other")</f>
        <v>Outbound</v>
      </c>
      <c r="R950" t="str">
        <f>IFERROR(VLOOKUP(F950,Lookups!$D$5:$F$10,2,FALSE),"Unknown Product")</f>
        <v>NexaCRM Core</v>
      </c>
      <c r="S950" t="str">
        <f>IFERROR(VLOOKUP(F950,Lookups!$D$5:$F$10,3,FALSE),"Unknown")</f>
        <v>CRM</v>
      </c>
      <c r="T950" t="str">
        <f t="shared" si="154"/>
        <v>SMB</v>
      </c>
      <c r="U950" t="str">
        <f t="shared" si="155"/>
        <v>Lost</v>
      </c>
      <c r="V950" s="3">
        <f t="shared" si="156"/>
        <v>0</v>
      </c>
      <c r="W950" s="3">
        <f t="shared" si="157"/>
        <v>0</v>
      </c>
      <c r="X950" s="5">
        <f t="shared" si="158"/>
        <v>20</v>
      </c>
      <c r="Y950" s="5">
        <f>IF(U950="Open",Lookups!$B$2-B950,X950)</f>
        <v>20</v>
      </c>
      <c r="Z950" t="str">
        <f t="shared" si="159"/>
        <v>OK</v>
      </c>
      <c r="AA950" t="str">
        <f t="shared" si="160"/>
        <v>2025-01</v>
      </c>
      <c r="AB950" t="str">
        <f t="shared" si="161"/>
        <v>2025-01</v>
      </c>
      <c r="AC950" t="str">
        <f t="shared" si="162"/>
        <v>Q1-2025</v>
      </c>
      <c r="AD950" s="5">
        <f t="shared" si="163"/>
        <v>64</v>
      </c>
      <c r="AE950" t="str">
        <f t="shared" si="164"/>
        <v>Lost</v>
      </c>
    </row>
    <row r="951" spans="1:31">
      <c r="A951" t="s">
        <v>1053</v>
      </c>
      <c r="B951" s="1">
        <v>45740</v>
      </c>
      <c r="C951" t="s">
        <v>90</v>
      </c>
      <c r="D951" t="s">
        <v>57</v>
      </c>
      <c r="E951" t="s">
        <v>75</v>
      </c>
      <c r="F951" t="s">
        <v>133</v>
      </c>
      <c r="G951" t="s">
        <v>76</v>
      </c>
      <c r="H951" t="s">
        <v>47</v>
      </c>
      <c r="I951" t="s">
        <v>77</v>
      </c>
      <c r="J951" s="1">
        <v>45792</v>
      </c>
      <c r="K951" s="1">
        <v>45792</v>
      </c>
      <c r="L951" s="3">
        <v>20500</v>
      </c>
      <c r="M951" s="4">
        <v>0.1</v>
      </c>
      <c r="N951" s="4">
        <v>1</v>
      </c>
      <c r="P951">
        <v>6</v>
      </c>
      <c r="Q951" t="str">
        <f>IFERROR(VLOOKUP(E951,Lookups!$A$5:$B$24,2,FALSE),"Other")</f>
        <v>Webinar</v>
      </c>
      <c r="R951" t="str">
        <f>IFERROR(VLOOKUP(F951,Lookups!$D$5:$F$10,2,FALSE),"Unknown Product")</f>
        <v>Analytics Plus</v>
      </c>
      <c r="S951" t="str">
        <f>IFERROR(VLOOKUP(F951,Lookups!$D$5:$F$10,3,FALSE),"Unknown")</f>
        <v>Analytics</v>
      </c>
      <c r="T951" t="str">
        <f t="shared" si="154"/>
        <v>Mid-Market</v>
      </c>
      <c r="U951" t="str">
        <f t="shared" si="155"/>
        <v>Won</v>
      </c>
      <c r="V951" s="3">
        <f t="shared" si="156"/>
        <v>18450</v>
      </c>
      <c r="W951" s="3">
        <f t="shared" si="157"/>
        <v>0</v>
      </c>
      <c r="X951" s="5">
        <f t="shared" si="158"/>
        <v>52</v>
      </c>
      <c r="Y951" s="5">
        <f>IF(U951="Open",Lookups!$B$2-B951,X951)</f>
        <v>52</v>
      </c>
      <c r="Z951" t="str">
        <f t="shared" si="159"/>
        <v>OK</v>
      </c>
      <c r="AA951" t="str">
        <f t="shared" si="160"/>
        <v>2025-03</v>
      </c>
      <c r="AB951" t="str">
        <f t="shared" si="161"/>
        <v>2025-05</v>
      </c>
      <c r="AC951" t="str">
        <f t="shared" si="162"/>
        <v>Q1-2025</v>
      </c>
      <c r="AD951" s="5">
        <f t="shared" si="163"/>
        <v>51</v>
      </c>
      <c r="AE951" t="str">
        <f t="shared" si="164"/>
        <v>Won</v>
      </c>
    </row>
    <row r="952" spans="1:31">
      <c r="A952" t="s">
        <v>1054</v>
      </c>
      <c r="B952" s="1">
        <v>45848</v>
      </c>
      <c r="C952" t="s">
        <v>56</v>
      </c>
      <c r="D952" t="s">
        <v>57</v>
      </c>
      <c r="E952" t="s">
        <v>109</v>
      </c>
      <c r="F952" t="s">
        <v>59</v>
      </c>
      <c r="G952" t="s">
        <v>72</v>
      </c>
      <c r="H952" t="s">
        <v>47</v>
      </c>
      <c r="I952" t="s">
        <v>48</v>
      </c>
      <c r="J952" s="1">
        <v>46115</v>
      </c>
      <c r="K952" s="1"/>
      <c r="L952" s="3">
        <v>25000</v>
      </c>
      <c r="M952" s="4">
        <v>0</v>
      </c>
      <c r="N952" s="4">
        <v>0.85</v>
      </c>
      <c r="P952">
        <v>5</v>
      </c>
      <c r="Q952" t="str">
        <f>IFERROR(VLOOKUP(E952,Lookups!$A$5:$B$24,2,FALSE),"Other")</f>
        <v>Outbound</v>
      </c>
      <c r="R952" t="str">
        <f>IFERROR(VLOOKUP(F952,Lookups!$D$5:$F$10,2,FALSE),"Unknown Product")</f>
        <v>NexaCRM Pro</v>
      </c>
      <c r="S952" t="str">
        <f>IFERROR(VLOOKUP(F952,Lookups!$D$5:$F$10,3,FALSE),"Unknown")</f>
        <v>CRM</v>
      </c>
      <c r="T952" t="str">
        <f t="shared" si="154"/>
        <v>Mid-Market</v>
      </c>
      <c r="U952" t="str">
        <f t="shared" si="155"/>
        <v>Open</v>
      </c>
      <c r="V952" s="3">
        <f t="shared" si="156"/>
        <v>0</v>
      </c>
      <c r="W952" s="3">
        <f t="shared" si="157"/>
        <v>21250</v>
      </c>
      <c r="X952" s="5" t="str">
        <f t="shared" si="158"/>
        <v/>
      </c>
      <c r="Y952" s="5">
        <f>IF(U952="Open",Lookups!$B$2-B952,X952)</f>
        <v>418</v>
      </c>
      <c r="Z952" t="str">
        <f t="shared" si="159"/>
        <v>STALE</v>
      </c>
      <c r="AA952" t="str">
        <f t="shared" si="160"/>
        <v>2025-07</v>
      </c>
      <c r="AB952" t="str">
        <f t="shared" si="161"/>
        <v/>
      </c>
      <c r="AC952" t="str">
        <f t="shared" si="162"/>
        <v>Q3-2025</v>
      </c>
      <c r="AD952" s="5">
        <f t="shared" si="163"/>
        <v>51</v>
      </c>
      <c r="AE952" t="str">
        <f t="shared" si="164"/>
        <v>Commit</v>
      </c>
    </row>
    <row r="953" spans="1:31">
      <c r="A953" t="s">
        <v>1055</v>
      </c>
      <c r="B953" s="1">
        <v>45862</v>
      </c>
      <c r="C953" t="s">
        <v>56</v>
      </c>
      <c r="D953" t="s">
        <v>57</v>
      </c>
      <c r="E953" t="s">
        <v>70</v>
      </c>
      <c r="F953" t="s">
        <v>59</v>
      </c>
      <c r="G953" t="s">
        <v>94</v>
      </c>
      <c r="H953" t="s">
        <v>53</v>
      </c>
      <c r="I953" t="s">
        <v>77</v>
      </c>
      <c r="J953" s="1">
        <v>45904</v>
      </c>
      <c r="K953" s="1">
        <v>45904</v>
      </c>
      <c r="L953" s="3">
        <v>21500</v>
      </c>
      <c r="M953" s="4">
        <v>0</v>
      </c>
      <c r="N953" s="4">
        <v>1</v>
      </c>
      <c r="P953">
        <v>6</v>
      </c>
      <c r="Q953" t="str">
        <f>IFERROR(VLOOKUP(E953,Lookups!$A$5:$B$24,2,FALSE),"Other")</f>
        <v>LinkedIn</v>
      </c>
      <c r="R953" t="str">
        <f>IFERROR(VLOOKUP(F953,Lookups!$D$5:$F$10,2,FALSE),"Unknown Product")</f>
        <v>NexaCRM Pro</v>
      </c>
      <c r="S953" t="str">
        <f>IFERROR(VLOOKUP(F953,Lookups!$D$5:$F$10,3,FALSE),"Unknown")</f>
        <v>CRM</v>
      </c>
      <c r="T953" t="str">
        <f t="shared" si="154"/>
        <v>Mid-Market</v>
      </c>
      <c r="U953" t="str">
        <f t="shared" si="155"/>
        <v>Won</v>
      </c>
      <c r="V953" s="3">
        <f t="shared" si="156"/>
        <v>21500</v>
      </c>
      <c r="W953" s="3">
        <f t="shared" si="157"/>
        <v>0</v>
      </c>
      <c r="X953" s="5">
        <f t="shared" si="158"/>
        <v>42</v>
      </c>
      <c r="Y953" s="5">
        <f>IF(U953="Open",Lookups!$B$2-B953,X953)</f>
        <v>42</v>
      </c>
      <c r="Z953" t="str">
        <f t="shared" si="159"/>
        <v>OK</v>
      </c>
      <c r="AA953" t="str">
        <f t="shared" si="160"/>
        <v>2025-07</v>
      </c>
      <c r="AB953" t="str">
        <f t="shared" si="161"/>
        <v>2025-09</v>
      </c>
      <c r="AC953" t="str">
        <f t="shared" si="162"/>
        <v>Q3-2025</v>
      </c>
      <c r="AD953" s="5">
        <f t="shared" si="163"/>
        <v>59</v>
      </c>
      <c r="AE953" t="str">
        <f t="shared" si="164"/>
        <v>Won</v>
      </c>
    </row>
    <row r="954" spans="1:31">
      <c r="A954" t="s">
        <v>1056</v>
      </c>
      <c r="B954" s="1">
        <v>45685</v>
      </c>
      <c r="C954" t="s">
        <v>42</v>
      </c>
      <c r="D954" t="s">
        <v>43</v>
      </c>
      <c r="E954" t="s">
        <v>166</v>
      </c>
      <c r="F954" t="s">
        <v>59</v>
      </c>
      <c r="G954" t="s">
        <v>112</v>
      </c>
      <c r="H954" t="s">
        <v>47</v>
      </c>
      <c r="I954" t="s">
        <v>77</v>
      </c>
      <c r="J954" s="1">
        <v>45775</v>
      </c>
      <c r="K954" s="1">
        <v>45775</v>
      </c>
      <c r="L954" s="3">
        <v>12000</v>
      </c>
      <c r="M954" s="4">
        <v>0.08</v>
      </c>
      <c r="N954" s="4">
        <v>1</v>
      </c>
      <c r="P954">
        <v>6</v>
      </c>
      <c r="Q954" t="str">
        <f>IFERROR(VLOOKUP(E954,Lookups!$A$5:$B$24,2,FALSE),"Other")</f>
        <v>Referral</v>
      </c>
      <c r="R954" t="str">
        <f>IFERROR(VLOOKUP(F954,Lookups!$D$5:$F$10,2,FALSE),"Unknown Product")</f>
        <v>NexaCRM Pro</v>
      </c>
      <c r="S954" t="str">
        <f>IFERROR(VLOOKUP(F954,Lookups!$D$5:$F$10,3,FALSE),"Unknown")</f>
        <v>CRM</v>
      </c>
      <c r="T954" t="str">
        <f t="shared" si="154"/>
        <v>SMB</v>
      </c>
      <c r="U954" t="str">
        <f t="shared" si="155"/>
        <v>Won</v>
      </c>
      <c r="V954" s="3">
        <f t="shared" si="156"/>
        <v>11040</v>
      </c>
      <c r="W954" s="3">
        <f t="shared" si="157"/>
        <v>0</v>
      </c>
      <c r="X954" s="5">
        <f t="shared" si="158"/>
        <v>90</v>
      </c>
      <c r="Y954" s="5">
        <f>IF(U954="Open",Lookups!$B$2-B954,X954)</f>
        <v>90</v>
      </c>
      <c r="Z954" t="str">
        <f t="shared" si="159"/>
        <v>OK</v>
      </c>
      <c r="AA954" t="str">
        <f t="shared" si="160"/>
        <v>2025-01</v>
      </c>
      <c r="AB954" t="str">
        <f t="shared" si="161"/>
        <v>2025-04</v>
      </c>
      <c r="AC954" t="str">
        <f t="shared" si="162"/>
        <v>Q1-2025</v>
      </c>
      <c r="AD954" s="5">
        <f t="shared" si="163"/>
        <v>59</v>
      </c>
      <c r="AE954" t="str">
        <f t="shared" si="164"/>
        <v>Won</v>
      </c>
    </row>
    <row r="955" spans="1:31">
      <c r="A955" t="s">
        <v>1057</v>
      </c>
      <c r="B955" s="1">
        <v>45677</v>
      </c>
      <c r="C955" t="s">
        <v>56</v>
      </c>
      <c r="D955" t="s">
        <v>57</v>
      </c>
      <c r="E955" t="s">
        <v>160</v>
      </c>
      <c r="F955" t="s">
        <v>52</v>
      </c>
      <c r="G955" t="s">
        <v>46</v>
      </c>
      <c r="H955" t="s">
        <v>53</v>
      </c>
      <c r="I955" t="s">
        <v>61</v>
      </c>
      <c r="J955" s="1">
        <v>45712</v>
      </c>
      <c r="K955" s="1">
        <v>45712</v>
      </c>
      <c r="L955" s="3">
        <v>12600</v>
      </c>
      <c r="M955" s="4">
        <v>0</v>
      </c>
      <c r="N955" s="4">
        <v>0</v>
      </c>
      <c r="O955" t="s">
        <v>62</v>
      </c>
      <c r="P955">
        <v>4</v>
      </c>
      <c r="Q955" t="str">
        <f>IFERROR(VLOOKUP(E955,Lookups!$A$5:$B$24,2,FALSE),"Other")</f>
        <v>Email</v>
      </c>
      <c r="R955" t="str">
        <f>IFERROR(VLOOKUP(F955,Lookups!$D$5:$F$10,2,FALSE),"Unknown Product")</f>
        <v>NexaCRM Core</v>
      </c>
      <c r="S955" t="str">
        <f>IFERROR(VLOOKUP(F955,Lookups!$D$5:$F$10,3,FALSE),"Unknown")</f>
        <v>CRM</v>
      </c>
      <c r="T955" t="str">
        <f t="shared" si="154"/>
        <v>SMB</v>
      </c>
      <c r="U955" t="str">
        <f t="shared" si="155"/>
        <v>Lost</v>
      </c>
      <c r="V955" s="3">
        <f t="shared" si="156"/>
        <v>0</v>
      </c>
      <c r="W955" s="3">
        <f t="shared" si="157"/>
        <v>0</v>
      </c>
      <c r="X955" s="5">
        <f t="shared" si="158"/>
        <v>35</v>
      </c>
      <c r="Y955" s="5">
        <f>IF(U955="Open",Lookups!$B$2-B955,X955)</f>
        <v>35</v>
      </c>
      <c r="Z955" t="str">
        <f t="shared" si="159"/>
        <v>OK</v>
      </c>
      <c r="AA955" t="str">
        <f t="shared" si="160"/>
        <v>2025-01</v>
      </c>
      <c r="AB955" t="str">
        <f t="shared" si="161"/>
        <v>2025-02</v>
      </c>
      <c r="AC955" t="str">
        <f t="shared" si="162"/>
        <v>Q1-2025</v>
      </c>
      <c r="AD955" s="5">
        <f t="shared" si="163"/>
        <v>55</v>
      </c>
      <c r="AE955" t="str">
        <f t="shared" si="164"/>
        <v>Lost</v>
      </c>
    </row>
    <row r="956" spans="1:31">
      <c r="A956" t="s">
        <v>1058</v>
      </c>
      <c r="B956" s="1">
        <v>46175</v>
      </c>
      <c r="C956" t="s">
        <v>50</v>
      </c>
      <c r="D956" t="s">
        <v>43</v>
      </c>
      <c r="E956" t="s">
        <v>44</v>
      </c>
      <c r="F956" t="s">
        <v>133</v>
      </c>
      <c r="G956" t="s">
        <v>112</v>
      </c>
      <c r="H956" t="s">
        <v>47</v>
      </c>
      <c r="I956" t="s">
        <v>105</v>
      </c>
      <c r="J956" s="1">
        <v>46253</v>
      </c>
      <c r="K956" s="1"/>
      <c r="L956" s="3">
        <v>16100</v>
      </c>
      <c r="M956" s="4">
        <v>0</v>
      </c>
      <c r="N956" s="4">
        <v>0.4</v>
      </c>
      <c r="P956">
        <v>3</v>
      </c>
      <c r="Q956" t="str">
        <f>IFERROR(VLOOKUP(E956,Lookups!$A$5:$B$24,2,FALSE),"Other")</f>
        <v>Organic Search</v>
      </c>
      <c r="R956" t="str">
        <f>IFERROR(VLOOKUP(F956,Lookups!$D$5:$F$10,2,FALSE),"Unknown Product")</f>
        <v>Analytics Plus</v>
      </c>
      <c r="S956" t="str">
        <f>IFERROR(VLOOKUP(F956,Lookups!$D$5:$F$10,3,FALSE),"Unknown")</f>
        <v>Analytics</v>
      </c>
      <c r="T956" t="str">
        <f t="shared" si="154"/>
        <v>SMB</v>
      </c>
      <c r="U956" t="str">
        <f t="shared" si="155"/>
        <v>Open</v>
      </c>
      <c r="V956" s="3">
        <f t="shared" si="156"/>
        <v>0</v>
      </c>
      <c r="W956" s="3">
        <f t="shared" si="157"/>
        <v>6440</v>
      </c>
      <c r="X956" s="5" t="str">
        <f t="shared" si="158"/>
        <v/>
      </c>
      <c r="Y956" s="5">
        <f>IF(U956="Open",Lookups!$B$2-B956,X956)</f>
        <v>91</v>
      </c>
      <c r="Z956" t="str">
        <f t="shared" si="159"/>
        <v>STALE</v>
      </c>
      <c r="AA956" t="str">
        <f t="shared" si="160"/>
        <v>2026-06</v>
      </c>
      <c r="AB956" t="str">
        <f t="shared" si="161"/>
        <v/>
      </c>
      <c r="AC956" t="str">
        <f t="shared" si="162"/>
        <v>Q2-2026</v>
      </c>
      <c r="AD956" s="5">
        <f t="shared" si="163"/>
        <v>54</v>
      </c>
      <c r="AE956" t="str">
        <f t="shared" si="164"/>
        <v>Pipeline</v>
      </c>
    </row>
    <row r="957" spans="1:31">
      <c r="A957" t="s">
        <v>1059</v>
      </c>
      <c r="B957" s="1">
        <v>45725</v>
      </c>
      <c r="C957" t="s">
        <v>64</v>
      </c>
      <c r="D957" t="s">
        <v>57</v>
      </c>
      <c r="E957" t="s">
        <v>44</v>
      </c>
      <c r="F957" t="s">
        <v>52</v>
      </c>
      <c r="G957" t="s">
        <v>46</v>
      </c>
      <c r="H957" t="s">
        <v>84</v>
      </c>
      <c r="I957" t="s">
        <v>77</v>
      </c>
      <c r="J957" s="1">
        <v>45784</v>
      </c>
      <c r="K957" s="1">
        <v>45784</v>
      </c>
      <c r="L957" s="3">
        <v>30600</v>
      </c>
      <c r="M957" s="4">
        <v>0</v>
      </c>
      <c r="N957" s="4">
        <v>1</v>
      </c>
      <c r="P957">
        <v>6</v>
      </c>
      <c r="Q957" t="str">
        <f>IFERROR(VLOOKUP(E957,Lookups!$A$5:$B$24,2,FALSE),"Other")</f>
        <v>Organic Search</v>
      </c>
      <c r="R957" t="str">
        <f>IFERROR(VLOOKUP(F957,Lookups!$D$5:$F$10,2,FALSE),"Unknown Product")</f>
        <v>NexaCRM Core</v>
      </c>
      <c r="S957" t="str">
        <f>IFERROR(VLOOKUP(F957,Lookups!$D$5:$F$10,3,FALSE),"Unknown")</f>
        <v>CRM</v>
      </c>
      <c r="T957" t="str">
        <f t="shared" si="154"/>
        <v>Mid-Market</v>
      </c>
      <c r="U957" t="str">
        <f t="shared" si="155"/>
        <v>Won</v>
      </c>
      <c r="V957" s="3">
        <f t="shared" si="156"/>
        <v>30600</v>
      </c>
      <c r="W957" s="3">
        <f t="shared" si="157"/>
        <v>0</v>
      </c>
      <c r="X957" s="5">
        <f t="shared" si="158"/>
        <v>59</v>
      </c>
      <c r="Y957" s="5">
        <f>IF(U957="Open",Lookups!$B$2-B957,X957)</f>
        <v>59</v>
      </c>
      <c r="Z957" t="str">
        <f t="shared" si="159"/>
        <v>OK</v>
      </c>
      <c r="AA957" t="str">
        <f t="shared" si="160"/>
        <v>2025-03</v>
      </c>
      <c r="AB957" t="str">
        <f t="shared" si="161"/>
        <v>2025-05</v>
      </c>
      <c r="AC957" t="str">
        <f t="shared" si="162"/>
        <v>Q1-2025</v>
      </c>
      <c r="AD957" s="5">
        <f t="shared" si="163"/>
        <v>73</v>
      </c>
      <c r="AE957" t="str">
        <f t="shared" si="164"/>
        <v>Won</v>
      </c>
    </row>
    <row r="958" spans="1:31">
      <c r="A958" t="s">
        <v>1060</v>
      </c>
      <c r="B958" s="1">
        <v>46061</v>
      </c>
      <c r="C958" t="s">
        <v>90</v>
      </c>
      <c r="D958" t="s">
        <v>57</v>
      </c>
      <c r="E958" t="s">
        <v>83</v>
      </c>
      <c r="F958" t="s">
        <v>59</v>
      </c>
      <c r="G958" t="s">
        <v>76</v>
      </c>
      <c r="H958" t="s">
        <v>47</v>
      </c>
      <c r="I958" t="s">
        <v>61</v>
      </c>
      <c r="J958" s="1">
        <v>46110</v>
      </c>
      <c r="K958" s="1">
        <v>46110</v>
      </c>
      <c r="L958" s="3">
        <v>21600</v>
      </c>
      <c r="M958" s="4">
        <v>0</v>
      </c>
      <c r="N958" s="4">
        <v>0</v>
      </c>
      <c r="O958" t="s">
        <v>79</v>
      </c>
      <c r="P958">
        <v>5</v>
      </c>
      <c r="Q958" t="str">
        <f>IFERROR(VLOOKUP(E958,Lookups!$A$5:$B$24,2,FALSE),"Other")</f>
        <v>Organic Search</v>
      </c>
      <c r="R958" t="str">
        <f>IFERROR(VLOOKUP(F958,Lookups!$D$5:$F$10,2,FALSE),"Unknown Product")</f>
        <v>NexaCRM Pro</v>
      </c>
      <c r="S958" t="str">
        <f>IFERROR(VLOOKUP(F958,Lookups!$D$5:$F$10,3,FALSE),"Unknown")</f>
        <v>CRM</v>
      </c>
      <c r="T958" t="str">
        <f t="shared" si="154"/>
        <v>Mid-Market</v>
      </c>
      <c r="U958" t="str">
        <f t="shared" si="155"/>
        <v>Lost</v>
      </c>
      <c r="V958" s="3">
        <f t="shared" si="156"/>
        <v>0</v>
      </c>
      <c r="W958" s="3">
        <f t="shared" si="157"/>
        <v>0</v>
      </c>
      <c r="X958" s="5">
        <f t="shared" si="158"/>
        <v>49</v>
      </c>
      <c r="Y958" s="5">
        <f>IF(U958="Open",Lookups!$B$2-B958,X958)</f>
        <v>49</v>
      </c>
      <c r="Z958" t="str">
        <f t="shared" si="159"/>
        <v>OK</v>
      </c>
      <c r="AA958" t="str">
        <f t="shared" si="160"/>
        <v>2026-02</v>
      </c>
      <c r="AB958" t="str">
        <f t="shared" si="161"/>
        <v>2026-03</v>
      </c>
      <c r="AC958" t="str">
        <f t="shared" si="162"/>
        <v>Q1-2026</v>
      </c>
      <c r="AD958" s="5">
        <f t="shared" si="163"/>
        <v>57</v>
      </c>
      <c r="AE958" t="str">
        <f t="shared" si="164"/>
        <v>Lost</v>
      </c>
    </row>
    <row r="959" spans="1:31">
      <c r="A959" t="s">
        <v>1061</v>
      </c>
      <c r="B959" s="1">
        <v>45799</v>
      </c>
      <c r="C959" t="s">
        <v>90</v>
      </c>
      <c r="D959" t="s">
        <v>57</v>
      </c>
      <c r="E959" t="s">
        <v>44</v>
      </c>
      <c r="F959" t="s">
        <v>52</v>
      </c>
      <c r="G959" t="s">
        <v>99</v>
      </c>
      <c r="H959" t="s">
        <v>47</v>
      </c>
      <c r="I959" t="s">
        <v>61</v>
      </c>
      <c r="J959" s="1">
        <v>45825</v>
      </c>
      <c r="K959" s="1">
        <v>45825</v>
      </c>
      <c r="L959" s="3">
        <v>7200</v>
      </c>
      <c r="M959" s="4">
        <v>0</v>
      </c>
      <c r="N959" s="4">
        <v>0</v>
      </c>
      <c r="O959" t="s">
        <v>116</v>
      </c>
      <c r="P959">
        <v>4</v>
      </c>
      <c r="Q959" t="str">
        <f>IFERROR(VLOOKUP(E959,Lookups!$A$5:$B$24,2,FALSE),"Other")</f>
        <v>Organic Search</v>
      </c>
      <c r="R959" t="str">
        <f>IFERROR(VLOOKUP(F959,Lookups!$D$5:$F$10,2,FALSE),"Unknown Product")</f>
        <v>NexaCRM Core</v>
      </c>
      <c r="S959" t="str">
        <f>IFERROR(VLOOKUP(F959,Lookups!$D$5:$F$10,3,FALSE),"Unknown")</f>
        <v>CRM</v>
      </c>
      <c r="T959" t="str">
        <f t="shared" si="154"/>
        <v>SMB</v>
      </c>
      <c r="U959" t="str">
        <f t="shared" si="155"/>
        <v>Lost</v>
      </c>
      <c r="V959" s="3">
        <f t="shared" si="156"/>
        <v>0</v>
      </c>
      <c r="W959" s="3">
        <f t="shared" si="157"/>
        <v>0</v>
      </c>
      <c r="X959" s="5">
        <f t="shared" si="158"/>
        <v>26</v>
      </c>
      <c r="Y959" s="5">
        <f>IF(U959="Open",Lookups!$B$2-B959,X959)</f>
        <v>26</v>
      </c>
      <c r="Z959" t="str">
        <f t="shared" si="159"/>
        <v>OK</v>
      </c>
      <c r="AA959" t="str">
        <f t="shared" si="160"/>
        <v>2025-05</v>
      </c>
      <c r="AB959" t="str">
        <f t="shared" si="161"/>
        <v>2025-06</v>
      </c>
      <c r="AC959" t="str">
        <f t="shared" si="162"/>
        <v>Q2-2025</v>
      </c>
      <c r="AD959" s="5">
        <f t="shared" si="163"/>
        <v>49</v>
      </c>
      <c r="AE959" t="str">
        <f t="shared" si="164"/>
        <v>Lost</v>
      </c>
    </row>
    <row r="960" spans="1:31">
      <c r="A960" t="s">
        <v>1062</v>
      </c>
      <c r="B960" s="1">
        <v>45661</v>
      </c>
      <c r="C960" t="s">
        <v>148</v>
      </c>
      <c r="D960" t="s">
        <v>43</v>
      </c>
      <c r="E960" t="s">
        <v>75</v>
      </c>
      <c r="F960" t="s">
        <v>59</v>
      </c>
      <c r="G960" t="s">
        <v>72</v>
      </c>
      <c r="H960" t="s">
        <v>53</v>
      </c>
      <c r="I960" t="s">
        <v>61</v>
      </c>
      <c r="J960" s="1">
        <v>45721</v>
      </c>
      <c r="K960" s="1">
        <v>45721</v>
      </c>
      <c r="L960" s="3">
        <v>29400</v>
      </c>
      <c r="M960" s="4">
        <v>0</v>
      </c>
      <c r="N960" s="4">
        <v>0</v>
      </c>
      <c r="O960" t="s">
        <v>62</v>
      </c>
      <c r="P960">
        <v>5</v>
      </c>
      <c r="Q960" t="str">
        <f>IFERROR(VLOOKUP(E960,Lookups!$A$5:$B$24,2,FALSE),"Other")</f>
        <v>Webinar</v>
      </c>
      <c r="R960" t="str">
        <f>IFERROR(VLOOKUP(F960,Lookups!$D$5:$F$10,2,FALSE),"Unknown Product")</f>
        <v>NexaCRM Pro</v>
      </c>
      <c r="S960" t="str">
        <f>IFERROR(VLOOKUP(F960,Lookups!$D$5:$F$10,3,FALSE),"Unknown")</f>
        <v>CRM</v>
      </c>
      <c r="T960" t="str">
        <f t="shared" si="154"/>
        <v>Mid-Market</v>
      </c>
      <c r="U960" t="str">
        <f t="shared" si="155"/>
        <v>Lost</v>
      </c>
      <c r="V960" s="3">
        <f t="shared" si="156"/>
        <v>0</v>
      </c>
      <c r="W960" s="3">
        <f t="shared" si="157"/>
        <v>0</v>
      </c>
      <c r="X960" s="5">
        <f t="shared" si="158"/>
        <v>60</v>
      </c>
      <c r="Y960" s="5">
        <f>IF(U960="Open",Lookups!$B$2-B960,X960)</f>
        <v>60</v>
      </c>
      <c r="Z960" t="str">
        <f t="shared" si="159"/>
        <v>OK</v>
      </c>
      <c r="AA960" t="str">
        <f t="shared" si="160"/>
        <v>2025-01</v>
      </c>
      <c r="AB960" t="str">
        <f t="shared" si="161"/>
        <v>2025-03</v>
      </c>
      <c r="AC960" t="str">
        <f t="shared" si="162"/>
        <v>Q1-2025</v>
      </c>
      <c r="AD960" s="5">
        <f t="shared" si="163"/>
        <v>59</v>
      </c>
      <c r="AE960" t="str">
        <f t="shared" si="164"/>
        <v>Lost</v>
      </c>
    </row>
    <row r="961" spans="1:31">
      <c r="A961" t="s">
        <v>1063</v>
      </c>
      <c r="B961" s="1">
        <v>45911</v>
      </c>
      <c r="C961" t="s">
        <v>148</v>
      </c>
      <c r="D961" t="s">
        <v>43</v>
      </c>
      <c r="E961" t="s">
        <v>146</v>
      </c>
      <c r="F961" t="s">
        <v>59</v>
      </c>
      <c r="G961" t="s">
        <v>76</v>
      </c>
      <c r="H961" t="s">
        <v>47</v>
      </c>
      <c r="I961" t="s">
        <v>77</v>
      </c>
      <c r="J961" s="1">
        <v>45943</v>
      </c>
      <c r="K961" s="1">
        <v>45943</v>
      </c>
      <c r="L961" s="3">
        <v>13600</v>
      </c>
      <c r="M961" s="4">
        <v>0.08</v>
      </c>
      <c r="N961" s="4">
        <v>1</v>
      </c>
      <c r="P961">
        <v>6</v>
      </c>
      <c r="Q961" t="str">
        <f>IFERROR(VLOOKUP(E961,Lookups!$A$5:$B$24,2,FALSE),"Other")</f>
        <v>LinkedIn</v>
      </c>
      <c r="R961" t="str">
        <f>IFERROR(VLOOKUP(F961,Lookups!$D$5:$F$10,2,FALSE),"Unknown Product")</f>
        <v>NexaCRM Pro</v>
      </c>
      <c r="S961" t="str">
        <f>IFERROR(VLOOKUP(F961,Lookups!$D$5:$F$10,3,FALSE),"Unknown")</f>
        <v>CRM</v>
      </c>
      <c r="T961" t="str">
        <f t="shared" si="154"/>
        <v>SMB</v>
      </c>
      <c r="U961" t="str">
        <f t="shared" si="155"/>
        <v>Won</v>
      </c>
      <c r="V961" s="3">
        <f t="shared" si="156"/>
        <v>12512</v>
      </c>
      <c r="W961" s="3">
        <f t="shared" si="157"/>
        <v>0</v>
      </c>
      <c r="X961" s="5">
        <f t="shared" si="158"/>
        <v>32</v>
      </c>
      <c r="Y961" s="5">
        <f>IF(U961="Open",Lookups!$B$2-B961,X961)</f>
        <v>32</v>
      </c>
      <c r="Z961" t="str">
        <f t="shared" si="159"/>
        <v>OK</v>
      </c>
      <c r="AA961" t="str">
        <f t="shared" si="160"/>
        <v>2025-09</v>
      </c>
      <c r="AB961" t="str">
        <f t="shared" si="161"/>
        <v>2025-10</v>
      </c>
      <c r="AC961" t="str">
        <f t="shared" si="162"/>
        <v>Q3-2025</v>
      </c>
      <c r="AD961" s="5">
        <f t="shared" si="163"/>
        <v>43</v>
      </c>
      <c r="AE961" t="str">
        <f t="shared" si="164"/>
        <v>Won</v>
      </c>
    </row>
    <row r="962" spans="1:31">
      <c r="A962" t="s">
        <v>1064</v>
      </c>
      <c r="B962" s="1">
        <v>46181</v>
      </c>
      <c r="C962" t="s">
        <v>42</v>
      </c>
      <c r="D962" t="s">
        <v>43</v>
      </c>
      <c r="E962" t="s">
        <v>127</v>
      </c>
      <c r="F962" t="s">
        <v>71</v>
      </c>
      <c r="G962" t="s">
        <v>72</v>
      </c>
      <c r="H962" t="s">
        <v>47</v>
      </c>
      <c r="I962" t="s">
        <v>105</v>
      </c>
      <c r="J962" s="1">
        <v>46250</v>
      </c>
      <c r="K962" s="1"/>
      <c r="L962" s="3">
        <v>11300</v>
      </c>
      <c r="M962" s="4">
        <v>0</v>
      </c>
      <c r="N962" s="4">
        <v>0.4</v>
      </c>
      <c r="P962">
        <v>3</v>
      </c>
      <c r="Q962" t="str">
        <f>IFERROR(VLOOKUP(E962,Lookups!$A$5:$B$24,2,FALSE),"Other")</f>
        <v>Paid Search</v>
      </c>
      <c r="R962" t="str">
        <f>IFERROR(VLOOKUP(F962,Lookups!$D$5:$F$10,2,FALSE),"Unknown Product")</f>
        <v>Marketing Automation</v>
      </c>
      <c r="S962" t="str">
        <f>IFERROR(VLOOKUP(F962,Lookups!$D$5:$F$10,3,FALSE),"Unknown")</f>
        <v>Marketing</v>
      </c>
      <c r="T962" t="str">
        <f t="shared" ref="T962:T1025" si="165">IF(L962&gt;=50000,"Enterprise",IF(L962&gt;=20000,"Mid-Market","SMB"))</f>
        <v>SMB</v>
      </c>
      <c r="U962" t="str">
        <f t="shared" ref="U962:U1025" si="166">IF(I962="Closed Won","Won",IF(I962="Closed Lost","Lost","Open"))</f>
        <v>Open</v>
      </c>
      <c r="V962" s="3">
        <f t="shared" ref="V962:V1025" si="167">IF(U962="Won",L962*(1-M962),0)</f>
        <v>0</v>
      </c>
      <c r="W962" s="3">
        <f t="shared" ref="W962:W1025" si="168">IF(U962="Open",L962*N962,0)</f>
        <v>4520</v>
      </c>
      <c r="X962" s="5" t="str">
        <f t="shared" ref="X962:X1025" si="169">IF(U962="Open","",IFERROR(K962-B962,""))</f>
        <v/>
      </c>
      <c r="Y962" s="5">
        <f>IF(U962="Open",Lookups!$B$2-B962,X962)</f>
        <v>85</v>
      </c>
      <c r="Z962" t="str">
        <f t="shared" ref="Z962:Z1025" si="170">IF(AND(U962="Open",Y962&gt;30),"STALE","OK")</f>
        <v>STALE</v>
      </c>
      <c r="AA962" t="str">
        <f t="shared" ref="AA962:AA1025" si="171">TEXT(B962,"yyyy-mm")</f>
        <v>2026-06</v>
      </c>
      <c r="AB962" t="str">
        <f t="shared" ref="AB962:AB1025" si="172">IF(K962="","",TEXT(K962,"yyyy-mm"))</f>
        <v/>
      </c>
      <c r="AC962" t="str">
        <f t="shared" ref="AC962:AC1025" si="173">"Q"&amp;ROUNDUP(MONTH(B962)/3,0)&amp;"-"&amp;YEAR(B962)</f>
        <v>Q2-2026</v>
      </c>
      <c r="AD962" s="5">
        <f t="shared" ref="AD962:AD1025" si="174">MIN(100,IF(H962="Enterprise",30,IF(H962="Mid-Market",22,14))+IF(T962="Enterprise",25,IF(T962="Mid-Market",18,10))+IF(Q962="Referral",25,IF(Q962="Organic Search",20,IF(Q962="Email",18,14)))+IF(G962="Technology",10,5))</f>
        <v>43</v>
      </c>
      <c r="AE962" t="str">
        <f t="shared" ref="AE962:AE1025" si="175">IF(U962&lt;&gt;"Open",U962,IF(N962&gt;=0.8,"Commit",IF(N962&gt;=0.5,"Best Case","Pipeline")))</f>
        <v>Pipeline</v>
      </c>
    </row>
    <row r="963" spans="1:31">
      <c r="A963" t="s">
        <v>1065</v>
      </c>
      <c r="B963" s="1">
        <v>45797</v>
      </c>
      <c r="C963" t="s">
        <v>148</v>
      </c>
      <c r="D963" t="s">
        <v>43</v>
      </c>
      <c r="E963" t="s">
        <v>166</v>
      </c>
      <c r="F963" t="s">
        <v>52</v>
      </c>
      <c r="G963" t="s">
        <v>60</v>
      </c>
      <c r="H963" t="s">
        <v>47</v>
      </c>
      <c r="I963" t="s">
        <v>61</v>
      </c>
      <c r="J963" s="1">
        <v>45832</v>
      </c>
      <c r="K963" s="1">
        <v>45832</v>
      </c>
      <c r="L963" s="3">
        <v>5400</v>
      </c>
      <c r="M963" s="4">
        <v>0</v>
      </c>
      <c r="N963" s="4">
        <v>0</v>
      </c>
      <c r="O963" t="s">
        <v>81</v>
      </c>
      <c r="P963">
        <v>4</v>
      </c>
      <c r="Q963" t="str">
        <f>IFERROR(VLOOKUP(E963,Lookups!$A$5:$B$24,2,FALSE),"Other")</f>
        <v>Referral</v>
      </c>
      <c r="R963" t="str">
        <f>IFERROR(VLOOKUP(F963,Lookups!$D$5:$F$10,2,FALSE),"Unknown Product")</f>
        <v>NexaCRM Core</v>
      </c>
      <c r="S963" t="str">
        <f>IFERROR(VLOOKUP(F963,Lookups!$D$5:$F$10,3,FALSE),"Unknown")</f>
        <v>CRM</v>
      </c>
      <c r="T963" t="str">
        <f t="shared" si="165"/>
        <v>SMB</v>
      </c>
      <c r="U963" t="str">
        <f t="shared" si="166"/>
        <v>Lost</v>
      </c>
      <c r="V963" s="3">
        <f t="shared" si="167"/>
        <v>0</v>
      </c>
      <c r="W963" s="3">
        <f t="shared" si="168"/>
        <v>0</v>
      </c>
      <c r="X963" s="5">
        <f t="shared" si="169"/>
        <v>35</v>
      </c>
      <c r="Y963" s="5">
        <f>IF(U963="Open",Lookups!$B$2-B963,X963)</f>
        <v>35</v>
      </c>
      <c r="Z963" t="str">
        <f t="shared" si="170"/>
        <v>OK</v>
      </c>
      <c r="AA963" t="str">
        <f t="shared" si="171"/>
        <v>2025-05</v>
      </c>
      <c r="AB963" t="str">
        <f t="shared" si="172"/>
        <v>2025-06</v>
      </c>
      <c r="AC963" t="str">
        <f t="shared" si="173"/>
        <v>Q2-2025</v>
      </c>
      <c r="AD963" s="5">
        <f t="shared" si="174"/>
        <v>54</v>
      </c>
      <c r="AE963" t="str">
        <f t="shared" si="175"/>
        <v>Lost</v>
      </c>
    </row>
    <row r="964" spans="1:31">
      <c r="A964" t="s">
        <v>1066</v>
      </c>
      <c r="B964" s="1">
        <v>46097</v>
      </c>
      <c r="C964" t="s">
        <v>69</v>
      </c>
      <c r="D964" t="s">
        <v>57</v>
      </c>
      <c r="E964" t="s">
        <v>160</v>
      </c>
      <c r="F964" t="s">
        <v>71</v>
      </c>
      <c r="G964" t="s">
        <v>72</v>
      </c>
      <c r="H964" t="s">
        <v>53</v>
      </c>
      <c r="I964" t="s">
        <v>48</v>
      </c>
      <c r="J964" s="1">
        <v>46206</v>
      </c>
      <c r="K964" s="1"/>
      <c r="L964" s="3">
        <v>28600</v>
      </c>
      <c r="M964" s="4">
        <v>0</v>
      </c>
      <c r="N964" s="4">
        <v>0.85</v>
      </c>
      <c r="P964">
        <v>5</v>
      </c>
      <c r="Q964" t="str">
        <f>IFERROR(VLOOKUP(E964,Lookups!$A$5:$B$24,2,FALSE),"Other")</f>
        <v>Email</v>
      </c>
      <c r="R964" t="str">
        <f>IFERROR(VLOOKUP(F964,Lookups!$D$5:$F$10,2,FALSE),"Unknown Product")</f>
        <v>Marketing Automation</v>
      </c>
      <c r="S964" t="str">
        <f>IFERROR(VLOOKUP(F964,Lookups!$D$5:$F$10,3,FALSE),"Unknown")</f>
        <v>Marketing</v>
      </c>
      <c r="T964" t="str">
        <f t="shared" si="165"/>
        <v>Mid-Market</v>
      </c>
      <c r="U964" t="str">
        <f t="shared" si="166"/>
        <v>Open</v>
      </c>
      <c r="V964" s="3">
        <f t="shared" si="167"/>
        <v>0</v>
      </c>
      <c r="W964" s="3">
        <f t="shared" si="168"/>
        <v>24310</v>
      </c>
      <c r="X964" s="5" t="str">
        <f t="shared" si="169"/>
        <v/>
      </c>
      <c r="Y964" s="5">
        <f>IF(U964="Open",Lookups!$B$2-B964,X964)</f>
        <v>169</v>
      </c>
      <c r="Z964" t="str">
        <f t="shared" si="170"/>
        <v>STALE</v>
      </c>
      <c r="AA964" t="str">
        <f t="shared" si="171"/>
        <v>2026-03</v>
      </c>
      <c r="AB964" t="str">
        <f t="shared" si="172"/>
        <v/>
      </c>
      <c r="AC964" t="str">
        <f t="shared" si="173"/>
        <v>Q1-2026</v>
      </c>
      <c r="AD964" s="5">
        <f t="shared" si="174"/>
        <v>63</v>
      </c>
      <c r="AE964" t="str">
        <f t="shared" si="175"/>
        <v>Commit</v>
      </c>
    </row>
    <row r="965" spans="1:31">
      <c r="A965" t="s">
        <v>1067</v>
      </c>
      <c r="B965" s="1">
        <v>45873</v>
      </c>
      <c r="C965" t="s">
        <v>90</v>
      </c>
      <c r="D965" t="s">
        <v>57</v>
      </c>
      <c r="E965" t="s">
        <v>70</v>
      </c>
      <c r="F965" t="s">
        <v>59</v>
      </c>
      <c r="G965" t="s">
        <v>99</v>
      </c>
      <c r="H965" t="s">
        <v>47</v>
      </c>
      <c r="I965" t="s">
        <v>61</v>
      </c>
      <c r="J965" s="1">
        <v>45896</v>
      </c>
      <c r="K965" s="1">
        <v>45896</v>
      </c>
      <c r="L965" s="3">
        <v>14600</v>
      </c>
      <c r="M965" s="4">
        <v>0</v>
      </c>
      <c r="N965" s="4">
        <v>0</v>
      </c>
      <c r="O965" t="s">
        <v>116</v>
      </c>
      <c r="P965">
        <v>4</v>
      </c>
      <c r="Q965" t="str">
        <f>IFERROR(VLOOKUP(E965,Lookups!$A$5:$B$24,2,FALSE),"Other")</f>
        <v>LinkedIn</v>
      </c>
      <c r="R965" t="str">
        <f>IFERROR(VLOOKUP(F965,Lookups!$D$5:$F$10,2,FALSE),"Unknown Product")</f>
        <v>NexaCRM Pro</v>
      </c>
      <c r="S965" t="str">
        <f>IFERROR(VLOOKUP(F965,Lookups!$D$5:$F$10,3,FALSE),"Unknown")</f>
        <v>CRM</v>
      </c>
      <c r="T965" t="str">
        <f t="shared" si="165"/>
        <v>SMB</v>
      </c>
      <c r="U965" t="str">
        <f t="shared" si="166"/>
        <v>Lost</v>
      </c>
      <c r="V965" s="3">
        <f t="shared" si="167"/>
        <v>0</v>
      </c>
      <c r="W965" s="3">
        <f t="shared" si="168"/>
        <v>0</v>
      </c>
      <c r="X965" s="5">
        <f t="shared" si="169"/>
        <v>23</v>
      </c>
      <c r="Y965" s="5">
        <f>IF(U965="Open",Lookups!$B$2-B965,X965)</f>
        <v>23</v>
      </c>
      <c r="Z965" t="str">
        <f t="shared" si="170"/>
        <v>OK</v>
      </c>
      <c r="AA965" t="str">
        <f t="shared" si="171"/>
        <v>2025-08</v>
      </c>
      <c r="AB965" t="str">
        <f t="shared" si="172"/>
        <v>2025-08</v>
      </c>
      <c r="AC965" t="str">
        <f t="shared" si="173"/>
        <v>Q3-2025</v>
      </c>
      <c r="AD965" s="5">
        <f t="shared" si="174"/>
        <v>43</v>
      </c>
      <c r="AE965" t="str">
        <f t="shared" si="175"/>
        <v>Lost</v>
      </c>
    </row>
    <row r="966" spans="1:31">
      <c r="A966" t="s">
        <v>1068</v>
      </c>
      <c r="B966" s="1">
        <v>46192</v>
      </c>
      <c r="C966" t="s">
        <v>50</v>
      </c>
      <c r="D966" t="s">
        <v>43</v>
      </c>
      <c r="E966" t="s">
        <v>146</v>
      </c>
      <c r="F966" t="s">
        <v>52</v>
      </c>
      <c r="G966" t="s">
        <v>94</v>
      </c>
      <c r="H966" t="s">
        <v>47</v>
      </c>
      <c r="I966" t="s">
        <v>105</v>
      </c>
      <c r="J966" s="1">
        <v>46237</v>
      </c>
      <c r="K966" s="1"/>
      <c r="L966" s="3">
        <v>9300</v>
      </c>
      <c r="M966" s="4">
        <v>0</v>
      </c>
      <c r="N966" s="4">
        <v>0.4</v>
      </c>
      <c r="P966">
        <v>3</v>
      </c>
      <c r="Q966" t="str">
        <f>IFERROR(VLOOKUP(E966,Lookups!$A$5:$B$24,2,FALSE),"Other")</f>
        <v>LinkedIn</v>
      </c>
      <c r="R966" t="str">
        <f>IFERROR(VLOOKUP(F966,Lookups!$D$5:$F$10,2,FALSE),"Unknown Product")</f>
        <v>NexaCRM Core</v>
      </c>
      <c r="S966" t="str">
        <f>IFERROR(VLOOKUP(F966,Lookups!$D$5:$F$10,3,FALSE),"Unknown")</f>
        <v>CRM</v>
      </c>
      <c r="T966" t="str">
        <f t="shared" si="165"/>
        <v>SMB</v>
      </c>
      <c r="U966" t="str">
        <f t="shared" si="166"/>
        <v>Open</v>
      </c>
      <c r="V966" s="3">
        <f t="shared" si="167"/>
        <v>0</v>
      </c>
      <c r="W966" s="3">
        <f t="shared" si="168"/>
        <v>3720</v>
      </c>
      <c r="X966" s="5" t="str">
        <f t="shared" si="169"/>
        <v/>
      </c>
      <c r="Y966" s="5">
        <f>IF(U966="Open",Lookups!$B$2-B966,X966)</f>
        <v>74</v>
      </c>
      <c r="Z966" t="str">
        <f t="shared" si="170"/>
        <v>STALE</v>
      </c>
      <c r="AA966" t="str">
        <f t="shared" si="171"/>
        <v>2026-06</v>
      </c>
      <c r="AB966" t="str">
        <f t="shared" si="172"/>
        <v/>
      </c>
      <c r="AC966" t="str">
        <f t="shared" si="173"/>
        <v>Q2-2026</v>
      </c>
      <c r="AD966" s="5">
        <f t="shared" si="174"/>
        <v>43</v>
      </c>
      <c r="AE966" t="str">
        <f t="shared" si="175"/>
        <v>Pipeline</v>
      </c>
    </row>
    <row r="967" spans="1:31">
      <c r="A967" t="s">
        <v>1069</v>
      </c>
      <c r="B967" s="1">
        <v>46110</v>
      </c>
      <c r="C967" t="s">
        <v>86</v>
      </c>
      <c r="D967" t="s">
        <v>87</v>
      </c>
      <c r="E967" t="s">
        <v>127</v>
      </c>
      <c r="F967" t="s">
        <v>52</v>
      </c>
      <c r="G967" t="s">
        <v>99</v>
      </c>
      <c r="H967" t="s">
        <v>53</v>
      </c>
      <c r="I967" t="s">
        <v>61</v>
      </c>
      <c r="J967" s="1">
        <v>46141</v>
      </c>
      <c r="K967" s="1">
        <v>46141</v>
      </c>
      <c r="L967" s="3">
        <v>14600</v>
      </c>
      <c r="M967" s="4">
        <v>0</v>
      </c>
      <c r="N967" s="4">
        <v>0</v>
      </c>
      <c r="O967" t="s">
        <v>62</v>
      </c>
      <c r="P967">
        <v>4</v>
      </c>
      <c r="Q967" t="str">
        <f>IFERROR(VLOOKUP(E967,Lookups!$A$5:$B$24,2,FALSE),"Other")</f>
        <v>Paid Search</v>
      </c>
      <c r="R967" t="str">
        <f>IFERROR(VLOOKUP(F967,Lookups!$D$5:$F$10,2,FALSE),"Unknown Product")</f>
        <v>NexaCRM Core</v>
      </c>
      <c r="S967" t="str">
        <f>IFERROR(VLOOKUP(F967,Lookups!$D$5:$F$10,3,FALSE),"Unknown")</f>
        <v>CRM</v>
      </c>
      <c r="T967" t="str">
        <f t="shared" si="165"/>
        <v>SMB</v>
      </c>
      <c r="U967" t="str">
        <f t="shared" si="166"/>
        <v>Lost</v>
      </c>
      <c r="V967" s="3">
        <f t="shared" si="167"/>
        <v>0</v>
      </c>
      <c r="W967" s="3">
        <f t="shared" si="168"/>
        <v>0</v>
      </c>
      <c r="X967" s="5">
        <f t="shared" si="169"/>
        <v>31</v>
      </c>
      <c r="Y967" s="5">
        <f>IF(U967="Open",Lookups!$B$2-B967,X967)</f>
        <v>31</v>
      </c>
      <c r="Z967" t="str">
        <f t="shared" si="170"/>
        <v>OK</v>
      </c>
      <c r="AA967" t="str">
        <f t="shared" si="171"/>
        <v>2026-03</v>
      </c>
      <c r="AB967" t="str">
        <f t="shared" si="172"/>
        <v>2026-04</v>
      </c>
      <c r="AC967" t="str">
        <f t="shared" si="173"/>
        <v>Q1-2026</v>
      </c>
      <c r="AD967" s="5">
        <f t="shared" si="174"/>
        <v>51</v>
      </c>
      <c r="AE967" t="str">
        <f t="shared" si="175"/>
        <v>Lost</v>
      </c>
    </row>
    <row r="968" spans="1:31">
      <c r="A968" t="s">
        <v>1070</v>
      </c>
      <c r="B968" s="1">
        <v>45682</v>
      </c>
      <c r="C968" t="s">
        <v>42</v>
      </c>
      <c r="D968" t="s">
        <v>43</v>
      </c>
      <c r="E968" t="s">
        <v>115</v>
      </c>
      <c r="F968" t="s">
        <v>52</v>
      </c>
      <c r="G968" t="s">
        <v>46</v>
      </c>
      <c r="H968" t="s">
        <v>47</v>
      </c>
      <c r="I968" t="s">
        <v>61</v>
      </c>
      <c r="J968" s="1">
        <v>45706</v>
      </c>
      <c r="K968" s="1">
        <v>45706</v>
      </c>
      <c r="L968" s="3">
        <v>9600</v>
      </c>
      <c r="M968" s="4">
        <v>0</v>
      </c>
      <c r="N968" s="4">
        <v>0</v>
      </c>
      <c r="O968" t="s">
        <v>116</v>
      </c>
      <c r="P968">
        <v>2</v>
      </c>
      <c r="Q968" t="str">
        <f>IFERROR(VLOOKUP(E968,Lookups!$A$5:$B$24,2,FALSE),"Other")</f>
        <v>Outbound</v>
      </c>
      <c r="R968" t="str">
        <f>IFERROR(VLOOKUP(F968,Lookups!$D$5:$F$10,2,FALSE),"Unknown Product")</f>
        <v>NexaCRM Core</v>
      </c>
      <c r="S968" t="str">
        <f>IFERROR(VLOOKUP(F968,Lookups!$D$5:$F$10,3,FALSE),"Unknown")</f>
        <v>CRM</v>
      </c>
      <c r="T968" t="str">
        <f t="shared" si="165"/>
        <v>SMB</v>
      </c>
      <c r="U968" t="str">
        <f t="shared" si="166"/>
        <v>Lost</v>
      </c>
      <c r="V968" s="3">
        <f t="shared" si="167"/>
        <v>0</v>
      </c>
      <c r="W968" s="3">
        <f t="shared" si="168"/>
        <v>0</v>
      </c>
      <c r="X968" s="5">
        <f t="shared" si="169"/>
        <v>24</v>
      </c>
      <c r="Y968" s="5">
        <f>IF(U968="Open",Lookups!$B$2-B968,X968)</f>
        <v>24</v>
      </c>
      <c r="Z968" t="str">
        <f t="shared" si="170"/>
        <v>OK</v>
      </c>
      <c r="AA968" t="str">
        <f t="shared" si="171"/>
        <v>2025-01</v>
      </c>
      <c r="AB968" t="str">
        <f t="shared" si="172"/>
        <v>2025-02</v>
      </c>
      <c r="AC968" t="str">
        <f t="shared" si="173"/>
        <v>Q1-2025</v>
      </c>
      <c r="AD968" s="5">
        <f t="shared" si="174"/>
        <v>43</v>
      </c>
      <c r="AE968" t="str">
        <f t="shared" si="175"/>
        <v>Lost</v>
      </c>
    </row>
    <row r="969" spans="1:31">
      <c r="A969" t="s">
        <v>1071</v>
      </c>
      <c r="B969" s="1">
        <v>45986</v>
      </c>
      <c r="C969" t="s">
        <v>56</v>
      </c>
      <c r="D969" t="s">
        <v>57</v>
      </c>
      <c r="E969" t="s">
        <v>109</v>
      </c>
      <c r="F969" t="s">
        <v>59</v>
      </c>
      <c r="G969" t="s">
        <v>112</v>
      </c>
      <c r="H969" t="s">
        <v>53</v>
      </c>
      <c r="I969" t="s">
        <v>61</v>
      </c>
      <c r="J969" s="1">
        <v>46024</v>
      </c>
      <c r="K969" s="1">
        <v>46024</v>
      </c>
      <c r="L969" s="3">
        <v>31300</v>
      </c>
      <c r="M969" s="4">
        <v>0</v>
      </c>
      <c r="N969" s="4">
        <v>0</v>
      </c>
      <c r="O969" t="s">
        <v>116</v>
      </c>
      <c r="P969">
        <v>5</v>
      </c>
      <c r="Q969" t="str">
        <f>IFERROR(VLOOKUP(E969,Lookups!$A$5:$B$24,2,FALSE),"Other")</f>
        <v>Outbound</v>
      </c>
      <c r="R969" t="str">
        <f>IFERROR(VLOOKUP(F969,Lookups!$D$5:$F$10,2,FALSE),"Unknown Product")</f>
        <v>NexaCRM Pro</v>
      </c>
      <c r="S969" t="str">
        <f>IFERROR(VLOOKUP(F969,Lookups!$D$5:$F$10,3,FALSE),"Unknown")</f>
        <v>CRM</v>
      </c>
      <c r="T969" t="str">
        <f t="shared" si="165"/>
        <v>Mid-Market</v>
      </c>
      <c r="U969" t="str">
        <f t="shared" si="166"/>
        <v>Lost</v>
      </c>
      <c r="V969" s="3">
        <f t="shared" si="167"/>
        <v>0</v>
      </c>
      <c r="W969" s="3">
        <f t="shared" si="168"/>
        <v>0</v>
      </c>
      <c r="X969" s="5">
        <f t="shared" si="169"/>
        <v>38</v>
      </c>
      <c r="Y969" s="5">
        <f>IF(U969="Open",Lookups!$B$2-B969,X969)</f>
        <v>38</v>
      </c>
      <c r="Z969" t="str">
        <f t="shared" si="170"/>
        <v>OK</v>
      </c>
      <c r="AA969" t="str">
        <f t="shared" si="171"/>
        <v>2025-11</v>
      </c>
      <c r="AB969" t="str">
        <f t="shared" si="172"/>
        <v>2026-01</v>
      </c>
      <c r="AC969" t="str">
        <f t="shared" si="173"/>
        <v>Q4-2025</v>
      </c>
      <c r="AD969" s="5">
        <f t="shared" si="174"/>
        <v>64</v>
      </c>
      <c r="AE969" t="str">
        <f t="shared" si="175"/>
        <v>Lost</v>
      </c>
    </row>
    <row r="970" spans="1:31">
      <c r="A970" t="s">
        <v>1072</v>
      </c>
      <c r="B970" s="1">
        <v>45992</v>
      </c>
      <c r="C970" t="s">
        <v>64</v>
      </c>
      <c r="D970" t="s">
        <v>57</v>
      </c>
      <c r="E970" t="s">
        <v>65</v>
      </c>
      <c r="F970" t="s">
        <v>52</v>
      </c>
      <c r="G970" t="s">
        <v>76</v>
      </c>
      <c r="H970" t="s">
        <v>47</v>
      </c>
      <c r="I970" t="s">
        <v>61</v>
      </c>
      <c r="J970" s="1">
        <v>46005</v>
      </c>
      <c r="K970" s="1">
        <v>46005</v>
      </c>
      <c r="L970" s="3">
        <v>8000</v>
      </c>
      <c r="M970" s="4">
        <v>0</v>
      </c>
      <c r="N970" s="4">
        <v>0</v>
      </c>
      <c r="O970" t="s">
        <v>79</v>
      </c>
      <c r="P970">
        <v>5</v>
      </c>
      <c r="Q970" t="str">
        <f>IFERROR(VLOOKUP(E970,Lookups!$A$5:$B$24,2,FALSE),"Other")</f>
        <v>Paid Search</v>
      </c>
      <c r="R970" t="str">
        <f>IFERROR(VLOOKUP(F970,Lookups!$D$5:$F$10,2,FALSE),"Unknown Product")</f>
        <v>NexaCRM Core</v>
      </c>
      <c r="S970" t="str">
        <f>IFERROR(VLOOKUP(F970,Lookups!$D$5:$F$10,3,FALSE),"Unknown")</f>
        <v>CRM</v>
      </c>
      <c r="T970" t="str">
        <f t="shared" si="165"/>
        <v>SMB</v>
      </c>
      <c r="U970" t="str">
        <f t="shared" si="166"/>
        <v>Lost</v>
      </c>
      <c r="V970" s="3">
        <f t="shared" si="167"/>
        <v>0</v>
      </c>
      <c r="W970" s="3">
        <f t="shared" si="168"/>
        <v>0</v>
      </c>
      <c r="X970" s="5">
        <f t="shared" si="169"/>
        <v>13</v>
      </c>
      <c r="Y970" s="5">
        <f>IF(U970="Open",Lookups!$B$2-B970,X970)</f>
        <v>13</v>
      </c>
      <c r="Z970" t="str">
        <f t="shared" si="170"/>
        <v>OK</v>
      </c>
      <c r="AA970" t="str">
        <f t="shared" si="171"/>
        <v>2025-12</v>
      </c>
      <c r="AB970" t="str">
        <f t="shared" si="172"/>
        <v>2025-12</v>
      </c>
      <c r="AC970" t="str">
        <f t="shared" si="173"/>
        <v>Q4-2025</v>
      </c>
      <c r="AD970" s="5">
        <f t="shared" si="174"/>
        <v>43</v>
      </c>
      <c r="AE970" t="str">
        <f t="shared" si="175"/>
        <v>Lost</v>
      </c>
    </row>
    <row r="971" spans="1:31">
      <c r="A971" t="s">
        <v>1073</v>
      </c>
      <c r="B971" s="1">
        <v>45761</v>
      </c>
      <c r="C971" t="s">
        <v>64</v>
      </c>
      <c r="D971" t="s">
        <v>57</v>
      </c>
      <c r="E971" t="s">
        <v>70</v>
      </c>
      <c r="F971" t="s">
        <v>45</v>
      </c>
      <c r="G971" t="s">
        <v>99</v>
      </c>
      <c r="H971" t="s">
        <v>53</v>
      </c>
      <c r="I971" t="s">
        <v>77</v>
      </c>
      <c r="J971" s="1">
        <v>45789</v>
      </c>
      <c r="K971" s="1">
        <v>45789</v>
      </c>
      <c r="L971" s="3">
        <v>44100</v>
      </c>
      <c r="M971" s="4">
        <v>0.03</v>
      </c>
      <c r="N971" s="4">
        <v>1</v>
      </c>
      <c r="P971">
        <v>6</v>
      </c>
      <c r="Q971" t="str">
        <f>IFERROR(VLOOKUP(E971,Lookups!$A$5:$B$24,2,FALSE),"Other")</f>
        <v>LinkedIn</v>
      </c>
      <c r="R971" t="str">
        <f>IFERROR(VLOOKUP(F971,Lookups!$D$5:$F$10,2,FALSE),"Unknown Product")</f>
        <v>Service Cloud</v>
      </c>
      <c r="S971" t="str">
        <f>IFERROR(VLOOKUP(F971,Lookups!$D$5:$F$10,3,FALSE),"Unknown")</f>
        <v>Customer Service</v>
      </c>
      <c r="T971" t="str">
        <f t="shared" si="165"/>
        <v>Mid-Market</v>
      </c>
      <c r="U971" t="str">
        <f t="shared" si="166"/>
        <v>Won</v>
      </c>
      <c r="V971" s="3">
        <f t="shared" si="167"/>
        <v>42777</v>
      </c>
      <c r="W971" s="3">
        <f t="shared" si="168"/>
        <v>0</v>
      </c>
      <c r="X971" s="5">
        <f t="shared" si="169"/>
        <v>28</v>
      </c>
      <c r="Y971" s="5">
        <f>IF(U971="Open",Lookups!$B$2-B971,X971)</f>
        <v>28</v>
      </c>
      <c r="Z971" t="str">
        <f t="shared" si="170"/>
        <v>OK</v>
      </c>
      <c r="AA971" t="str">
        <f t="shared" si="171"/>
        <v>2025-04</v>
      </c>
      <c r="AB971" t="str">
        <f t="shared" si="172"/>
        <v>2025-05</v>
      </c>
      <c r="AC971" t="str">
        <f t="shared" si="173"/>
        <v>Q2-2025</v>
      </c>
      <c r="AD971" s="5">
        <f t="shared" si="174"/>
        <v>59</v>
      </c>
      <c r="AE971" t="str">
        <f t="shared" si="175"/>
        <v>Won</v>
      </c>
    </row>
    <row r="972" spans="1:31">
      <c r="A972" t="s">
        <v>1074</v>
      </c>
      <c r="B972" s="1">
        <v>45738</v>
      </c>
      <c r="C972" t="s">
        <v>69</v>
      </c>
      <c r="D972" t="s">
        <v>57</v>
      </c>
      <c r="E972" t="s">
        <v>98</v>
      </c>
      <c r="F972" t="s">
        <v>45</v>
      </c>
      <c r="G972" t="s">
        <v>46</v>
      </c>
      <c r="H972" t="s">
        <v>47</v>
      </c>
      <c r="I972" t="s">
        <v>77</v>
      </c>
      <c r="J972" s="1">
        <v>45776</v>
      </c>
      <c r="K972" s="1">
        <v>45776</v>
      </c>
      <c r="L972" s="3">
        <v>14500</v>
      </c>
      <c r="M972" s="4">
        <v>0.12</v>
      </c>
      <c r="N972" s="4">
        <v>1</v>
      </c>
      <c r="P972">
        <v>6</v>
      </c>
      <c r="Q972" t="str">
        <f>IFERROR(VLOOKUP(E972,Lookups!$A$5:$B$24,2,FALSE),"Other")</f>
        <v>Outbound</v>
      </c>
      <c r="R972" t="str">
        <f>IFERROR(VLOOKUP(F972,Lookups!$D$5:$F$10,2,FALSE),"Unknown Product")</f>
        <v>Service Cloud</v>
      </c>
      <c r="S972" t="str">
        <f>IFERROR(VLOOKUP(F972,Lookups!$D$5:$F$10,3,FALSE),"Unknown")</f>
        <v>Customer Service</v>
      </c>
      <c r="T972" t="str">
        <f t="shared" si="165"/>
        <v>SMB</v>
      </c>
      <c r="U972" t="str">
        <f t="shared" si="166"/>
        <v>Won</v>
      </c>
      <c r="V972" s="3">
        <f t="shared" si="167"/>
        <v>12760</v>
      </c>
      <c r="W972" s="3">
        <f t="shared" si="168"/>
        <v>0</v>
      </c>
      <c r="X972" s="5">
        <f t="shared" si="169"/>
        <v>38</v>
      </c>
      <c r="Y972" s="5">
        <f>IF(U972="Open",Lookups!$B$2-B972,X972)</f>
        <v>38</v>
      </c>
      <c r="Z972" t="str">
        <f t="shared" si="170"/>
        <v>OK</v>
      </c>
      <c r="AA972" t="str">
        <f t="shared" si="171"/>
        <v>2025-03</v>
      </c>
      <c r="AB972" t="str">
        <f t="shared" si="172"/>
        <v>2025-04</v>
      </c>
      <c r="AC972" t="str">
        <f t="shared" si="173"/>
        <v>Q1-2025</v>
      </c>
      <c r="AD972" s="5">
        <f t="shared" si="174"/>
        <v>43</v>
      </c>
      <c r="AE972" t="str">
        <f t="shared" si="175"/>
        <v>Won</v>
      </c>
    </row>
    <row r="973" spans="1:31">
      <c r="A973" t="s">
        <v>1075</v>
      </c>
      <c r="B973" s="1">
        <v>45667</v>
      </c>
      <c r="C973" t="s">
        <v>90</v>
      </c>
      <c r="D973" t="s">
        <v>57</v>
      </c>
      <c r="E973" t="s">
        <v>92</v>
      </c>
      <c r="F973" t="s">
        <v>59</v>
      </c>
      <c r="G973" t="s">
        <v>60</v>
      </c>
      <c r="H973" t="s">
        <v>47</v>
      </c>
      <c r="I973" t="s">
        <v>77</v>
      </c>
      <c r="J973" s="1">
        <v>45725</v>
      </c>
      <c r="K973" s="1">
        <v>45725</v>
      </c>
      <c r="L973" s="3">
        <v>17000</v>
      </c>
      <c r="M973" s="4">
        <v>0.12</v>
      </c>
      <c r="N973" s="4">
        <v>1</v>
      </c>
      <c r="P973">
        <v>6</v>
      </c>
      <c r="Q973" t="str">
        <f>IFERROR(VLOOKUP(E973,Lookups!$A$5:$B$24,2,FALSE),"Other")</f>
        <v>Webinar</v>
      </c>
      <c r="R973" t="str">
        <f>IFERROR(VLOOKUP(F973,Lookups!$D$5:$F$10,2,FALSE),"Unknown Product")</f>
        <v>NexaCRM Pro</v>
      </c>
      <c r="S973" t="str">
        <f>IFERROR(VLOOKUP(F973,Lookups!$D$5:$F$10,3,FALSE),"Unknown")</f>
        <v>CRM</v>
      </c>
      <c r="T973" t="str">
        <f t="shared" si="165"/>
        <v>SMB</v>
      </c>
      <c r="U973" t="str">
        <f t="shared" si="166"/>
        <v>Won</v>
      </c>
      <c r="V973" s="3">
        <f t="shared" si="167"/>
        <v>14960</v>
      </c>
      <c r="W973" s="3">
        <f t="shared" si="168"/>
        <v>0</v>
      </c>
      <c r="X973" s="5">
        <f t="shared" si="169"/>
        <v>58</v>
      </c>
      <c r="Y973" s="5">
        <f>IF(U973="Open",Lookups!$B$2-B973,X973)</f>
        <v>58</v>
      </c>
      <c r="Z973" t="str">
        <f t="shared" si="170"/>
        <v>OK</v>
      </c>
      <c r="AA973" t="str">
        <f t="shared" si="171"/>
        <v>2025-01</v>
      </c>
      <c r="AB973" t="str">
        <f t="shared" si="172"/>
        <v>2025-03</v>
      </c>
      <c r="AC973" t="str">
        <f t="shared" si="173"/>
        <v>Q1-2025</v>
      </c>
      <c r="AD973" s="5">
        <f t="shared" si="174"/>
        <v>43</v>
      </c>
      <c r="AE973" t="str">
        <f t="shared" si="175"/>
        <v>Won</v>
      </c>
    </row>
    <row r="974" spans="1:31">
      <c r="A974" t="s">
        <v>1076</v>
      </c>
      <c r="B974" s="1">
        <v>45703</v>
      </c>
      <c r="C974" t="s">
        <v>90</v>
      </c>
      <c r="D974" t="s">
        <v>57</v>
      </c>
      <c r="E974" t="s">
        <v>75</v>
      </c>
      <c r="F974" t="s">
        <v>52</v>
      </c>
      <c r="G974" t="s">
        <v>94</v>
      </c>
      <c r="H974" t="s">
        <v>47</v>
      </c>
      <c r="I974" t="s">
        <v>48</v>
      </c>
      <c r="J974" s="1">
        <v>46035</v>
      </c>
      <c r="K974" s="1"/>
      <c r="L974" s="3">
        <v>5800</v>
      </c>
      <c r="M974" s="4">
        <v>0</v>
      </c>
      <c r="N974" s="4">
        <v>0.85</v>
      </c>
      <c r="P974">
        <v>5</v>
      </c>
      <c r="Q974" t="str">
        <f>IFERROR(VLOOKUP(E974,Lookups!$A$5:$B$24,2,FALSE),"Other")</f>
        <v>Webinar</v>
      </c>
      <c r="R974" t="str">
        <f>IFERROR(VLOOKUP(F974,Lookups!$D$5:$F$10,2,FALSE),"Unknown Product")</f>
        <v>NexaCRM Core</v>
      </c>
      <c r="S974" t="str">
        <f>IFERROR(VLOOKUP(F974,Lookups!$D$5:$F$10,3,FALSE),"Unknown")</f>
        <v>CRM</v>
      </c>
      <c r="T974" t="str">
        <f t="shared" si="165"/>
        <v>SMB</v>
      </c>
      <c r="U974" t="str">
        <f t="shared" si="166"/>
        <v>Open</v>
      </c>
      <c r="V974" s="3">
        <f t="shared" si="167"/>
        <v>0</v>
      </c>
      <c r="W974" s="3">
        <f t="shared" si="168"/>
        <v>4930</v>
      </c>
      <c r="X974" s="5" t="str">
        <f t="shared" si="169"/>
        <v/>
      </c>
      <c r="Y974" s="5">
        <f>IF(U974="Open",Lookups!$B$2-B974,X974)</f>
        <v>563</v>
      </c>
      <c r="Z974" t="str">
        <f t="shared" si="170"/>
        <v>STALE</v>
      </c>
      <c r="AA974" t="str">
        <f t="shared" si="171"/>
        <v>2025-02</v>
      </c>
      <c r="AB974" t="str">
        <f t="shared" si="172"/>
        <v/>
      </c>
      <c r="AC974" t="str">
        <f t="shared" si="173"/>
        <v>Q1-2025</v>
      </c>
      <c r="AD974" s="5">
        <f t="shared" si="174"/>
        <v>43</v>
      </c>
      <c r="AE974" t="str">
        <f t="shared" si="175"/>
        <v>Commit</v>
      </c>
    </row>
    <row r="975" spans="1:31">
      <c r="A975" t="s">
        <v>1077</v>
      </c>
      <c r="B975" s="1">
        <v>46039</v>
      </c>
      <c r="C975" t="s">
        <v>50</v>
      </c>
      <c r="D975" t="s">
        <v>43</v>
      </c>
      <c r="E975" t="s">
        <v>44</v>
      </c>
      <c r="F975" t="s">
        <v>67</v>
      </c>
      <c r="G975" t="s">
        <v>46</v>
      </c>
      <c r="H975" t="s">
        <v>47</v>
      </c>
      <c r="I975" t="s">
        <v>61</v>
      </c>
      <c r="J975" s="1">
        <v>46104</v>
      </c>
      <c r="K975" s="1">
        <v>46104</v>
      </c>
      <c r="L975" s="3">
        <v>20600</v>
      </c>
      <c r="M975" s="4">
        <v>0</v>
      </c>
      <c r="N975" s="4">
        <v>0</v>
      </c>
      <c r="O975" t="s">
        <v>62</v>
      </c>
      <c r="P975">
        <v>2</v>
      </c>
      <c r="Q975" t="str">
        <f>IFERROR(VLOOKUP(E975,Lookups!$A$5:$B$24,2,FALSE),"Other")</f>
        <v>Organic Search</v>
      </c>
      <c r="R975" t="str">
        <f>IFERROR(VLOOKUP(F975,Lookups!$D$5:$F$10,2,FALSE),"Unknown Product")</f>
        <v>Revenue Operations Suite</v>
      </c>
      <c r="S975" t="str">
        <f>IFERROR(VLOOKUP(F975,Lookups!$D$5:$F$10,3,FALSE),"Unknown")</f>
        <v>Revenue Ops</v>
      </c>
      <c r="T975" t="str">
        <f t="shared" si="165"/>
        <v>Mid-Market</v>
      </c>
      <c r="U975" t="str">
        <f t="shared" si="166"/>
        <v>Lost</v>
      </c>
      <c r="V975" s="3">
        <f t="shared" si="167"/>
        <v>0</v>
      </c>
      <c r="W975" s="3">
        <f t="shared" si="168"/>
        <v>0</v>
      </c>
      <c r="X975" s="5">
        <f t="shared" si="169"/>
        <v>65</v>
      </c>
      <c r="Y975" s="5">
        <f>IF(U975="Open",Lookups!$B$2-B975,X975)</f>
        <v>65</v>
      </c>
      <c r="Z975" t="str">
        <f t="shared" si="170"/>
        <v>OK</v>
      </c>
      <c r="AA975" t="str">
        <f t="shared" si="171"/>
        <v>2026-01</v>
      </c>
      <c r="AB975" t="str">
        <f t="shared" si="172"/>
        <v>2026-03</v>
      </c>
      <c r="AC975" t="str">
        <f t="shared" si="173"/>
        <v>Q1-2026</v>
      </c>
      <c r="AD975" s="5">
        <f t="shared" si="174"/>
        <v>57</v>
      </c>
      <c r="AE975" t="str">
        <f t="shared" si="175"/>
        <v>Lost</v>
      </c>
    </row>
    <row r="976" spans="1:31">
      <c r="A976" t="s">
        <v>1078</v>
      </c>
      <c r="B976" s="1">
        <v>45711</v>
      </c>
      <c r="C976" t="s">
        <v>64</v>
      </c>
      <c r="D976" t="s">
        <v>57</v>
      </c>
      <c r="E976" t="s">
        <v>127</v>
      </c>
      <c r="F976" t="s">
        <v>45</v>
      </c>
      <c r="G976" t="s">
        <v>94</v>
      </c>
      <c r="H976" t="s">
        <v>47</v>
      </c>
      <c r="I976" t="s">
        <v>77</v>
      </c>
      <c r="J976" s="1">
        <v>45756</v>
      </c>
      <c r="K976" s="1">
        <v>45756</v>
      </c>
      <c r="L976" s="3">
        <v>21100</v>
      </c>
      <c r="M976" s="4">
        <v>0.08</v>
      </c>
      <c r="N976" s="4">
        <v>1</v>
      </c>
      <c r="P976">
        <v>6</v>
      </c>
      <c r="Q976" t="str">
        <f>IFERROR(VLOOKUP(E976,Lookups!$A$5:$B$24,2,FALSE),"Other")</f>
        <v>Paid Search</v>
      </c>
      <c r="R976" t="str">
        <f>IFERROR(VLOOKUP(F976,Lookups!$D$5:$F$10,2,FALSE),"Unknown Product")</f>
        <v>Service Cloud</v>
      </c>
      <c r="S976" t="str">
        <f>IFERROR(VLOOKUP(F976,Lookups!$D$5:$F$10,3,FALSE),"Unknown")</f>
        <v>Customer Service</v>
      </c>
      <c r="T976" t="str">
        <f t="shared" si="165"/>
        <v>Mid-Market</v>
      </c>
      <c r="U976" t="str">
        <f t="shared" si="166"/>
        <v>Won</v>
      </c>
      <c r="V976" s="3">
        <f t="shared" si="167"/>
        <v>19412</v>
      </c>
      <c r="W976" s="3">
        <f t="shared" si="168"/>
        <v>0</v>
      </c>
      <c r="X976" s="5">
        <f t="shared" si="169"/>
        <v>45</v>
      </c>
      <c r="Y976" s="5">
        <f>IF(U976="Open",Lookups!$B$2-B976,X976)</f>
        <v>45</v>
      </c>
      <c r="Z976" t="str">
        <f t="shared" si="170"/>
        <v>OK</v>
      </c>
      <c r="AA976" t="str">
        <f t="shared" si="171"/>
        <v>2025-02</v>
      </c>
      <c r="AB976" t="str">
        <f t="shared" si="172"/>
        <v>2025-04</v>
      </c>
      <c r="AC976" t="str">
        <f t="shared" si="173"/>
        <v>Q1-2025</v>
      </c>
      <c r="AD976" s="5">
        <f t="shared" si="174"/>
        <v>51</v>
      </c>
      <c r="AE976" t="str">
        <f t="shared" si="175"/>
        <v>Won</v>
      </c>
    </row>
    <row r="977" spans="1:31">
      <c r="A977" t="s">
        <v>1079</v>
      </c>
      <c r="B977" s="1">
        <v>46033</v>
      </c>
      <c r="C977" t="s">
        <v>64</v>
      </c>
      <c r="D977" t="s">
        <v>57</v>
      </c>
      <c r="E977" t="s">
        <v>96</v>
      </c>
      <c r="F977" t="s">
        <v>52</v>
      </c>
      <c r="G977" t="s">
        <v>60</v>
      </c>
      <c r="H977" t="s">
        <v>47</v>
      </c>
      <c r="I977" t="s">
        <v>48</v>
      </c>
      <c r="J977" s="1">
        <v>46150</v>
      </c>
      <c r="K977" s="1"/>
      <c r="L977" s="3">
        <v>5300</v>
      </c>
      <c r="M977" s="4">
        <v>0</v>
      </c>
      <c r="N977" s="4">
        <v>0.85</v>
      </c>
      <c r="P977">
        <v>5</v>
      </c>
      <c r="Q977" t="str">
        <f>IFERROR(VLOOKUP(E977,Lookups!$A$5:$B$24,2,FALSE),"Other")</f>
        <v>LinkedIn</v>
      </c>
      <c r="R977" t="str">
        <f>IFERROR(VLOOKUP(F977,Lookups!$D$5:$F$10,2,FALSE),"Unknown Product")</f>
        <v>NexaCRM Core</v>
      </c>
      <c r="S977" t="str">
        <f>IFERROR(VLOOKUP(F977,Lookups!$D$5:$F$10,3,FALSE),"Unknown")</f>
        <v>CRM</v>
      </c>
      <c r="T977" t="str">
        <f t="shared" si="165"/>
        <v>SMB</v>
      </c>
      <c r="U977" t="str">
        <f t="shared" si="166"/>
        <v>Open</v>
      </c>
      <c r="V977" s="3">
        <f t="shared" si="167"/>
        <v>0</v>
      </c>
      <c r="W977" s="3">
        <f t="shared" si="168"/>
        <v>4505</v>
      </c>
      <c r="X977" s="5" t="str">
        <f t="shared" si="169"/>
        <v/>
      </c>
      <c r="Y977" s="5">
        <f>IF(U977="Open",Lookups!$B$2-B977,X977)</f>
        <v>233</v>
      </c>
      <c r="Z977" t="str">
        <f t="shared" si="170"/>
        <v>STALE</v>
      </c>
      <c r="AA977" t="str">
        <f t="shared" si="171"/>
        <v>2026-01</v>
      </c>
      <c r="AB977" t="str">
        <f t="shared" si="172"/>
        <v/>
      </c>
      <c r="AC977" t="str">
        <f t="shared" si="173"/>
        <v>Q1-2026</v>
      </c>
      <c r="AD977" s="5">
        <f t="shared" si="174"/>
        <v>43</v>
      </c>
      <c r="AE977" t="str">
        <f t="shared" si="175"/>
        <v>Commit</v>
      </c>
    </row>
    <row r="978" spans="1:31">
      <c r="A978" t="s">
        <v>1080</v>
      </c>
      <c r="B978" s="1">
        <v>45788</v>
      </c>
      <c r="C978" t="s">
        <v>69</v>
      </c>
      <c r="D978" t="s">
        <v>57</v>
      </c>
      <c r="E978" t="s">
        <v>83</v>
      </c>
      <c r="F978" t="s">
        <v>59</v>
      </c>
      <c r="G978" t="s">
        <v>76</v>
      </c>
      <c r="H978" t="s">
        <v>47</v>
      </c>
      <c r="I978" t="s">
        <v>77</v>
      </c>
      <c r="J978" s="1">
        <v>45853</v>
      </c>
      <c r="K978" s="1">
        <v>45853</v>
      </c>
      <c r="L978" s="3">
        <v>17900</v>
      </c>
      <c r="M978" s="4">
        <v>0</v>
      </c>
      <c r="N978" s="4">
        <v>1</v>
      </c>
      <c r="P978">
        <v>6</v>
      </c>
      <c r="Q978" t="str">
        <f>IFERROR(VLOOKUP(E978,Lookups!$A$5:$B$24,2,FALSE),"Other")</f>
        <v>Organic Search</v>
      </c>
      <c r="R978" t="str">
        <f>IFERROR(VLOOKUP(F978,Lookups!$D$5:$F$10,2,FALSE),"Unknown Product")</f>
        <v>NexaCRM Pro</v>
      </c>
      <c r="S978" t="str">
        <f>IFERROR(VLOOKUP(F978,Lookups!$D$5:$F$10,3,FALSE),"Unknown")</f>
        <v>CRM</v>
      </c>
      <c r="T978" t="str">
        <f t="shared" si="165"/>
        <v>SMB</v>
      </c>
      <c r="U978" t="str">
        <f t="shared" si="166"/>
        <v>Won</v>
      </c>
      <c r="V978" s="3">
        <f t="shared" si="167"/>
        <v>17900</v>
      </c>
      <c r="W978" s="3">
        <f t="shared" si="168"/>
        <v>0</v>
      </c>
      <c r="X978" s="5">
        <f t="shared" si="169"/>
        <v>65</v>
      </c>
      <c r="Y978" s="5">
        <f>IF(U978="Open",Lookups!$B$2-B978,X978)</f>
        <v>65</v>
      </c>
      <c r="Z978" t="str">
        <f t="shared" si="170"/>
        <v>OK</v>
      </c>
      <c r="AA978" t="str">
        <f t="shared" si="171"/>
        <v>2025-05</v>
      </c>
      <c r="AB978" t="str">
        <f t="shared" si="172"/>
        <v>2025-07</v>
      </c>
      <c r="AC978" t="str">
        <f t="shared" si="173"/>
        <v>Q2-2025</v>
      </c>
      <c r="AD978" s="5">
        <f t="shared" si="174"/>
        <v>49</v>
      </c>
      <c r="AE978" t="str">
        <f t="shared" si="175"/>
        <v>Won</v>
      </c>
    </row>
    <row r="979" spans="1:31">
      <c r="A979" t="s">
        <v>1081</v>
      </c>
      <c r="B979" s="1">
        <v>46032</v>
      </c>
      <c r="C979" t="s">
        <v>56</v>
      </c>
      <c r="D979" t="s">
        <v>57</v>
      </c>
      <c r="E979" t="s">
        <v>146</v>
      </c>
      <c r="F979" t="s">
        <v>45</v>
      </c>
      <c r="G979" t="s">
        <v>72</v>
      </c>
      <c r="H979" t="s">
        <v>53</v>
      </c>
      <c r="I979" t="s">
        <v>77</v>
      </c>
      <c r="J979" s="1">
        <v>46105</v>
      </c>
      <c r="K979" s="1">
        <v>46105</v>
      </c>
      <c r="L979" s="3">
        <v>41800</v>
      </c>
      <c r="M979" s="4">
        <v>0.12</v>
      </c>
      <c r="N979" s="4">
        <v>1</v>
      </c>
      <c r="P979">
        <v>6</v>
      </c>
      <c r="Q979" t="str">
        <f>IFERROR(VLOOKUP(E979,Lookups!$A$5:$B$24,2,FALSE),"Other")</f>
        <v>LinkedIn</v>
      </c>
      <c r="R979" t="str">
        <f>IFERROR(VLOOKUP(F979,Lookups!$D$5:$F$10,2,FALSE),"Unknown Product")</f>
        <v>Service Cloud</v>
      </c>
      <c r="S979" t="str">
        <f>IFERROR(VLOOKUP(F979,Lookups!$D$5:$F$10,3,FALSE),"Unknown")</f>
        <v>Customer Service</v>
      </c>
      <c r="T979" t="str">
        <f t="shared" si="165"/>
        <v>Mid-Market</v>
      </c>
      <c r="U979" t="str">
        <f t="shared" si="166"/>
        <v>Won</v>
      </c>
      <c r="V979" s="3">
        <f t="shared" si="167"/>
        <v>36784</v>
      </c>
      <c r="W979" s="3">
        <f t="shared" si="168"/>
        <v>0</v>
      </c>
      <c r="X979" s="5">
        <f t="shared" si="169"/>
        <v>73</v>
      </c>
      <c r="Y979" s="5">
        <f>IF(U979="Open",Lookups!$B$2-B979,X979)</f>
        <v>73</v>
      </c>
      <c r="Z979" t="str">
        <f t="shared" si="170"/>
        <v>OK</v>
      </c>
      <c r="AA979" t="str">
        <f t="shared" si="171"/>
        <v>2026-01</v>
      </c>
      <c r="AB979" t="str">
        <f t="shared" si="172"/>
        <v>2026-03</v>
      </c>
      <c r="AC979" t="str">
        <f t="shared" si="173"/>
        <v>Q1-2026</v>
      </c>
      <c r="AD979" s="5">
        <f t="shared" si="174"/>
        <v>59</v>
      </c>
      <c r="AE979" t="str">
        <f t="shared" si="175"/>
        <v>Won</v>
      </c>
    </row>
    <row r="980" spans="1:31">
      <c r="A980" t="s">
        <v>1082</v>
      </c>
      <c r="B980" s="1">
        <v>46034</v>
      </c>
      <c r="C980" t="s">
        <v>56</v>
      </c>
      <c r="D980" t="s">
        <v>57</v>
      </c>
      <c r="E980" t="s">
        <v>98</v>
      </c>
      <c r="F980" t="s">
        <v>67</v>
      </c>
      <c r="G980" t="s">
        <v>94</v>
      </c>
      <c r="H980" t="s">
        <v>47</v>
      </c>
      <c r="I980" t="s">
        <v>48</v>
      </c>
      <c r="J980" s="1">
        <v>46165</v>
      </c>
      <c r="K980" s="1"/>
      <c r="L980" s="3">
        <v>37300</v>
      </c>
      <c r="M980" s="4">
        <v>0.05</v>
      </c>
      <c r="N980" s="4">
        <v>0.85</v>
      </c>
      <c r="P980">
        <v>5</v>
      </c>
      <c r="Q980" t="str">
        <f>IFERROR(VLOOKUP(E980,Lookups!$A$5:$B$24,2,FALSE),"Other")</f>
        <v>Outbound</v>
      </c>
      <c r="R980" t="str">
        <f>IFERROR(VLOOKUP(F980,Lookups!$D$5:$F$10,2,FALSE),"Unknown Product")</f>
        <v>Revenue Operations Suite</v>
      </c>
      <c r="S980" t="str">
        <f>IFERROR(VLOOKUP(F980,Lookups!$D$5:$F$10,3,FALSE),"Unknown")</f>
        <v>Revenue Ops</v>
      </c>
      <c r="T980" t="str">
        <f t="shared" si="165"/>
        <v>Mid-Market</v>
      </c>
      <c r="U980" t="str">
        <f t="shared" si="166"/>
        <v>Open</v>
      </c>
      <c r="V980" s="3">
        <f t="shared" si="167"/>
        <v>0</v>
      </c>
      <c r="W980" s="3">
        <f t="shared" si="168"/>
        <v>31705</v>
      </c>
      <c r="X980" s="5" t="str">
        <f t="shared" si="169"/>
        <v/>
      </c>
      <c r="Y980" s="5">
        <f>IF(U980="Open",Lookups!$B$2-B980,X980)</f>
        <v>232</v>
      </c>
      <c r="Z980" t="str">
        <f t="shared" si="170"/>
        <v>STALE</v>
      </c>
      <c r="AA980" t="str">
        <f t="shared" si="171"/>
        <v>2026-01</v>
      </c>
      <c r="AB980" t="str">
        <f t="shared" si="172"/>
        <v/>
      </c>
      <c r="AC980" t="str">
        <f t="shared" si="173"/>
        <v>Q1-2026</v>
      </c>
      <c r="AD980" s="5">
        <f t="shared" si="174"/>
        <v>51</v>
      </c>
      <c r="AE980" t="str">
        <f t="shared" si="175"/>
        <v>Commit</v>
      </c>
    </row>
    <row r="981" spans="1:31">
      <c r="A981" t="s">
        <v>1083</v>
      </c>
      <c r="B981" s="1">
        <v>46074</v>
      </c>
      <c r="C981" t="s">
        <v>42</v>
      </c>
      <c r="D981" t="s">
        <v>43</v>
      </c>
      <c r="E981" t="s">
        <v>44</v>
      </c>
      <c r="F981" t="s">
        <v>45</v>
      </c>
      <c r="G981" t="s">
        <v>112</v>
      </c>
      <c r="H981" t="s">
        <v>84</v>
      </c>
      <c r="I981" t="s">
        <v>61</v>
      </c>
      <c r="J981" s="1">
        <v>46134</v>
      </c>
      <c r="K981" s="1">
        <v>46134</v>
      </c>
      <c r="L981" s="3">
        <v>50800</v>
      </c>
      <c r="M981" s="4">
        <v>0</v>
      </c>
      <c r="N981" s="4">
        <v>0</v>
      </c>
      <c r="O981" t="s">
        <v>81</v>
      </c>
      <c r="P981">
        <v>3</v>
      </c>
      <c r="Q981" t="str">
        <f>IFERROR(VLOOKUP(E981,Lookups!$A$5:$B$24,2,FALSE),"Other")</f>
        <v>Organic Search</v>
      </c>
      <c r="R981" t="str">
        <f>IFERROR(VLOOKUP(F981,Lookups!$D$5:$F$10,2,FALSE),"Unknown Product")</f>
        <v>Service Cloud</v>
      </c>
      <c r="S981" t="str">
        <f>IFERROR(VLOOKUP(F981,Lookups!$D$5:$F$10,3,FALSE),"Unknown")</f>
        <v>Customer Service</v>
      </c>
      <c r="T981" t="str">
        <f t="shared" si="165"/>
        <v>Enterprise</v>
      </c>
      <c r="U981" t="str">
        <f t="shared" si="166"/>
        <v>Lost</v>
      </c>
      <c r="V981" s="3">
        <f t="shared" si="167"/>
        <v>0</v>
      </c>
      <c r="W981" s="3">
        <f t="shared" si="168"/>
        <v>0</v>
      </c>
      <c r="X981" s="5">
        <f t="shared" si="169"/>
        <v>60</v>
      </c>
      <c r="Y981" s="5">
        <f>IF(U981="Open",Lookups!$B$2-B981,X981)</f>
        <v>60</v>
      </c>
      <c r="Z981" t="str">
        <f t="shared" si="170"/>
        <v>OK</v>
      </c>
      <c r="AA981" t="str">
        <f t="shared" si="171"/>
        <v>2026-02</v>
      </c>
      <c r="AB981" t="str">
        <f t="shared" si="172"/>
        <v>2026-04</v>
      </c>
      <c r="AC981" t="str">
        <f t="shared" si="173"/>
        <v>Q1-2026</v>
      </c>
      <c r="AD981" s="5">
        <f t="shared" si="174"/>
        <v>85</v>
      </c>
      <c r="AE981" t="str">
        <f t="shared" si="175"/>
        <v>Lost</v>
      </c>
    </row>
    <row r="982" spans="1:31">
      <c r="A982" t="s">
        <v>1084</v>
      </c>
      <c r="B982" s="1">
        <v>45908</v>
      </c>
      <c r="C982" t="s">
        <v>90</v>
      </c>
      <c r="D982" t="s">
        <v>57</v>
      </c>
      <c r="E982" t="s">
        <v>58</v>
      </c>
      <c r="F982" t="s">
        <v>67</v>
      </c>
      <c r="G982" t="s">
        <v>94</v>
      </c>
      <c r="H982" t="s">
        <v>47</v>
      </c>
      <c r="I982" t="s">
        <v>61</v>
      </c>
      <c r="J982" s="1">
        <v>45975</v>
      </c>
      <c r="K982" s="1">
        <v>45975</v>
      </c>
      <c r="L982" s="3">
        <v>26200</v>
      </c>
      <c r="M982" s="4">
        <v>0</v>
      </c>
      <c r="N982" s="4">
        <v>0</v>
      </c>
      <c r="O982" t="s">
        <v>79</v>
      </c>
      <c r="P982">
        <v>3</v>
      </c>
      <c r="Q982" t="str">
        <f>IFERROR(VLOOKUP(E982,Lookups!$A$5:$B$24,2,FALSE),"Other")</f>
        <v>Email</v>
      </c>
      <c r="R982" t="str">
        <f>IFERROR(VLOOKUP(F982,Lookups!$D$5:$F$10,2,FALSE),"Unknown Product")</f>
        <v>Revenue Operations Suite</v>
      </c>
      <c r="S982" t="str">
        <f>IFERROR(VLOOKUP(F982,Lookups!$D$5:$F$10,3,FALSE),"Unknown")</f>
        <v>Revenue Ops</v>
      </c>
      <c r="T982" t="str">
        <f t="shared" si="165"/>
        <v>Mid-Market</v>
      </c>
      <c r="U982" t="str">
        <f t="shared" si="166"/>
        <v>Lost</v>
      </c>
      <c r="V982" s="3">
        <f t="shared" si="167"/>
        <v>0</v>
      </c>
      <c r="W982" s="3">
        <f t="shared" si="168"/>
        <v>0</v>
      </c>
      <c r="X982" s="5">
        <f t="shared" si="169"/>
        <v>67</v>
      </c>
      <c r="Y982" s="5">
        <f>IF(U982="Open",Lookups!$B$2-B982,X982)</f>
        <v>67</v>
      </c>
      <c r="Z982" t="str">
        <f t="shared" si="170"/>
        <v>OK</v>
      </c>
      <c r="AA982" t="str">
        <f t="shared" si="171"/>
        <v>2025-09</v>
      </c>
      <c r="AB982" t="str">
        <f t="shared" si="172"/>
        <v>2025-11</v>
      </c>
      <c r="AC982" t="str">
        <f t="shared" si="173"/>
        <v>Q3-2025</v>
      </c>
      <c r="AD982" s="5">
        <f t="shared" si="174"/>
        <v>55</v>
      </c>
      <c r="AE982" t="str">
        <f t="shared" si="175"/>
        <v>Lost</v>
      </c>
    </row>
    <row r="983" spans="1:31">
      <c r="A983" t="s">
        <v>1085</v>
      </c>
      <c r="B983" s="1">
        <v>45863</v>
      </c>
      <c r="C983" t="s">
        <v>64</v>
      </c>
      <c r="D983" t="s">
        <v>57</v>
      </c>
      <c r="E983" t="s">
        <v>146</v>
      </c>
      <c r="F983" t="s">
        <v>71</v>
      </c>
      <c r="G983" t="s">
        <v>46</v>
      </c>
      <c r="H983" t="s">
        <v>47</v>
      </c>
      <c r="I983" t="s">
        <v>77</v>
      </c>
      <c r="J983" s="1">
        <v>45914</v>
      </c>
      <c r="K983" s="1">
        <v>45914</v>
      </c>
      <c r="L983" s="3">
        <v>17400</v>
      </c>
      <c r="M983" s="4">
        <v>0.08</v>
      </c>
      <c r="N983" s="4">
        <v>1</v>
      </c>
      <c r="P983">
        <v>6</v>
      </c>
      <c r="Q983" t="str">
        <f>IFERROR(VLOOKUP(E983,Lookups!$A$5:$B$24,2,FALSE),"Other")</f>
        <v>LinkedIn</v>
      </c>
      <c r="R983" t="str">
        <f>IFERROR(VLOOKUP(F983,Lookups!$D$5:$F$10,2,FALSE),"Unknown Product")</f>
        <v>Marketing Automation</v>
      </c>
      <c r="S983" t="str">
        <f>IFERROR(VLOOKUP(F983,Lookups!$D$5:$F$10,3,FALSE),"Unknown")</f>
        <v>Marketing</v>
      </c>
      <c r="T983" t="str">
        <f t="shared" si="165"/>
        <v>SMB</v>
      </c>
      <c r="U983" t="str">
        <f t="shared" si="166"/>
        <v>Won</v>
      </c>
      <c r="V983" s="3">
        <f t="shared" si="167"/>
        <v>16008</v>
      </c>
      <c r="W983" s="3">
        <f t="shared" si="168"/>
        <v>0</v>
      </c>
      <c r="X983" s="5">
        <f t="shared" si="169"/>
        <v>51</v>
      </c>
      <c r="Y983" s="5">
        <f>IF(U983="Open",Lookups!$B$2-B983,X983)</f>
        <v>51</v>
      </c>
      <c r="Z983" t="str">
        <f t="shared" si="170"/>
        <v>OK</v>
      </c>
      <c r="AA983" t="str">
        <f t="shared" si="171"/>
        <v>2025-07</v>
      </c>
      <c r="AB983" t="str">
        <f t="shared" si="172"/>
        <v>2025-09</v>
      </c>
      <c r="AC983" t="str">
        <f t="shared" si="173"/>
        <v>Q3-2025</v>
      </c>
      <c r="AD983" s="5">
        <f t="shared" si="174"/>
        <v>43</v>
      </c>
      <c r="AE983" t="str">
        <f t="shared" si="175"/>
        <v>Won</v>
      </c>
    </row>
    <row r="984" spans="1:31">
      <c r="A984" t="s">
        <v>1086</v>
      </c>
      <c r="B984" s="1">
        <v>45922</v>
      </c>
      <c r="C984" t="s">
        <v>90</v>
      </c>
      <c r="D984" t="s">
        <v>57</v>
      </c>
      <c r="E984" t="s">
        <v>115</v>
      </c>
      <c r="F984" t="s">
        <v>59</v>
      </c>
      <c r="G984" t="s">
        <v>60</v>
      </c>
      <c r="H984" t="s">
        <v>47</v>
      </c>
      <c r="I984" t="s">
        <v>61</v>
      </c>
      <c r="J984" s="1">
        <v>45976</v>
      </c>
      <c r="K984" s="1">
        <v>45976</v>
      </c>
      <c r="L984" s="3">
        <v>21400</v>
      </c>
      <c r="M984" s="4">
        <v>0</v>
      </c>
      <c r="N984" s="4">
        <v>0</v>
      </c>
      <c r="O984" t="s">
        <v>79</v>
      </c>
      <c r="P984">
        <v>3</v>
      </c>
      <c r="Q984" t="str">
        <f>IFERROR(VLOOKUP(E984,Lookups!$A$5:$B$24,2,FALSE),"Other")</f>
        <v>Outbound</v>
      </c>
      <c r="R984" t="str">
        <f>IFERROR(VLOOKUP(F984,Lookups!$D$5:$F$10,2,FALSE),"Unknown Product")</f>
        <v>NexaCRM Pro</v>
      </c>
      <c r="S984" t="str">
        <f>IFERROR(VLOOKUP(F984,Lookups!$D$5:$F$10,3,FALSE),"Unknown")</f>
        <v>CRM</v>
      </c>
      <c r="T984" t="str">
        <f t="shared" si="165"/>
        <v>Mid-Market</v>
      </c>
      <c r="U984" t="str">
        <f t="shared" si="166"/>
        <v>Lost</v>
      </c>
      <c r="V984" s="3">
        <f t="shared" si="167"/>
        <v>0</v>
      </c>
      <c r="W984" s="3">
        <f t="shared" si="168"/>
        <v>0</v>
      </c>
      <c r="X984" s="5">
        <f t="shared" si="169"/>
        <v>54</v>
      </c>
      <c r="Y984" s="5">
        <f>IF(U984="Open",Lookups!$B$2-B984,X984)</f>
        <v>54</v>
      </c>
      <c r="Z984" t="str">
        <f t="shared" si="170"/>
        <v>OK</v>
      </c>
      <c r="AA984" t="str">
        <f t="shared" si="171"/>
        <v>2025-09</v>
      </c>
      <c r="AB984" t="str">
        <f t="shared" si="172"/>
        <v>2025-11</v>
      </c>
      <c r="AC984" t="str">
        <f t="shared" si="173"/>
        <v>Q3-2025</v>
      </c>
      <c r="AD984" s="5">
        <f t="shared" si="174"/>
        <v>51</v>
      </c>
      <c r="AE984" t="str">
        <f t="shared" si="175"/>
        <v>Lost</v>
      </c>
    </row>
    <row r="985" spans="1:31">
      <c r="A985" t="s">
        <v>1087</v>
      </c>
      <c r="B985" s="1">
        <v>46006</v>
      </c>
      <c r="C985" t="s">
        <v>42</v>
      </c>
      <c r="D985" t="s">
        <v>43</v>
      </c>
      <c r="E985" t="s">
        <v>123</v>
      </c>
      <c r="F985" t="s">
        <v>52</v>
      </c>
      <c r="G985" t="s">
        <v>99</v>
      </c>
      <c r="H985" t="s">
        <v>84</v>
      </c>
      <c r="I985" t="s">
        <v>77</v>
      </c>
      <c r="J985" s="1">
        <v>46120</v>
      </c>
      <c r="K985" s="1">
        <v>46120</v>
      </c>
      <c r="L985" s="3">
        <v>25900</v>
      </c>
      <c r="M985" s="4">
        <v>0.1</v>
      </c>
      <c r="N985" s="4">
        <v>1</v>
      </c>
      <c r="P985">
        <v>6</v>
      </c>
      <c r="Q985" t="str">
        <f>IFERROR(VLOOKUP(E985,Lookups!$A$5:$B$24,2,FALSE),"Other")</f>
        <v>Email</v>
      </c>
      <c r="R985" t="str">
        <f>IFERROR(VLOOKUP(F985,Lookups!$D$5:$F$10,2,FALSE),"Unknown Product")</f>
        <v>NexaCRM Core</v>
      </c>
      <c r="S985" t="str">
        <f>IFERROR(VLOOKUP(F985,Lookups!$D$5:$F$10,3,FALSE),"Unknown")</f>
        <v>CRM</v>
      </c>
      <c r="T985" t="str">
        <f t="shared" si="165"/>
        <v>Mid-Market</v>
      </c>
      <c r="U985" t="str">
        <f t="shared" si="166"/>
        <v>Won</v>
      </c>
      <c r="V985" s="3">
        <f t="shared" si="167"/>
        <v>23310</v>
      </c>
      <c r="W985" s="3">
        <f t="shared" si="168"/>
        <v>0</v>
      </c>
      <c r="X985" s="5">
        <f t="shared" si="169"/>
        <v>114</v>
      </c>
      <c r="Y985" s="5">
        <f>IF(U985="Open",Lookups!$B$2-B985,X985)</f>
        <v>114</v>
      </c>
      <c r="Z985" t="str">
        <f t="shared" si="170"/>
        <v>OK</v>
      </c>
      <c r="AA985" t="str">
        <f t="shared" si="171"/>
        <v>2025-12</v>
      </c>
      <c r="AB985" t="str">
        <f t="shared" si="172"/>
        <v>2026-04</v>
      </c>
      <c r="AC985" t="str">
        <f t="shared" si="173"/>
        <v>Q4-2025</v>
      </c>
      <c r="AD985" s="5">
        <f t="shared" si="174"/>
        <v>71</v>
      </c>
      <c r="AE985" t="str">
        <f t="shared" si="175"/>
        <v>Won</v>
      </c>
    </row>
    <row r="986" spans="1:31">
      <c r="A986" t="s">
        <v>1088</v>
      </c>
      <c r="B986" s="1">
        <v>45764</v>
      </c>
      <c r="C986" t="s">
        <v>50</v>
      </c>
      <c r="D986" t="s">
        <v>43</v>
      </c>
      <c r="E986" t="s">
        <v>98</v>
      </c>
      <c r="F986" t="s">
        <v>71</v>
      </c>
      <c r="G986" t="s">
        <v>60</v>
      </c>
      <c r="H986" t="s">
        <v>47</v>
      </c>
      <c r="I986" t="s">
        <v>61</v>
      </c>
      <c r="J986" s="1">
        <v>45776</v>
      </c>
      <c r="K986" s="1">
        <v>45776</v>
      </c>
      <c r="L986" s="3">
        <v>15400</v>
      </c>
      <c r="M986" s="4">
        <v>0</v>
      </c>
      <c r="N986" s="4">
        <v>0</v>
      </c>
      <c r="O986" t="s">
        <v>110</v>
      </c>
      <c r="P986">
        <v>4</v>
      </c>
      <c r="Q986" t="str">
        <f>IFERROR(VLOOKUP(E986,Lookups!$A$5:$B$24,2,FALSE),"Other")</f>
        <v>Outbound</v>
      </c>
      <c r="R986" t="str">
        <f>IFERROR(VLOOKUP(F986,Lookups!$D$5:$F$10,2,FALSE),"Unknown Product")</f>
        <v>Marketing Automation</v>
      </c>
      <c r="S986" t="str">
        <f>IFERROR(VLOOKUP(F986,Lookups!$D$5:$F$10,3,FALSE),"Unknown")</f>
        <v>Marketing</v>
      </c>
      <c r="T986" t="str">
        <f t="shared" si="165"/>
        <v>SMB</v>
      </c>
      <c r="U986" t="str">
        <f t="shared" si="166"/>
        <v>Lost</v>
      </c>
      <c r="V986" s="3">
        <f t="shared" si="167"/>
        <v>0</v>
      </c>
      <c r="W986" s="3">
        <f t="shared" si="168"/>
        <v>0</v>
      </c>
      <c r="X986" s="5">
        <f t="shared" si="169"/>
        <v>12</v>
      </c>
      <c r="Y986" s="5">
        <f>IF(U986="Open",Lookups!$B$2-B986,X986)</f>
        <v>12</v>
      </c>
      <c r="Z986" t="str">
        <f t="shared" si="170"/>
        <v>OK</v>
      </c>
      <c r="AA986" t="str">
        <f t="shared" si="171"/>
        <v>2025-04</v>
      </c>
      <c r="AB986" t="str">
        <f t="shared" si="172"/>
        <v>2025-04</v>
      </c>
      <c r="AC986" t="str">
        <f t="shared" si="173"/>
        <v>Q2-2025</v>
      </c>
      <c r="AD986" s="5">
        <f t="shared" si="174"/>
        <v>43</v>
      </c>
      <c r="AE986" t="str">
        <f t="shared" si="175"/>
        <v>Lost</v>
      </c>
    </row>
    <row r="987" spans="1:31">
      <c r="A987" t="s">
        <v>1089</v>
      </c>
      <c r="B987" s="1">
        <v>45961</v>
      </c>
      <c r="C987" t="s">
        <v>90</v>
      </c>
      <c r="D987" t="s">
        <v>57</v>
      </c>
      <c r="E987" t="s">
        <v>65</v>
      </c>
      <c r="F987" t="s">
        <v>45</v>
      </c>
      <c r="G987" t="s">
        <v>94</v>
      </c>
      <c r="H987" t="s">
        <v>53</v>
      </c>
      <c r="I987" t="s">
        <v>61</v>
      </c>
      <c r="J987" s="1">
        <v>46016</v>
      </c>
      <c r="K987" s="1">
        <v>46016</v>
      </c>
      <c r="L987" s="3">
        <v>23300</v>
      </c>
      <c r="M987" s="4">
        <v>0</v>
      </c>
      <c r="N987" s="4">
        <v>0</v>
      </c>
      <c r="O987" t="s">
        <v>102</v>
      </c>
      <c r="P987">
        <v>3</v>
      </c>
      <c r="Q987" t="str">
        <f>IFERROR(VLOOKUP(E987,Lookups!$A$5:$B$24,2,FALSE),"Other")</f>
        <v>Paid Search</v>
      </c>
      <c r="R987" t="str">
        <f>IFERROR(VLOOKUP(F987,Lookups!$D$5:$F$10,2,FALSE),"Unknown Product")</f>
        <v>Service Cloud</v>
      </c>
      <c r="S987" t="str">
        <f>IFERROR(VLOOKUP(F987,Lookups!$D$5:$F$10,3,FALSE),"Unknown")</f>
        <v>Customer Service</v>
      </c>
      <c r="T987" t="str">
        <f t="shared" si="165"/>
        <v>Mid-Market</v>
      </c>
      <c r="U987" t="str">
        <f t="shared" si="166"/>
        <v>Lost</v>
      </c>
      <c r="V987" s="3">
        <f t="shared" si="167"/>
        <v>0</v>
      </c>
      <c r="W987" s="3">
        <f t="shared" si="168"/>
        <v>0</v>
      </c>
      <c r="X987" s="5">
        <f t="shared" si="169"/>
        <v>55</v>
      </c>
      <c r="Y987" s="5">
        <f>IF(U987="Open",Lookups!$B$2-B987,X987)</f>
        <v>55</v>
      </c>
      <c r="Z987" t="str">
        <f t="shared" si="170"/>
        <v>OK</v>
      </c>
      <c r="AA987" t="str">
        <f t="shared" si="171"/>
        <v>2025-10</v>
      </c>
      <c r="AB987" t="str">
        <f t="shared" si="172"/>
        <v>2025-12</v>
      </c>
      <c r="AC987" t="str">
        <f t="shared" si="173"/>
        <v>Q4-2025</v>
      </c>
      <c r="AD987" s="5">
        <f t="shared" si="174"/>
        <v>59</v>
      </c>
      <c r="AE987" t="str">
        <f t="shared" si="175"/>
        <v>Lost</v>
      </c>
    </row>
    <row r="988" spans="1:31">
      <c r="A988" t="s">
        <v>1090</v>
      </c>
      <c r="B988" s="1">
        <v>45674</v>
      </c>
      <c r="C988" t="s">
        <v>69</v>
      </c>
      <c r="D988" t="s">
        <v>57</v>
      </c>
      <c r="E988" t="s">
        <v>160</v>
      </c>
      <c r="F988" t="s">
        <v>133</v>
      </c>
      <c r="G988" t="s">
        <v>112</v>
      </c>
      <c r="H988" t="s">
        <v>47</v>
      </c>
      <c r="I988" t="s">
        <v>61</v>
      </c>
      <c r="J988" s="1">
        <v>45735</v>
      </c>
      <c r="K988" s="1">
        <v>45735</v>
      </c>
      <c r="L988" s="3">
        <v>20600</v>
      </c>
      <c r="M988" s="4">
        <v>0</v>
      </c>
      <c r="N988" s="4">
        <v>0</v>
      </c>
      <c r="O988" t="s">
        <v>62</v>
      </c>
      <c r="P988">
        <v>4</v>
      </c>
      <c r="Q988" t="str">
        <f>IFERROR(VLOOKUP(E988,Lookups!$A$5:$B$24,2,FALSE),"Other")</f>
        <v>Email</v>
      </c>
      <c r="R988" t="str">
        <f>IFERROR(VLOOKUP(F988,Lookups!$D$5:$F$10,2,FALSE),"Unknown Product")</f>
        <v>Analytics Plus</v>
      </c>
      <c r="S988" t="str">
        <f>IFERROR(VLOOKUP(F988,Lookups!$D$5:$F$10,3,FALSE),"Unknown")</f>
        <v>Analytics</v>
      </c>
      <c r="T988" t="str">
        <f t="shared" si="165"/>
        <v>Mid-Market</v>
      </c>
      <c r="U988" t="str">
        <f t="shared" si="166"/>
        <v>Lost</v>
      </c>
      <c r="V988" s="3">
        <f t="shared" si="167"/>
        <v>0</v>
      </c>
      <c r="W988" s="3">
        <f t="shared" si="168"/>
        <v>0</v>
      </c>
      <c r="X988" s="5">
        <f t="shared" si="169"/>
        <v>61</v>
      </c>
      <c r="Y988" s="5">
        <f>IF(U988="Open",Lookups!$B$2-B988,X988)</f>
        <v>61</v>
      </c>
      <c r="Z988" t="str">
        <f t="shared" si="170"/>
        <v>OK</v>
      </c>
      <c r="AA988" t="str">
        <f t="shared" si="171"/>
        <v>2025-01</v>
      </c>
      <c r="AB988" t="str">
        <f t="shared" si="172"/>
        <v>2025-03</v>
      </c>
      <c r="AC988" t="str">
        <f t="shared" si="173"/>
        <v>Q1-2025</v>
      </c>
      <c r="AD988" s="5">
        <f t="shared" si="174"/>
        <v>60</v>
      </c>
      <c r="AE988" t="str">
        <f t="shared" si="175"/>
        <v>Lost</v>
      </c>
    </row>
    <row r="989" spans="1:31">
      <c r="A989" t="s">
        <v>1091</v>
      </c>
      <c r="B989" s="1">
        <v>45934</v>
      </c>
      <c r="C989" t="s">
        <v>86</v>
      </c>
      <c r="D989" t="s">
        <v>87</v>
      </c>
      <c r="E989" t="s">
        <v>160</v>
      </c>
      <c r="F989" t="s">
        <v>133</v>
      </c>
      <c r="G989" t="s">
        <v>99</v>
      </c>
      <c r="H989" t="s">
        <v>47</v>
      </c>
      <c r="I989" t="s">
        <v>61</v>
      </c>
      <c r="J989" s="1">
        <v>45975</v>
      </c>
      <c r="K989" s="1">
        <v>45975</v>
      </c>
      <c r="L989" s="3">
        <v>23700</v>
      </c>
      <c r="M989" s="4">
        <v>0</v>
      </c>
      <c r="N989" s="4">
        <v>0</v>
      </c>
      <c r="O989" t="s">
        <v>81</v>
      </c>
      <c r="P989">
        <v>4</v>
      </c>
      <c r="Q989" t="str">
        <f>IFERROR(VLOOKUP(E989,Lookups!$A$5:$B$24,2,FALSE),"Other")</f>
        <v>Email</v>
      </c>
      <c r="R989" t="str">
        <f>IFERROR(VLOOKUP(F989,Lookups!$D$5:$F$10,2,FALSE),"Unknown Product")</f>
        <v>Analytics Plus</v>
      </c>
      <c r="S989" t="str">
        <f>IFERROR(VLOOKUP(F989,Lookups!$D$5:$F$10,3,FALSE),"Unknown")</f>
        <v>Analytics</v>
      </c>
      <c r="T989" t="str">
        <f t="shared" si="165"/>
        <v>Mid-Market</v>
      </c>
      <c r="U989" t="str">
        <f t="shared" si="166"/>
        <v>Lost</v>
      </c>
      <c r="V989" s="3">
        <f t="shared" si="167"/>
        <v>0</v>
      </c>
      <c r="W989" s="3">
        <f t="shared" si="168"/>
        <v>0</v>
      </c>
      <c r="X989" s="5">
        <f t="shared" si="169"/>
        <v>41</v>
      </c>
      <c r="Y989" s="5">
        <f>IF(U989="Open",Lookups!$B$2-B989,X989)</f>
        <v>41</v>
      </c>
      <c r="Z989" t="str">
        <f t="shared" si="170"/>
        <v>OK</v>
      </c>
      <c r="AA989" t="str">
        <f t="shared" si="171"/>
        <v>2025-10</v>
      </c>
      <c r="AB989" t="str">
        <f t="shared" si="172"/>
        <v>2025-11</v>
      </c>
      <c r="AC989" t="str">
        <f t="shared" si="173"/>
        <v>Q4-2025</v>
      </c>
      <c r="AD989" s="5">
        <f t="shared" si="174"/>
        <v>55</v>
      </c>
      <c r="AE989" t="str">
        <f t="shared" si="175"/>
        <v>Lost</v>
      </c>
    </row>
    <row r="990" spans="1:31">
      <c r="A990" t="s">
        <v>1092</v>
      </c>
      <c r="B990" s="1">
        <v>45681</v>
      </c>
      <c r="C990" t="s">
        <v>148</v>
      </c>
      <c r="D990" t="s">
        <v>43</v>
      </c>
      <c r="E990" t="s">
        <v>127</v>
      </c>
      <c r="F990" t="s">
        <v>71</v>
      </c>
      <c r="G990" t="s">
        <v>60</v>
      </c>
      <c r="H990" t="s">
        <v>47</v>
      </c>
      <c r="I990" t="s">
        <v>61</v>
      </c>
      <c r="J990" s="1">
        <v>45722</v>
      </c>
      <c r="K990" s="1">
        <v>45722</v>
      </c>
      <c r="L990" s="3">
        <v>20000</v>
      </c>
      <c r="M990" s="4">
        <v>0</v>
      </c>
      <c r="N990" s="4">
        <v>0</v>
      </c>
      <c r="O990" t="s">
        <v>110</v>
      </c>
      <c r="P990">
        <v>5</v>
      </c>
      <c r="Q990" t="str">
        <f>IFERROR(VLOOKUP(E990,Lookups!$A$5:$B$24,2,FALSE),"Other")</f>
        <v>Paid Search</v>
      </c>
      <c r="R990" t="str">
        <f>IFERROR(VLOOKUP(F990,Lookups!$D$5:$F$10,2,FALSE),"Unknown Product")</f>
        <v>Marketing Automation</v>
      </c>
      <c r="S990" t="str">
        <f>IFERROR(VLOOKUP(F990,Lookups!$D$5:$F$10,3,FALSE),"Unknown")</f>
        <v>Marketing</v>
      </c>
      <c r="T990" t="str">
        <f t="shared" si="165"/>
        <v>Mid-Market</v>
      </c>
      <c r="U990" t="str">
        <f t="shared" si="166"/>
        <v>Lost</v>
      </c>
      <c r="V990" s="3">
        <f t="shared" si="167"/>
        <v>0</v>
      </c>
      <c r="W990" s="3">
        <f t="shared" si="168"/>
        <v>0</v>
      </c>
      <c r="X990" s="5">
        <f t="shared" si="169"/>
        <v>41</v>
      </c>
      <c r="Y990" s="5">
        <f>IF(U990="Open",Lookups!$B$2-B990,X990)</f>
        <v>41</v>
      </c>
      <c r="Z990" t="str">
        <f t="shared" si="170"/>
        <v>OK</v>
      </c>
      <c r="AA990" t="str">
        <f t="shared" si="171"/>
        <v>2025-01</v>
      </c>
      <c r="AB990" t="str">
        <f t="shared" si="172"/>
        <v>2025-03</v>
      </c>
      <c r="AC990" t="str">
        <f t="shared" si="173"/>
        <v>Q1-2025</v>
      </c>
      <c r="AD990" s="5">
        <f t="shared" si="174"/>
        <v>51</v>
      </c>
      <c r="AE990" t="str">
        <f t="shared" si="175"/>
        <v>Lost</v>
      </c>
    </row>
    <row r="991" spans="1:31">
      <c r="A991" t="s">
        <v>1093</v>
      </c>
      <c r="B991" s="1">
        <v>45878</v>
      </c>
      <c r="C991" t="s">
        <v>50</v>
      </c>
      <c r="D991" t="s">
        <v>43</v>
      </c>
      <c r="E991" t="s">
        <v>166</v>
      </c>
      <c r="F991" t="s">
        <v>71</v>
      </c>
      <c r="G991" t="s">
        <v>112</v>
      </c>
      <c r="H991" t="s">
        <v>53</v>
      </c>
      <c r="I991" t="s">
        <v>61</v>
      </c>
      <c r="J991" s="1">
        <v>45928</v>
      </c>
      <c r="K991" s="1">
        <v>45928</v>
      </c>
      <c r="L991" s="3">
        <v>26200</v>
      </c>
      <c r="M991" s="4">
        <v>0</v>
      </c>
      <c r="N991" s="4">
        <v>0</v>
      </c>
      <c r="O991" t="s">
        <v>110</v>
      </c>
      <c r="P991">
        <v>4</v>
      </c>
      <c r="Q991" t="str">
        <f>IFERROR(VLOOKUP(E991,Lookups!$A$5:$B$24,2,FALSE),"Other")</f>
        <v>Referral</v>
      </c>
      <c r="R991" t="str">
        <f>IFERROR(VLOOKUP(F991,Lookups!$D$5:$F$10,2,FALSE),"Unknown Product")</f>
        <v>Marketing Automation</v>
      </c>
      <c r="S991" t="str">
        <f>IFERROR(VLOOKUP(F991,Lookups!$D$5:$F$10,3,FALSE),"Unknown")</f>
        <v>Marketing</v>
      </c>
      <c r="T991" t="str">
        <f t="shared" si="165"/>
        <v>Mid-Market</v>
      </c>
      <c r="U991" t="str">
        <f t="shared" si="166"/>
        <v>Lost</v>
      </c>
      <c r="V991" s="3">
        <f t="shared" si="167"/>
        <v>0</v>
      </c>
      <c r="W991" s="3">
        <f t="shared" si="168"/>
        <v>0</v>
      </c>
      <c r="X991" s="5">
        <f t="shared" si="169"/>
        <v>50</v>
      </c>
      <c r="Y991" s="5">
        <f>IF(U991="Open",Lookups!$B$2-B991,X991)</f>
        <v>50</v>
      </c>
      <c r="Z991" t="str">
        <f t="shared" si="170"/>
        <v>OK</v>
      </c>
      <c r="AA991" t="str">
        <f t="shared" si="171"/>
        <v>2025-08</v>
      </c>
      <c r="AB991" t="str">
        <f t="shared" si="172"/>
        <v>2025-09</v>
      </c>
      <c r="AC991" t="str">
        <f t="shared" si="173"/>
        <v>Q3-2025</v>
      </c>
      <c r="AD991" s="5">
        <f t="shared" si="174"/>
        <v>75</v>
      </c>
      <c r="AE991" t="str">
        <f t="shared" si="175"/>
        <v>Lost</v>
      </c>
    </row>
    <row r="992" spans="1:31">
      <c r="A992" t="s">
        <v>1094</v>
      </c>
      <c r="B992" s="1">
        <v>46186</v>
      </c>
      <c r="C992" t="s">
        <v>42</v>
      </c>
      <c r="D992" t="s">
        <v>43</v>
      </c>
      <c r="E992" t="s">
        <v>107</v>
      </c>
      <c r="F992" t="s">
        <v>133</v>
      </c>
      <c r="G992" t="s">
        <v>112</v>
      </c>
      <c r="H992" t="s">
        <v>47</v>
      </c>
      <c r="I992" t="s">
        <v>61</v>
      </c>
      <c r="J992" s="1">
        <v>46219</v>
      </c>
      <c r="K992" s="1">
        <v>46219</v>
      </c>
      <c r="L992" s="3">
        <v>29500</v>
      </c>
      <c r="M992" s="4">
        <v>0</v>
      </c>
      <c r="N992" s="4">
        <v>0</v>
      </c>
      <c r="O992" t="s">
        <v>62</v>
      </c>
      <c r="P992">
        <v>5</v>
      </c>
      <c r="Q992" t="str">
        <f>IFERROR(VLOOKUP(E992,Lookups!$A$5:$B$24,2,FALSE),"Other")</f>
        <v>Referral</v>
      </c>
      <c r="R992" t="str">
        <f>IFERROR(VLOOKUP(F992,Lookups!$D$5:$F$10,2,FALSE),"Unknown Product")</f>
        <v>Analytics Plus</v>
      </c>
      <c r="S992" t="str">
        <f>IFERROR(VLOOKUP(F992,Lookups!$D$5:$F$10,3,FALSE),"Unknown")</f>
        <v>Analytics</v>
      </c>
      <c r="T992" t="str">
        <f t="shared" si="165"/>
        <v>Mid-Market</v>
      </c>
      <c r="U992" t="str">
        <f t="shared" si="166"/>
        <v>Lost</v>
      </c>
      <c r="V992" s="3">
        <f t="shared" si="167"/>
        <v>0</v>
      </c>
      <c r="W992" s="3">
        <f t="shared" si="168"/>
        <v>0</v>
      </c>
      <c r="X992" s="5">
        <f t="shared" si="169"/>
        <v>33</v>
      </c>
      <c r="Y992" s="5">
        <f>IF(U992="Open",Lookups!$B$2-B992,X992)</f>
        <v>33</v>
      </c>
      <c r="Z992" t="str">
        <f t="shared" si="170"/>
        <v>OK</v>
      </c>
      <c r="AA992" t="str">
        <f t="shared" si="171"/>
        <v>2026-06</v>
      </c>
      <c r="AB992" t="str">
        <f t="shared" si="172"/>
        <v>2026-07</v>
      </c>
      <c r="AC992" t="str">
        <f t="shared" si="173"/>
        <v>Q2-2026</v>
      </c>
      <c r="AD992" s="5">
        <f t="shared" si="174"/>
        <v>67</v>
      </c>
      <c r="AE992" t="str">
        <f t="shared" si="175"/>
        <v>Lost</v>
      </c>
    </row>
    <row r="993" spans="1:31">
      <c r="A993" t="s">
        <v>1095</v>
      </c>
      <c r="B993" s="1">
        <v>45684</v>
      </c>
      <c r="C993" t="s">
        <v>86</v>
      </c>
      <c r="D993" t="s">
        <v>87</v>
      </c>
      <c r="E993" t="s">
        <v>70</v>
      </c>
      <c r="F993" t="s">
        <v>45</v>
      </c>
      <c r="G993" t="s">
        <v>94</v>
      </c>
      <c r="H993" t="s">
        <v>47</v>
      </c>
      <c r="I993" t="s">
        <v>77</v>
      </c>
      <c r="J993" s="1">
        <v>45733</v>
      </c>
      <c r="K993" s="1">
        <v>45733</v>
      </c>
      <c r="L993" s="3">
        <v>24900</v>
      </c>
      <c r="M993" s="4">
        <v>0.08</v>
      </c>
      <c r="N993" s="4">
        <v>1</v>
      </c>
      <c r="P993">
        <v>6</v>
      </c>
      <c r="Q993" t="str">
        <f>IFERROR(VLOOKUP(E993,Lookups!$A$5:$B$24,2,FALSE),"Other")</f>
        <v>LinkedIn</v>
      </c>
      <c r="R993" t="str">
        <f>IFERROR(VLOOKUP(F993,Lookups!$D$5:$F$10,2,FALSE),"Unknown Product")</f>
        <v>Service Cloud</v>
      </c>
      <c r="S993" t="str">
        <f>IFERROR(VLOOKUP(F993,Lookups!$D$5:$F$10,3,FALSE),"Unknown")</f>
        <v>Customer Service</v>
      </c>
      <c r="T993" t="str">
        <f t="shared" si="165"/>
        <v>Mid-Market</v>
      </c>
      <c r="U993" t="str">
        <f t="shared" si="166"/>
        <v>Won</v>
      </c>
      <c r="V993" s="3">
        <f t="shared" si="167"/>
        <v>22908</v>
      </c>
      <c r="W993" s="3">
        <f t="shared" si="168"/>
        <v>0</v>
      </c>
      <c r="X993" s="5">
        <f t="shared" si="169"/>
        <v>49</v>
      </c>
      <c r="Y993" s="5">
        <f>IF(U993="Open",Lookups!$B$2-B993,X993)</f>
        <v>49</v>
      </c>
      <c r="Z993" t="str">
        <f t="shared" si="170"/>
        <v>OK</v>
      </c>
      <c r="AA993" t="str">
        <f t="shared" si="171"/>
        <v>2025-01</v>
      </c>
      <c r="AB993" t="str">
        <f t="shared" si="172"/>
        <v>2025-03</v>
      </c>
      <c r="AC993" t="str">
        <f t="shared" si="173"/>
        <v>Q1-2025</v>
      </c>
      <c r="AD993" s="5">
        <f t="shared" si="174"/>
        <v>51</v>
      </c>
      <c r="AE993" t="str">
        <f t="shared" si="175"/>
        <v>Won</v>
      </c>
    </row>
    <row r="994" spans="1:31">
      <c r="A994" t="s">
        <v>1096</v>
      </c>
      <c r="B994" s="1">
        <v>46107</v>
      </c>
      <c r="C994" t="s">
        <v>86</v>
      </c>
      <c r="D994" t="s">
        <v>87</v>
      </c>
      <c r="E994" t="s">
        <v>127</v>
      </c>
      <c r="F994" t="s">
        <v>52</v>
      </c>
      <c r="G994" t="s">
        <v>112</v>
      </c>
      <c r="H994" t="s">
        <v>47</v>
      </c>
      <c r="I994" t="s">
        <v>61</v>
      </c>
      <c r="J994" s="1">
        <v>46167</v>
      </c>
      <c r="K994" s="1">
        <v>46167</v>
      </c>
      <c r="L994" s="3">
        <v>10400</v>
      </c>
      <c r="M994" s="4">
        <v>0</v>
      </c>
      <c r="N994" s="4">
        <v>0</v>
      </c>
      <c r="O994" t="s">
        <v>116</v>
      </c>
      <c r="P994">
        <v>3</v>
      </c>
      <c r="Q994" t="str">
        <f>IFERROR(VLOOKUP(E994,Lookups!$A$5:$B$24,2,FALSE),"Other")</f>
        <v>Paid Search</v>
      </c>
      <c r="R994" t="str">
        <f>IFERROR(VLOOKUP(F994,Lookups!$D$5:$F$10,2,FALSE),"Unknown Product")</f>
        <v>NexaCRM Core</v>
      </c>
      <c r="S994" t="str">
        <f>IFERROR(VLOOKUP(F994,Lookups!$D$5:$F$10,3,FALSE),"Unknown")</f>
        <v>CRM</v>
      </c>
      <c r="T994" t="str">
        <f t="shared" si="165"/>
        <v>SMB</v>
      </c>
      <c r="U994" t="str">
        <f t="shared" si="166"/>
        <v>Lost</v>
      </c>
      <c r="V994" s="3">
        <f t="shared" si="167"/>
        <v>0</v>
      </c>
      <c r="W994" s="3">
        <f t="shared" si="168"/>
        <v>0</v>
      </c>
      <c r="X994" s="5">
        <f t="shared" si="169"/>
        <v>60</v>
      </c>
      <c r="Y994" s="5">
        <f>IF(U994="Open",Lookups!$B$2-B994,X994)</f>
        <v>60</v>
      </c>
      <c r="Z994" t="str">
        <f t="shared" si="170"/>
        <v>OK</v>
      </c>
      <c r="AA994" t="str">
        <f t="shared" si="171"/>
        <v>2026-03</v>
      </c>
      <c r="AB994" t="str">
        <f t="shared" si="172"/>
        <v>2026-05</v>
      </c>
      <c r="AC994" t="str">
        <f t="shared" si="173"/>
        <v>Q1-2026</v>
      </c>
      <c r="AD994" s="5">
        <f t="shared" si="174"/>
        <v>48</v>
      </c>
      <c r="AE994" t="str">
        <f t="shared" si="175"/>
        <v>Lost</v>
      </c>
    </row>
    <row r="995" spans="1:31">
      <c r="A995" t="s">
        <v>1097</v>
      </c>
      <c r="B995" s="1">
        <v>45802</v>
      </c>
      <c r="C995" t="s">
        <v>148</v>
      </c>
      <c r="D995" t="s">
        <v>43</v>
      </c>
      <c r="E995" t="s">
        <v>75</v>
      </c>
      <c r="F995" t="s">
        <v>52</v>
      </c>
      <c r="G995" t="s">
        <v>112</v>
      </c>
      <c r="H995" t="s">
        <v>47</v>
      </c>
      <c r="I995" t="s">
        <v>61</v>
      </c>
      <c r="J995" s="1">
        <v>45842</v>
      </c>
      <c r="K995" s="1">
        <v>45842</v>
      </c>
      <c r="L995" s="3">
        <v>5800</v>
      </c>
      <c r="M995" s="4">
        <v>0</v>
      </c>
      <c r="N995" s="4">
        <v>0</v>
      </c>
      <c r="O995" t="s">
        <v>116</v>
      </c>
      <c r="P995">
        <v>4</v>
      </c>
      <c r="Q995" t="str">
        <f>IFERROR(VLOOKUP(E995,Lookups!$A$5:$B$24,2,FALSE),"Other")</f>
        <v>Webinar</v>
      </c>
      <c r="R995" t="str">
        <f>IFERROR(VLOOKUP(F995,Lookups!$D$5:$F$10,2,FALSE),"Unknown Product")</f>
        <v>NexaCRM Core</v>
      </c>
      <c r="S995" t="str">
        <f>IFERROR(VLOOKUP(F995,Lookups!$D$5:$F$10,3,FALSE),"Unknown")</f>
        <v>CRM</v>
      </c>
      <c r="T995" t="str">
        <f t="shared" si="165"/>
        <v>SMB</v>
      </c>
      <c r="U995" t="str">
        <f t="shared" si="166"/>
        <v>Lost</v>
      </c>
      <c r="V995" s="3">
        <f t="shared" si="167"/>
        <v>0</v>
      </c>
      <c r="W995" s="3">
        <f t="shared" si="168"/>
        <v>0</v>
      </c>
      <c r="X995" s="5">
        <f t="shared" si="169"/>
        <v>40</v>
      </c>
      <c r="Y995" s="5">
        <f>IF(U995="Open",Lookups!$B$2-B995,X995)</f>
        <v>40</v>
      </c>
      <c r="Z995" t="str">
        <f t="shared" si="170"/>
        <v>OK</v>
      </c>
      <c r="AA995" t="str">
        <f t="shared" si="171"/>
        <v>2025-05</v>
      </c>
      <c r="AB995" t="str">
        <f t="shared" si="172"/>
        <v>2025-07</v>
      </c>
      <c r="AC995" t="str">
        <f t="shared" si="173"/>
        <v>Q2-2025</v>
      </c>
      <c r="AD995" s="5">
        <f t="shared" si="174"/>
        <v>48</v>
      </c>
      <c r="AE995" t="str">
        <f t="shared" si="175"/>
        <v>Lost</v>
      </c>
    </row>
    <row r="996" spans="1:31">
      <c r="A996" t="s">
        <v>1098</v>
      </c>
      <c r="B996" s="1">
        <v>45979</v>
      </c>
      <c r="C996" t="s">
        <v>42</v>
      </c>
      <c r="D996" t="s">
        <v>43</v>
      </c>
      <c r="E996" t="s">
        <v>138</v>
      </c>
      <c r="F996" t="s">
        <v>71</v>
      </c>
      <c r="G996" t="s">
        <v>112</v>
      </c>
      <c r="H996" t="s">
        <v>53</v>
      </c>
      <c r="I996" t="s">
        <v>61</v>
      </c>
      <c r="J996" s="1">
        <v>45995</v>
      </c>
      <c r="K996" s="1">
        <v>45995</v>
      </c>
      <c r="L996" s="3">
        <v>35000</v>
      </c>
      <c r="M996" s="4">
        <v>0</v>
      </c>
      <c r="N996" s="4">
        <v>0</v>
      </c>
      <c r="O996" t="s">
        <v>79</v>
      </c>
      <c r="P996">
        <v>4</v>
      </c>
      <c r="Q996" t="str">
        <f>IFERROR(VLOOKUP(E996,Lookups!$A$5:$B$24,2,FALSE),"Other")</f>
        <v>Organic Search</v>
      </c>
      <c r="R996" t="str">
        <f>IFERROR(VLOOKUP(F996,Lookups!$D$5:$F$10,2,FALSE),"Unknown Product")</f>
        <v>Marketing Automation</v>
      </c>
      <c r="S996" t="str">
        <f>IFERROR(VLOOKUP(F996,Lookups!$D$5:$F$10,3,FALSE),"Unknown")</f>
        <v>Marketing</v>
      </c>
      <c r="T996" t="str">
        <f t="shared" si="165"/>
        <v>Mid-Market</v>
      </c>
      <c r="U996" t="str">
        <f t="shared" si="166"/>
        <v>Lost</v>
      </c>
      <c r="V996" s="3">
        <f t="shared" si="167"/>
        <v>0</v>
      </c>
      <c r="W996" s="3">
        <f t="shared" si="168"/>
        <v>0</v>
      </c>
      <c r="X996" s="5">
        <f t="shared" si="169"/>
        <v>16</v>
      </c>
      <c r="Y996" s="5">
        <f>IF(U996="Open",Lookups!$B$2-B996,X996)</f>
        <v>16</v>
      </c>
      <c r="Z996" t="str">
        <f t="shared" si="170"/>
        <v>OK</v>
      </c>
      <c r="AA996" t="str">
        <f t="shared" si="171"/>
        <v>2025-11</v>
      </c>
      <c r="AB996" t="str">
        <f t="shared" si="172"/>
        <v>2025-12</v>
      </c>
      <c r="AC996" t="str">
        <f t="shared" si="173"/>
        <v>Q4-2025</v>
      </c>
      <c r="AD996" s="5">
        <f t="shared" si="174"/>
        <v>70</v>
      </c>
      <c r="AE996" t="str">
        <f t="shared" si="175"/>
        <v>Lost</v>
      </c>
    </row>
    <row r="997" spans="1:31">
      <c r="A997" t="s">
        <v>1099</v>
      </c>
      <c r="B997" s="1">
        <v>46119</v>
      </c>
      <c r="C997" t="s">
        <v>56</v>
      </c>
      <c r="D997" t="s">
        <v>57</v>
      </c>
      <c r="E997" t="s">
        <v>44</v>
      </c>
      <c r="F997" t="s">
        <v>59</v>
      </c>
      <c r="G997" t="s">
        <v>94</v>
      </c>
      <c r="H997" t="s">
        <v>47</v>
      </c>
      <c r="I997" t="s">
        <v>61</v>
      </c>
      <c r="J997" s="1">
        <v>46139</v>
      </c>
      <c r="K997" s="1">
        <v>46139</v>
      </c>
      <c r="L997" s="3">
        <v>19900</v>
      </c>
      <c r="M997" s="4">
        <v>0</v>
      </c>
      <c r="N997" s="4">
        <v>0</v>
      </c>
      <c r="O997" t="s">
        <v>79</v>
      </c>
      <c r="P997">
        <v>5</v>
      </c>
      <c r="Q997" t="str">
        <f>IFERROR(VLOOKUP(E997,Lookups!$A$5:$B$24,2,FALSE),"Other")</f>
        <v>Organic Search</v>
      </c>
      <c r="R997" t="str">
        <f>IFERROR(VLOOKUP(F997,Lookups!$D$5:$F$10,2,FALSE),"Unknown Product")</f>
        <v>NexaCRM Pro</v>
      </c>
      <c r="S997" t="str">
        <f>IFERROR(VLOOKUP(F997,Lookups!$D$5:$F$10,3,FALSE),"Unknown")</f>
        <v>CRM</v>
      </c>
      <c r="T997" t="str">
        <f t="shared" si="165"/>
        <v>SMB</v>
      </c>
      <c r="U997" t="str">
        <f t="shared" si="166"/>
        <v>Lost</v>
      </c>
      <c r="V997" s="3">
        <f t="shared" si="167"/>
        <v>0</v>
      </c>
      <c r="W997" s="3">
        <f t="shared" si="168"/>
        <v>0</v>
      </c>
      <c r="X997" s="5">
        <f t="shared" si="169"/>
        <v>20</v>
      </c>
      <c r="Y997" s="5">
        <f>IF(U997="Open",Lookups!$B$2-B997,X997)</f>
        <v>20</v>
      </c>
      <c r="Z997" t="str">
        <f t="shared" si="170"/>
        <v>OK</v>
      </c>
      <c r="AA997" t="str">
        <f t="shared" si="171"/>
        <v>2026-04</v>
      </c>
      <c r="AB997" t="str">
        <f t="shared" si="172"/>
        <v>2026-04</v>
      </c>
      <c r="AC997" t="str">
        <f t="shared" si="173"/>
        <v>Q2-2026</v>
      </c>
      <c r="AD997" s="5">
        <f t="shared" si="174"/>
        <v>49</v>
      </c>
      <c r="AE997" t="str">
        <f t="shared" si="175"/>
        <v>Lost</v>
      </c>
    </row>
    <row r="998" spans="1:31">
      <c r="A998" t="s">
        <v>1100</v>
      </c>
      <c r="B998" s="1">
        <v>46220</v>
      </c>
      <c r="C998" t="s">
        <v>90</v>
      </c>
      <c r="D998" t="s">
        <v>57</v>
      </c>
      <c r="E998" t="s">
        <v>92</v>
      </c>
      <c r="F998" t="s">
        <v>52</v>
      </c>
      <c r="G998" t="s">
        <v>76</v>
      </c>
      <c r="H998" t="s">
        <v>47</v>
      </c>
      <c r="I998" t="s">
        <v>61</v>
      </c>
      <c r="J998" s="1">
        <v>46266</v>
      </c>
      <c r="K998" s="1">
        <v>46266</v>
      </c>
      <c r="L998" s="3">
        <v>7500</v>
      </c>
      <c r="M998" s="4">
        <v>0</v>
      </c>
      <c r="N998" s="4">
        <v>0</v>
      </c>
      <c r="O998" t="s">
        <v>81</v>
      </c>
      <c r="P998">
        <v>5</v>
      </c>
      <c r="Q998" t="str">
        <f>IFERROR(VLOOKUP(E998,Lookups!$A$5:$B$24,2,FALSE),"Other")</f>
        <v>Webinar</v>
      </c>
      <c r="R998" t="str">
        <f>IFERROR(VLOOKUP(F998,Lookups!$D$5:$F$10,2,FALSE),"Unknown Product")</f>
        <v>NexaCRM Core</v>
      </c>
      <c r="S998" t="str">
        <f>IFERROR(VLOOKUP(F998,Lookups!$D$5:$F$10,3,FALSE),"Unknown")</f>
        <v>CRM</v>
      </c>
      <c r="T998" t="str">
        <f t="shared" si="165"/>
        <v>SMB</v>
      </c>
      <c r="U998" t="str">
        <f t="shared" si="166"/>
        <v>Lost</v>
      </c>
      <c r="V998" s="3">
        <f t="shared" si="167"/>
        <v>0</v>
      </c>
      <c r="W998" s="3">
        <f t="shared" si="168"/>
        <v>0</v>
      </c>
      <c r="X998" s="5">
        <f t="shared" si="169"/>
        <v>46</v>
      </c>
      <c r="Y998" s="5">
        <f>IF(U998="Open",Lookups!$B$2-B998,X998)</f>
        <v>46</v>
      </c>
      <c r="Z998" t="str">
        <f t="shared" si="170"/>
        <v>OK</v>
      </c>
      <c r="AA998" t="str">
        <f t="shared" si="171"/>
        <v>2026-07</v>
      </c>
      <c r="AB998" t="str">
        <f t="shared" si="172"/>
        <v>2026-09</v>
      </c>
      <c r="AC998" t="str">
        <f t="shared" si="173"/>
        <v>Q3-2026</v>
      </c>
      <c r="AD998" s="5">
        <f t="shared" si="174"/>
        <v>43</v>
      </c>
      <c r="AE998" t="str">
        <f t="shared" si="175"/>
        <v>Lost</v>
      </c>
    </row>
    <row r="999" spans="1:31">
      <c r="A999" t="s">
        <v>1101</v>
      </c>
      <c r="B999" s="1">
        <v>45873</v>
      </c>
      <c r="C999" t="s">
        <v>64</v>
      </c>
      <c r="D999" t="s">
        <v>57</v>
      </c>
      <c r="E999" t="s">
        <v>138</v>
      </c>
      <c r="F999" t="s">
        <v>52</v>
      </c>
      <c r="G999" t="s">
        <v>60</v>
      </c>
      <c r="H999" t="s">
        <v>47</v>
      </c>
      <c r="I999" t="s">
        <v>61</v>
      </c>
      <c r="J999" s="1">
        <v>45909</v>
      </c>
      <c r="K999" s="1">
        <v>45909</v>
      </c>
      <c r="L999" s="3">
        <v>8200</v>
      </c>
      <c r="M999" s="4">
        <v>0</v>
      </c>
      <c r="N999" s="4">
        <v>0</v>
      </c>
      <c r="O999" t="s">
        <v>81</v>
      </c>
      <c r="P999">
        <v>3</v>
      </c>
      <c r="Q999" t="str">
        <f>IFERROR(VLOOKUP(E999,Lookups!$A$5:$B$24,2,FALSE),"Other")</f>
        <v>Organic Search</v>
      </c>
      <c r="R999" t="str">
        <f>IFERROR(VLOOKUP(F999,Lookups!$D$5:$F$10,2,FALSE),"Unknown Product")</f>
        <v>NexaCRM Core</v>
      </c>
      <c r="S999" t="str">
        <f>IFERROR(VLOOKUP(F999,Lookups!$D$5:$F$10,3,FALSE),"Unknown")</f>
        <v>CRM</v>
      </c>
      <c r="T999" t="str">
        <f t="shared" si="165"/>
        <v>SMB</v>
      </c>
      <c r="U999" t="str">
        <f t="shared" si="166"/>
        <v>Lost</v>
      </c>
      <c r="V999" s="3">
        <f t="shared" si="167"/>
        <v>0</v>
      </c>
      <c r="W999" s="3">
        <f t="shared" si="168"/>
        <v>0</v>
      </c>
      <c r="X999" s="5">
        <f t="shared" si="169"/>
        <v>36</v>
      </c>
      <c r="Y999" s="5">
        <f>IF(U999="Open",Lookups!$B$2-B999,X999)</f>
        <v>36</v>
      </c>
      <c r="Z999" t="str">
        <f t="shared" si="170"/>
        <v>OK</v>
      </c>
      <c r="AA999" t="str">
        <f t="shared" si="171"/>
        <v>2025-08</v>
      </c>
      <c r="AB999" t="str">
        <f t="shared" si="172"/>
        <v>2025-09</v>
      </c>
      <c r="AC999" t="str">
        <f t="shared" si="173"/>
        <v>Q3-2025</v>
      </c>
      <c r="AD999" s="5">
        <f t="shared" si="174"/>
        <v>49</v>
      </c>
      <c r="AE999" t="str">
        <f t="shared" si="175"/>
        <v>Lost</v>
      </c>
    </row>
    <row r="1000" spans="1:31">
      <c r="A1000" t="s">
        <v>1102</v>
      </c>
      <c r="B1000" s="1">
        <v>45720</v>
      </c>
      <c r="C1000" t="s">
        <v>56</v>
      </c>
      <c r="D1000" t="s">
        <v>57</v>
      </c>
      <c r="E1000" t="s">
        <v>166</v>
      </c>
      <c r="F1000" t="s">
        <v>133</v>
      </c>
      <c r="G1000" t="s">
        <v>94</v>
      </c>
      <c r="H1000" t="s">
        <v>53</v>
      </c>
      <c r="I1000" t="s">
        <v>48</v>
      </c>
      <c r="J1000" s="1">
        <v>46168</v>
      </c>
      <c r="K1000" s="1"/>
      <c r="L1000" s="3">
        <v>27200</v>
      </c>
      <c r="M1000" s="4">
        <v>0.05</v>
      </c>
      <c r="N1000" s="4">
        <v>0.85</v>
      </c>
      <c r="P1000">
        <v>5</v>
      </c>
      <c r="Q1000" t="str">
        <f>IFERROR(VLOOKUP(E1000,Lookups!$A$5:$B$24,2,FALSE),"Other")</f>
        <v>Referral</v>
      </c>
      <c r="R1000" t="str">
        <f>IFERROR(VLOOKUP(F1000,Lookups!$D$5:$F$10,2,FALSE),"Unknown Product")</f>
        <v>Analytics Plus</v>
      </c>
      <c r="S1000" t="str">
        <f>IFERROR(VLOOKUP(F1000,Lookups!$D$5:$F$10,3,FALSE),"Unknown")</f>
        <v>Analytics</v>
      </c>
      <c r="T1000" t="str">
        <f t="shared" si="165"/>
        <v>Mid-Market</v>
      </c>
      <c r="U1000" t="str">
        <f t="shared" si="166"/>
        <v>Open</v>
      </c>
      <c r="V1000" s="3">
        <f t="shared" si="167"/>
        <v>0</v>
      </c>
      <c r="W1000" s="3">
        <f t="shared" si="168"/>
        <v>23120</v>
      </c>
      <c r="X1000" s="5" t="str">
        <f t="shared" si="169"/>
        <v/>
      </c>
      <c r="Y1000" s="5">
        <f>IF(U1000="Open",Lookups!$B$2-B1000,X1000)</f>
        <v>546</v>
      </c>
      <c r="Z1000" t="str">
        <f t="shared" si="170"/>
        <v>STALE</v>
      </c>
      <c r="AA1000" t="str">
        <f t="shared" si="171"/>
        <v>2025-03</v>
      </c>
      <c r="AB1000" t="str">
        <f t="shared" si="172"/>
        <v/>
      </c>
      <c r="AC1000" t="str">
        <f t="shared" si="173"/>
        <v>Q1-2025</v>
      </c>
      <c r="AD1000" s="5">
        <f t="shared" si="174"/>
        <v>70</v>
      </c>
      <c r="AE1000" t="str">
        <f t="shared" si="175"/>
        <v>Commit</v>
      </c>
    </row>
    <row r="1001" spans="1:31">
      <c r="A1001" t="s">
        <v>1103</v>
      </c>
      <c r="B1001" s="1">
        <v>46131</v>
      </c>
      <c r="C1001" t="s">
        <v>69</v>
      </c>
      <c r="D1001" t="s">
        <v>57</v>
      </c>
      <c r="E1001" t="s">
        <v>98</v>
      </c>
      <c r="F1001" t="s">
        <v>133</v>
      </c>
      <c r="G1001" t="s">
        <v>112</v>
      </c>
      <c r="H1001" t="s">
        <v>47</v>
      </c>
      <c r="I1001" t="s">
        <v>77</v>
      </c>
      <c r="J1001" s="1">
        <v>46160</v>
      </c>
      <c r="K1001" s="1">
        <v>46160</v>
      </c>
      <c r="L1001" s="3">
        <v>26800</v>
      </c>
      <c r="M1001" s="4">
        <v>0.08</v>
      </c>
      <c r="N1001" s="4">
        <v>1</v>
      </c>
      <c r="P1001">
        <v>6</v>
      </c>
      <c r="Q1001" t="str">
        <f>IFERROR(VLOOKUP(E1001,Lookups!$A$5:$B$24,2,FALSE),"Other")</f>
        <v>Outbound</v>
      </c>
      <c r="R1001" t="str">
        <f>IFERROR(VLOOKUP(F1001,Lookups!$D$5:$F$10,2,FALSE),"Unknown Product")</f>
        <v>Analytics Plus</v>
      </c>
      <c r="S1001" t="str">
        <f>IFERROR(VLOOKUP(F1001,Lookups!$D$5:$F$10,3,FALSE),"Unknown")</f>
        <v>Analytics</v>
      </c>
      <c r="T1001" t="str">
        <f t="shared" si="165"/>
        <v>Mid-Market</v>
      </c>
      <c r="U1001" t="str">
        <f t="shared" si="166"/>
        <v>Won</v>
      </c>
      <c r="V1001" s="3">
        <f t="shared" si="167"/>
        <v>24656</v>
      </c>
      <c r="W1001" s="3">
        <f t="shared" si="168"/>
        <v>0</v>
      </c>
      <c r="X1001" s="5">
        <f t="shared" si="169"/>
        <v>29</v>
      </c>
      <c r="Y1001" s="5">
        <f>IF(U1001="Open",Lookups!$B$2-B1001,X1001)</f>
        <v>29</v>
      </c>
      <c r="Z1001" t="str">
        <f t="shared" si="170"/>
        <v>OK</v>
      </c>
      <c r="AA1001" t="str">
        <f t="shared" si="171"/>
        <v>2026-04</v>
      </c>
      <c r="AB1001" t="str">
        <f t="shared" si="172"/>
        <v>2026-05</v>
      </c>
      <c r="AC1001" t="str">
        <f t="shared" si="173"/>
        <v>Q2-2026</v>
      </c>
      <c r="AD1001" s="5">
        <f t="shared" si="174"/>
        <v>56</v>
      </c>
      <c r="AE1001" t="str">
        <f t="shared" si="175"/>
        <v>Won</v>
      </c>
    </row>
    <row r="1002" spans="1:31">
      <c r="A1002" t="s">
        <v>1104</v>
      </c>
      <c r="B1002" s="1">
        <v>45856</v>
      </c>
      <c r="C1002" t="s">
        <v>50</v>
      </c>
      <c r="D1002" t="s">
        <v>43</v>
      </c>
      <c r="E1002" t="s">
        <v>109</v>
      </c>
      <c r="F1002" t="s">
        <v>59</v>
      </c>
      <c r="G1002" t="s">
        <v>72</v>
      </c>
      <c r="H1002" t="s">
        <v>47</v>
      </c>
      <c r="I1002" t="s">
        <v>48</v>
      </c>
      <c r="J1002" s="1">
        <v>46104</v>
      </c>
      <c r="K1002" s="1"/>
      <c r="L1002" s="3">
        <v>16700</v>
      </c>
      <c r="M1002" s="4">
        <v>0</v>
      </c>
      <c r="N1002" s="4">
        <v>0.85</v>
      </c>
      <c r="P1002">
        <v>5</v>
      </c>
      <c r="Q1002" t="str">
        <f>IFERROR(VLOOKUP(E1002,Lookups!$A$5:$B$24,2,FALSE),"Other")</f>
        <v>Outbound</v>
      </c>
      <c r="R1002" t="str">
        <f>IFERROR(VLOOKUP(F1002,Lookups!$D$5:$F$10,2,FALSE),"Unknown Product")</f>
        <v>NexaCRM Pro</v>
      </c>
      <c r="S1002" t="str">
        <f>IFERROR(VLOOKUP(F1002,Lookups!$D$5:$F$10,3,FALSE),"Unknown")</f>
        <v>CRM</v>
      </c>
      <c r="T1002" t="str">
        <f t="shared" si="165"/>
        <v>SMB</v>
      </c>
      <c r="U1002" t="str">
        <f t="shared" si="166"/>
        <v>Open</v>
      </c>
      <c r="V1002" s="3">
        <f t="shared" si="167"/>
        <v>0</v>
      </c>
      <c r="W1002" s="3">
        <f t="shared" si="168"/>
        <v>14195</v>
      </c>
      <c r="X1002" s="5" t="str">
        <f t="shared" si="169"/>
        <v/>
      </c>
      <c r="Y1002" s="5">
        <f>IF(U1002="Open",Lookups!$B$2-B1002,X1002)</f>
        <v>410</v>
      </c>
      <c r="Z1002" t="str">
        <f t="shared" si="170"/>
        <v>STALE</v>
      </c>
      <c r="AA1002" t="str">
        <f t="shared" si="171"/>
        <v>2025-07</v>
      </c>
      <c r="AB1002" t="str">
        <f t="shared" si="172"/>
        <v/>
      </c>
      <c r="AC1002" t="str">
        <f t="shared" si="173"/>
        <v>Q3-2025</v>
      </c>
      <c r="AD1002" s="5">
        <f t="shared" si="174"/>
        <v>43</v>
      </c>
      <c r="AE1002" t="str">
        <f t="shared" si="175"/>
        <v>Commit</v>
      </c>
    </row>
    <row r="1003" spans="1:31">
      <c r="A1003" t="s">
        <v>1105</v>
      </c>
      <c r="B1003" s="1">
        <v>46164</v>
      </c>
      <c r="C1003" t="s">
        <v>69</v>
      </c>
      <c r="D1003" t="s">
        <v>57</v>
      </c>
      <c r="E1003" t="s">
        <v>83</v>
      </c>
      <c r="F1003" t="s">
        <v>59</v>
      </c>
      <c r="G1003" t="s">
        <v>99</v>
      </c>
      <c r="H1003" t="s">
        <v>53</v>
      </c>
      <c r="I1003" t="s">
        <v>105</v>
      </c>
      <c r="J1003" s="1">
        <v>46236</v>
      </c>
      <c r="K1003" s="1"/>
      <c r="L1003" s="3">
        <v>39300</v>
      </c>
      <c r="M1003" s="4">
        <v>0</v>
      </c>
      <c r="N1003" s="4">
        <v>0.4</v>
      </c>
      <c r="P1003">
        <v>3</v>
      </c>
      <c r="Q1003" t="str">
        <f>IFERROR(VLOOKUP(E1003,Lookups!$A$5:$B$24,2,FALSE),"Other")</f>
        <v>Organic Search</v>
      </c>
      <c r="R1003" t="str">
        <f>IFERROR(VLOOKUP(F1003,Lookups!$D$5:$F$10,2,FALSE),"Unknown Product")</f>
        <v>NexaCRM Pro</v>
      </c>
      <c r="S1003" t="str">
        <f>IFERROR(VLOOKUP(F1003,Lookups!$D$5:$F$10,3,FALSE),"Unknown")</f>
        <v>CRM</v>
      </c>
      <c r="T1003" t="str">
        <f t="shared" si="165"/>
        <v>Mid-Market</v>
      </c>
      <c r="U1003" t="str">
        <f t="shared" si="166"/>
        <v>Open</v>
      </c>
      <c r="V1003" s="3">
        <f t="shared" si="167"/>
        <v>0</v>
      </c>
      <c r="W1003" s="3">
        <f t="shared" si="168"/>
        <v>15720</v>
      </c>
      <c r="X1003" s="5" t="str">
        <f t="shared" si="169"/>
        <v/>
      </c>
      <c r="Y1003" s="5">
        <f>IF(U1003="Open",Lookups!$B$2-B1003,X1003)</f>
        <v>102</v>
      </c>
      <c r="Z1003" t="str">
        <f t="shared" si="170"/>
        <v>STALE</v>
      </c>
      <c r="AA1003" t="str">
        <f t="shared" si="171"/>
        <v>2026-05</v>
      </c>
      <c r="AB1003" t="str">
        <f t="shared" si="172"/>
        <v/>
      </c>
      <c r="AC1003" t="str">
        <f t="shared" si="173"/>
        <v>Q2-2026</v>
      </c>
      <c r="AD1003" s="5">
        <f t="shared" si="174"/>
        <v>65</v>
      </c>
      <c r="AE1003" t="str">
        <f t="shared" si="175"/>
        <v>Pipeline</v>
      </c>
    </row>
    <row r="1004" spans="1:31">
      <c r="A1004" t="s">
        <v>1106</v>
      </c>
      <c r="B1004" s="1">
        <v>46213</v>
      </c>
      <c r="C1004" t="s">
        <v>56</v>
      </c>
      <c r="D1004" t="s">
        <v>57</v>
      </c>
      <c r="E1004" t="s">
        <v>109</v>
      </c>
      <c r="F1004" t="s">
        <v>52</v>
      </c>
      <c r="G1004" t="s">
        <v>76</v>
      </c>
      <c r="H1004" t="s">
        <v>53</v>
      </c>
      <c r="I1004" t="s">
        <v>77</v>
      </c>
      <c r="J1004" s="1">
        <v>46258</v>
      </c>
      <c r="K1004" s="1">
        <v>46258</v>
      </c>
      <c r="L1004" s="3">
        <v>11800</v>
      </c>
      <c r="M1004" s="4">
        <v>0</v>
      </c>
      <c r="N1004" s="4">
        <v>1</v>
      </c>
      <c r="P1004">
        <v>6</v>
      </c>
      <c r="Q1004" t="str">
        <f>IFERROR(VLOOKUP(E1004,Lookups!$A$5:$B$24,2,FALSE),"Other")</f>
        <v>Outbound</v>
      </c>
      <c r="R1004" t="str">
        <f>IFERROR(VLOOKUP(F1004,Lookups!$D$5:$F$10,2,FALSE),"Unknown Product")</f>
        <v>NexaCRM Core</v>
      </c>
      <c r="S1004" t="str">
        <f>IFERROR(VLOOKUP(F1004,Lookups!$D$5:$F$10,3,FALSE),"Unknown")</f>
        <v>CRM</v>
      </c>
      <c r="T1004" t="str">
        <f t="shared" si="165"/>
        <v>SMB</v>
      </c>
      <c r="U1004" t="str">
        <f t="shared" si="166"/>
        <v>Won</v>
      </c>
      <c r="V1004" s="3">
        <f t="shared" si="167"/>
        <v>11800</v>
      </c>
      <c r="W1004" s="3">
        <f t="shared" si="168"/>
        <v>0</v>
      </c>
      <c r="X1004" s="5">
        <f t="shared" si="169"/>
        <v>45</v>
      </c>
      <c r="Y1004" s="5">
        <f>IF(U1004="Open",Lookups!$B$2-B1004,X1004)</f>
        <v>45</v>
      </c>
      <c r="Z1004" t="str">
        <f t="shared" si="170"/>
        <v>OK</v>
      </c>
      <c r="AA1004" t="str">
        <f t="shared" si="171"/>
        <v>2026-07</v>
      </c>
      <c r="AB1004" t="str">
        <f t="shared" si="172"/>
        <v>2026-08</v>
      </c>
      <c r="AC1004" t="str">
        <f t="shared" si="173"/>
        <v>Q3-2026</v>
      </c>
      <c r="AD1004" s="5">
        <f t="shared" si="174"/>
        <v>51</v>
      </c>
      <c r="AE1004" t="str">
        <f t="shared" si="175"/>
        <v>Won</v>
      </c>
    </row>
    <row r="1005" spans="1:31">
      <c r="A1005" t="s">
        <v>1107</v>
      </c>
      <c r="B1005" s="1">
        <v>46160</v>
      </c>
      <c r="C1005" t="s">
        <v>148</v>
      </c>
      <c r="D1005" t="s">
        <v>43</v>
      </c>
      <c r="E1005" t="s">
        <v>83</v>
      </c>
      <c r="F1005" t="s">
        <v>52</v>
      </c>
      <c r="G1005" t="s">
        <v>112</v>
      </c>
      <c r="H1005" t="s">
        <v>53</v>
      </c>
      <c r="I1005" t="s">
        <v>105</v>
      </c>
      <c r="J1005" s="1">
        <v>46206</v>
      </c>
      <c r="K1005" s="1"/>
      <c r="L1005" s="3">
        <v>15000</v>
      </c>
      <c r="M1005" s="4">
        <v>0</v>
      </c>
      <c r="N1005" s="4">
        <v>0.4</v>
      </c>
      <c r="P1005">
        <v>3</v>
      </c>
      <c r="Q1005" t="str">
        <f>IFERROR(VLOOKUP(E1005,Lookups!$A$5:$B$24,2,FALSE),"Other")</f>
        <v>Organic Search</v>
      </c>
      <c r="R1005" t="str">
        <f>IFERROR(VLOOKUP(F1005,Lookups!$D$5:$F$10,2,FALSE),"Unknown Product")</f>
        <v>NexaCRM Core</v>
      </c>
      <c r="S1005" t="str">
        <f>IFERROR(VLOOKUP(F1005,Lookups!$D$5:$F$10,3,FALSE),"Unknown")</f>
        <v>CRM</v>
      </c>
      <c r="T1005" t="str">
        <f t="shared" si="165"/>
        <v>SMB</v>
      </c>
      <c r="U1005" t="str">
        <f t="shared" si="166"/>
        <v>Open</v>
      </c>
      <c r="V1005" s="3">
        <f t="shared" si="167"/>
        <v>0</v>
      </c>
      <c r="W1005" s="3">
        <f t="shared" si="168"/>
        <v>6000</v>
      </c>
      <c r="X1005" s="5" t="str">
        <f t="shared" si="169"/>
        <v/>
      </c>
      <c r="Y1005" s="5">
        <f>IF(U1005="Open",Lookups!$B$2-B1005,X1005)</f>
        <v>106</v>
      </c>
      <c r="Z1005" t="str">
        <f t="shared" si="170"/>
        <v>STALE</v>
      </c>
      <c r="AA1005" t="str">
        <f t="shared" si="171"/>
        <v>2026-05</v>
      </c>
      <c r="AB1005" t="str">
        <f t="shared" si="172"/>
        <v/>
      </c>
      <c r="AC1005" t="str">
        <f t="shared" si="173"/>
        <v>Q2-2026</v>
      </c>
      <c r="AD1005" s="5">
        <f t="shared" si="174"/>
        <v>62</v>
      </c>
      <c r="AE1005" t="str">
        <f t="shared" si="175"/>
        <v>Pipeline</v>
      </c>
    </row>
    <row r="1006" spans="1:31">
      <c r="A1006" t="s">
        <v>1108</v>
      </c>
      <c r="B1006" s="1">
        <v>46013</v>
      </c>
      <c r="C1006" t="s">
        <v>148</v>
      </c>
      <c r="D1006" t="s">
        <v>43</v>
      </c>
      <c r="E1006" t="s">
        <v>83</v>
      </c>
      <c r="F1006" t="s">
        <v>59</v>
      </c>
      <c r="G1006" t="s">
        <v>72</v>
      </c>
      <c r="H1006" t="s">
        <v>47</v>
      </c>
      <c r="I1006" t="s">
        <v>77</v>
      </c>
      <c r="J1006" s="1">
        <v>46025</v>
      </c>
      <c r="K1006" s="1">
        <v>46025</v>
      </c>
      <c r="L1006" s="3">
        <v>23600</v>
      </c>
      <c r="M1006" s="4">
        <v>0.08</v>
      </c>
      <c r="N1006" s="4">
        <v>1</v>
      </c>
      <c r="P1006">
        <v>6</v>
      </c>
      <c r="Q1006" t="str">
        <f>IFERROR(VLOOKUP(E1006,Lookups!$A$5:$B$24,2,FALSE),"Other")</f>
        <v>Organic Search</v>
      </c>
      <c r="R1006" t="str">
        <f>IFERROR(VLOOKUP(F1006,Lookups!$D$5:$F$10,2,FALSE),"Unknown Product")</f>
        <v>NexaCRM Pro</v>
      </c>
      <c r="S1006" t="str">
        <f>IFERROR(VLOOKUP(F1006,Lookups!$D$5:$F$10,3,FALSE),"Unknown")</f>
        <v>CRM</v>
      </c>
      <c r="T1006" t="str">
        <f t="shared" si="165"/>
        <v>Mid-Market</v>
      </c>
      <c r="U1006" t="str">
        <f t="shared" si="166"/>
        <v>Won</v>
      </c>
      <c r="V1006" s="3">
        <f t="shared" si="167"/>
        <v>21712</v>
      </c>
      <c r="W1006" s="3">
        <f t="shared" si="168"/>
        <v>0</v>
      </c>
      <c r="X1006" s="5">
        <f t="shared" si="169"/>
        <v>12</v>
      </c>
      <c r="Y1006" s="5">
        <f>IF(U1006="Open",Lookups!$B$2-B1006,X1006)</f>
        <v>12</v>
      </c>
      <c r="Z1006" t="str">
        <f t="shared" si="170"/>
        <v>OK</v>
      </c>
      <c r="AA1006" t="str">
        <f t="shared" si="171"/>
        <v>2025-12</v>
      </c>
      <c r="AB1006" t="str">
        <f t="shared" si="172"/>
        <v>2026-01</v>
      </c>
      <c r="AC1006" t="str">
        <f t="shared" si="173"/>
        <v>Q4-2025</v>
      </c>
      <c r="AD1006" s="5">
        <f t="shared" si="174"/>
        <v>57</v>
      </c>
      <c r="AE1006" t="str">
        <f t="shared" si="175"/>
        <v>Won</v>
      </c>
    </row>
    <row r="1007" spans="1:31">
      <c r="A1007" t="s">
        <v>1109</v>
      </c>
      <c r="B1007" s="1">
        <v>45819</v>
      </c>
      <c r="C1007" t="s">
        <v>148</v>
      </c>
      <c r="D1007" t="s">
        <v>43</v>
      </c>
      <c r="E1007" t="s">
        <v>70</v>
      </c>
      <c r="F1007" t="s">
        <v>52</v>
      </c>
      <c r="G1007" t="s">
        <v>46</v>
      </c>
      <c r="H1007" t="s">
        <v>84</v>
      </c>
      <c r="I1007" t="s">
        <v>61</v>
      </c>
      <c r="J1007" s="1">
        <v>45840</v>
      </c>
      <c r="K1007" s="1">
        <v>45840</v>
      </c>
      <c r="L1007" s="3">
        <v>15800</v>
      </c>
      <c r="M1007" s="4">
        <v>0</v>
      </c>
      <c r="N1007" s="4">
        <v>0</v>
      </c>
      <c r="O1007" t="s">
        <v>79</v>
      </c>
      <c r="P1007">
        <v>5</v>
      </c>
      <c r="Q1007" t="str">
        <f>IFERROR(VLOOKUP(E1007,Lookups!$A$5:$B$24,2,FALSE),"Other")</f>
        <v>LinkedIn</v>
      </c>
      <c r="R1007" t="str">
        <f>IFERROR(VLOOKUP(F1007,Lookups!$D$5:$F$10,2,FALSE),"Unknown Product")</f>
        <v>NexaCRM Core</v>
      </c>
      <c r="S1007" t="str">
        <f>IFERROR(VLOOKUP(F1007,Lookups!$D$5:$F$10,3,FALSE),"Unknown")</f>
        <v>CRM</v>
      </c>
      <c r="T1007" t="str">
        <f t="shared" si="165"/>
        <v>SMB</v>
      </c>
      <c r="U1007" t="str">
        <f t="shared" si="166"/>
        <v>Lost</v>
      </c>
      <c r="V1007" s="3">
        <f t="shared" si="167"/>
        <v>0</v>
      </c>
      <c r="W1007" s="3">
        <f t="shared" si="168"/>
        <v>0</v>
      </c>
      <c r="X1007" s="5">
        <f t="shared" si="169"/>
        <v>21</v>
      </c>
      <c r="Y1007" s="5">
        <f>IF(U1007="Open",Lookups!$B$2-B1007,X1007)</f>
        <v>21</v>
      </c>
      <c r="Z1007" t="str">
        <f t="shared" si="170"/>
        <v>OK</v>
      </c>
      <c r="AA1007" t="str">
        <f t="shared" si="171"/>
        <v>2025-06</v>
      </c>
      <c r="AB1007" t="str">
        <f t="shared" si="172"/>
        <v>2025-07</v>
      </c>
      <c r="AC1007" t="str">
        <f t="shared" si="173"/>
        <v>Q2-2025</v>
      </c>
      <c r="AD1007" s="5">
        <f t="shared" si="174"/>
        <v>59</v>
      </c>
      <c r="AE1007" t="str">
        <f t="shared" si="175"/>
        <v>Lost</v>
      </c>
    </row>
    <row r="1008" spans="1:31">
      <c r="A1008" t="s">
        <v>1110</v>
      </c>
      <c r="B1008" s="1">
        <v>45815</v>
      </c>
      <c r="C1008" t="s">
        <v>50</v>
      </c>
      <c r="D1008" t="s">
        <v>43</v>
      </c>
      <c r="E1008" t="s">
        <v>146</v>
      </c>
      <c r="F1008" t="s">
        <v>71</v>
      </c>
      <c r="G1008" t="s">
        <v>99</v>
      </c>
      <c r="H1008" t="s">
        <v>47</v>
      </c>
      <c r="I1008" t="s">
        <v>61</v>
      </c>
      <c r="J1008" s="1">
        <v>45863</v>
      </c>
      <c r="K1008" s="1">
        <v>45863</v>
      </c>
      <c r="L1008" s="3">
        <v>17900</v>
      </c>
      <c r="M1008" s="4">
        <v>0</v>
      </c>
      <c r="N1008" s="4">
        <v>0</v>
      </c>
      <c r="O1008" t="s">
        <v>79</v>
      </c>
      <c r="P1008">
        <v>4</v>
      </c>
      <c r="Q1008" t="str">
        <f>IFERROR(VLOOKUP(E1008,Lookups!$A$5:$B$24,2,FALSE),"Other")</f>
        <v>LinkedIn</v>
      </c>
      <c r="R1008" t="str">
        <f>IFERROR(VLOOKUP(F1008,Lookups!$D$5:$F$10,2,FALSE),"Unknown Product")</f>
        <v>Marketing Automation</v>
      </c>
      <c r="S1008" t="str">
        <f>IFERROR(VLOOKUP(F1008,Lookups!$D$5:$F$10,3,FALSE),"Unknown")</f>
        <v>Marketing</v>
      </c>
      <c r="T1008" t="str">
        <f t="shared" si="165"/>
        <v>SMB</v>
      </c>
      <c r="U1008" t="str">
        <f t="shared" si="166"/>
        <v>Lost</v>
      </c>
      <c r="V1008" s="3">
        <f t="shared" si="167"/>
        <v>0</v>
      </c>
      <c r="W1008" s="3">
        <f t="shared" si="168"/>
        <v>0</v>
      </c>
      <c r="X1008" s="5">
        <f t="shared" si="169"/>
        <v>48</v>
      </c>
      <c r="Y1008" s="5">
        <f>IF(U1008="Open",Lookups!$B$2-B1008,X1008)</f>
        <v>48</v>
      </c>
      <c r="Z1008" t="str">
        <f t="shared" si="170"/>
        <v>OK</v>
      </c>
      <c r="AA1008" t="str">
        <f t="shared" si="171"/>
        <v>2025-06</v>
      </c>
      <c r="AB1008" t="str">
        <f t="shared" si="172"/>
        <v>2025-07</v>
      </c>
      <c r="AC1008" t="str">
        <f t="shared" si="173"/>
        <v>Q2-2025</v>
      </c>
      <c r="AD1008" s="5">
        <f t="shared" si="174"/>
        <v>43</v>
      </c>
      <c r="AE1008" t="str">
        <f t="shared" si="175"/>
        <v>Lost</v>
      </c>
    </row>
    <row r="1009" spans="1:31">
      <c r="A1009" t="s">
        <v>1111</v>
      </c>
      <c r="B1009" s="1">
        <v>46178</v>
      </c>
      <c r="C1009" t="s">
        <v>64</v>
      </c>
      <c r="D1009" t="s">
        <v>57</v>
      </c>
      <c r="E1009" t="s">
        <v>138</v>
      </c>
      <c r="F1009" t="s">
        <v>71</v>
      </c>
      <c r="G1009" t="s">
        <v>94</v>
      </c>
      <c r="H1009" t="s">
        <v>53</v>
      </c>
      <c r="I1009" t="s">
        <v>77</v>
      </c>
      <c r="J1009" s="1">
        <v>46196</v>
      </c>
      <c r="K1009" s="1">
        <v>46196</v>
      </c>
      <c r="L1009" s="3">
        <v>20800</v>
      </c>
      <c r="M1009" s="4">
        <v>0.1</v>
      </c>
      <c r="N1009" s="4">
        <v>1</v>
      </c>
      <c r="P1009">
        <v>6</v>
      </c>
      <c r="Q1009" t="str">
        <f>IFERROR(VLOOKUP(E1009,Lookups!$A$5:$B$24,2,FALSE),"Other")</f>
        <v>Organic Search</v>
      </c>
      <c r="R1009" t="str">
        <f>IFERROR(VLOOKUP(F1009,Lookups!$D$5:$F$10,2,FALSE),"Unknown Product")</f>
        <v>Marketing Automation</v>
      </c>
      <c r="S1009" t="str">
        <f>IFERROR(VLOOKUP(F1009,Lookups!$D$5:$F$10,3,FALSE),"Unknown")</f>
        <v>Marketing</v>
      </c>
      <c r="T1009" t="str">
        <f t="shared" si="165"/>
        <v>Mid-Market</v>
      </c>
      <c r="U1009" t="str">
        <f t="shared" si="166"/>
        <v>Won</v>
      </c>
      <c r="V1009" s="3">
        <f t="shared" si="167"/>
        <v>18720</v>
      </c>
      <c r="W1009" s="3">
        <f t="shared" si="168"/>
        <v>0</v>
      </c>
      <c r="X1009" s="5">
        <f t="shared" si="169"/>
        <v>18</v>
      </c>
      <c r="Y1009" s="5">
        <f>IF(U1009="Open",Lookups!$B$2-B1009,X1009)</f>
        <v>18</v>
      </c>
      <c r="Z1009" t="str">
        <f t="shared" si="170"/>
        <v>OK</v>
      </c>
      <c r="AA1009" t="str">
        <f t="shared" si="171"/>
        <v>2026-06</v>
      </c>
      <c r="AB1009" t="str">
        <f t="shared" si="172"/>
        <v>2026-06</v>
      </c>
      <c r="AC1009" t="str">
        <f t="shared" si="173"/>
        <v>Q2-2026</v>
      </c>
      <c r="AD1009" s="5">
        <f t="shared" si="174"/>
        <v>65</v>
      </c>
      <c r="AE1009" t="str">
        <f t="shared" si="175"/>
        <v>Won</v>
      </c>
    </row>
    <row r="1010" spans="1:31">
      <c r="A1010" t="s">
        <v>1112</v>
      </c>
      <c r="B1010" s="1">
        <v>45757</v>
      </c>
      <c r="C1010" t="s">
        <v>42</v>
      </c>
      <c r="D1010" t="s">
        <v>43</v>
      </c>
      <c r="E1010" t="s">
        <v>65</v>
      </c>
      <c r="F1010" t="s">
        <v>52</v>
      </c>
      <c r="G1010" t="s">
        <v>94</v>
      </c>
      <c r="H1010" t="s">
        <v>53</v>
      </c>
      <c r="I1010" t="s">
        <v>61</v>
      </c>
      <c r="J1010" s="1">
        <v>45821</v>
      </c>
      <c r="K1010" s="1">
        <v>45821</v>
      </c>
      <c r="L1010" s="3">
        <v>8300</v>
      </c>
      <c r="M1010" s="4">
        <v>0</v>
      </c>
      <c r="N1010" s="4">
        <v>0</v>
      </c>
      <c r="O1010" t="s">
        <v>81</v>
      </c>
      <c r="P1010">
        <v>5</v>
      </c>
      <c r="Q1010" t="str">
        <f>IFERROR(VLOOKUP(E1010,Lookups!$A$5:$B$24,2,FALSE),"Other")</f>
        <v>Paid Search</v>
      </c>
      <c r="R1010" t="str">
        <f>IFERROR(VLOOKUP(F1010,Lookups!$D$5:$F$10,2,FALSE),"Unknown Product")</f>
        <v>NexaCRM Core</v>
      </c>
      <c r="S1010" t="str">
        <f>IFERROR(VLOOKUP(F1010,Lookups!$D$5:$F$10,3,FALSE),"Unknown")</f>
        <v>CRM</v>
      </c>
      <c r="T1010" t="str">
        <f t="shared" si="165"/>
        <v>SMB</v>
      </c>
      <c r="U1010" t="str">
        <f t="shared" si="166"/>
        <v>Lost</v>
      </c>
      <c r="V1010" s="3">
        <f t="shared" si="167"/>
        <v>0</v>
      </c>
      <c r="W1010" s="3">
        <f t="shared" si="168"/>
        <v>0</v>
      </c>
      <c r="X1010" s="5">
        <f t="shared" si="169"/>
        <v>64</v>
      </c>
      <c r="Y1010" s="5">
        <f>IF(U1010="Open",Lookups!$B$2-B1010,X1010)</f>
        <v>64</v>
      </c>
      <c r="Z1010" t="str">
        <f t="shared" si="170"/>
        <v>OK</v>
      </c>
      <c r="AA1010" t="str">
        <f t="shared" si="171"/>
        <v>2025-04</v>
      </c>
      <c r="AB1010" t="str">
        <f t="shared" si="172"/>
        <v>2025-06</v>
      </c>
      <c r="AC1010" t="str">
        <f t="shared" si="173"/>
        <v>Q2-2025</v>
      </c>
      <c r="AD1010" s="5">
        <f t="shared" si="174"/>
        <v>51</v>
      </c>
      <c r="AE1010" t="str">
        <f t="shared" si="175"/>
        <v>Lost</v>
      </c>
    </row>
    <row r="1011" spans="1:31">
      <c r="A1011" t="s">
        <v>1113</v>
      </c>
      <c r="B1011" s="1">
        <v>45879</v>
      </c>
      <c r="C1011" t="s">
        <v>64</v>
      </c>
      <c r="D1011" t="s">
        <v>57</v>
      </c>
      <c r="E1011" t="s">
        <v>70</v>
      </c>
      <c r="F1011" t="s">
        <v>59</v>
      </c>
      <c r="G1011" t="s">
        <v>99</v>
      </c>
      <c r="H1011" t="s">
        <v>53</v>
      </c>
      <c r="I1011" t="s">
        <v>61</v>
      </c>
      <c r="J1011" s="1">
        <v>45931</v>
      </c>
      <c r="K1011" s="1">
        <v>45931</v>
      </c>
      <c r="L1011" s="3">
        <v>43200</v>
      </c>
      <c r="M1011" s="4">
        <v>0</v>
      </c>
      <c r="N1011" s="4">
        <v>0</v>
      </c>
      <c r="O1011" t="s">
        <v>116</v>
      </c>
      <c r="P1011">
        <v>4</v>
      </c>
      <c r="Q1011" t="str">
        <f>IFERROR(VLOOKUP(E1011,Lookups!$A$5:$B$24,2,FALSE),"Other")</f>
        <v>LinkedIn</v>
      </c>
      <c r="R1011" t="str">
        <f>IFERROR(VLOOKUP(F1011,Lookups!$D$5:$F$10,2,FALSE),"Unknown Product")</f>
        <v>NexaCRM Pro</v>
      </c>
      <c r="S1011" t="str">
        <f>IFERROR(VLOOKUP(F1011,Lookups!$D$5:$F$10,3,FALSE),"Unknown")</f>
        <v>CRM</v>
      </c>
      <c r="T1011" t="str">
        <f t="shared" si="165"/>
        <v>Mid-Market</v>
      </c>
      <c r="U1011" t="str">
        <f t="shared" si="166"/>
        <v>Lost</v>
      </c>
      <c r="V1011" s="3">
        <f t="shared" si="167"/>
        <v>0</v>
      </c>
      <c r="W1011" s="3">
        <f t="shared" si="168"/>
        <v>0</v>
      </c>
      <c r="X1011" s="5">
        <f t="shared" si="169"/>
        <v>52</v>
      </c>
      <c r="Y1011" s="5">
        <f>IF(U1011="Open",Lookups!$B$2-B1011,X1011)</f>
        <v>52</v>
      </c>
      <c r="Z1011" t="str">
        <f t="shared" si="170"/>
        <v>OK</v>
      </c>
      <c r="AA1011" t="str">
        <f t="shared" si="171"/>
        <v>2025-08</v>
      </c>
      <c r="AB1011" t="str">
        <f t="shared" si="172"/>
        <v>2025-10</v>
      </c>
      <c r="AC1011" t="str">
        <f t="shared" si="173"/>
        <v>Q3-2025</v>
      </c>
      <c r="AD1011" s="5">
        <f t="shared" si="174"/>
        <v>59</v>
      </c>
      <c r="AE1011" t="str">
        <f t="shared" si="175"/>
        <v>Lost</v>
      </c>
    </row>
    <row r="1012" spans="1:31">
      <c r="A1012" t="s">
        <v>1114</v>
      </c>
      <c r="B1012" s="1">
        <v>46092</v>
      </c>
      <c r="C1012" t="s">
        <v>90</v>
      </c>
      <c r="D1012" t="s">
        <v>57</v>
      </c>
      <c r="E1012" t="s">
        <v>123</v>
      </c>
      <c r="F1012" t="s">
        <v>45</v>
      </c>
      <c r="G1012" t="s">
        <v>46</v>
      </c>
      <c r="H1012" t="s">
        <v>84</v>
      </c>
      <c r="I1012" t="s">
        <v>77</v>
      </c>
      <c r="J1012" s="1">
        <v>46183</v>
      </c>
      <c r="K1012" s="1">
        <v>46183</v>
      </c>
      <c r="L1012" s="3">
        <v>82200</v>
      </c>
      <c r="M1012" s="4">
        <v>0.03</v>
      </c>
      <c r="N1012" s="4">
        <v>1</v>
      </c>
      <c r="P1012">
        <v>6</v>
      </c>
      <c r="Q1012" t="str">
        <f>IFERROR(VLOOKUP(E1012,Lookups!$A$5:$B$24,2,FALSE),"Other")</f>
        <v>Email</v>
      </c>
      <c r="R1012" t="str">
        <f>IFERROR(VLOOKUP(F1012,Lookups!$D$5:$F$10,2,FALSE),"Unknown Product")</f>
        <v>Service Cloud</v>
      </c>
      <c r="S1012" t="str">
        <f>IFERROR(VLOOKUP(F1012,Lookups!$D$5:$F$10,3,FALSE),"Unknown")</f>
        <v>Customer Service</v>
      </c>
      <c r="T1012" t="str">
        <f t="shared" si="165"/>
        <v>Enterprise</v>
      </c>
      <c r="U1012" t="str">
        <f t="shared" si="166"/>
        <v>Won</v>
      </c>
      <c r="V1012" s="3">
        <f t="shared" si="167"/>
        <v>79734</v>
      </c>
      <c r="W1012" s="3">
        <f t="shared" si="168"/>
        <v>0</v>
      </c>
      <c r="X1012" s="5">
        <f t="shared" si="169"/>
        <v>91</v>
      </c>
      <c r="Y1012" s="5">
        <f>IF(U1012="Open",Lookups!$B$2-B1012,X1012)</f>
        <v>91</v>
      </c>
      <c r="Z1012" t="str">
        <f t="shared" si="170"/>
        <v>OK</v>
      </c>
      <c r="AA1012" t="str">
        <f t="shared" si="171"/>
        <v>2026-03</v>
      </c>
      <c r="AB1012" t="str">
        <f t="shared" si="172"/>
        <v>2026-06</v>
      </c>
      <c r="AC1012" t="str">
        <f t="shared" si="173"/>
        <v>Q1-2026</v>
      </c>
      <c r="AD1012" s="5">
        <f t="shared" si="174"/>
        <v>78</v>
      </c>
      <c r="AE1012" t="str">
        <f t="shared" si="175"/>
        <v>Won</v>
      </c>
    </row>
    <row r="1013" spans="1:31">
      <c r="A1013" t="s">
        <v>1115</v>
      </c>
      <c r="B1013" s="1">
        <v>45726</v>
      </c>
      <c r="C1013" t="s">
        <v>56</v>
      </c>
      <c r="D1013" t="s">
        <v>57</v>
      </c>
      <c r="E1013" t="s">
        <v>146</v>
      </c>
      <c r="F1013" t="s">
        <v>133</v>
      </c>
      <c r="G1013" t="s">
        <v>112</v>
      </c>
      <c r="H1013" t="s">
        <v>47</v>
      </c>
      <c r="I1013" t="s">
        <v>61</v>
      </c>
      <c r="J1013" s="1">
        <v>45773</v>
      </c>
      <c r="K1013" s="1">
        <v>45773</v>
      </c>
      <c r="L1013" s="3">
        <v>22600</v>
      </c>
      <c r="M1013" s="4">
        <v>0</v>
      </c>
      <c r="N1013" s="4">
        <v>0</v>
      </c>
      <c r="O1013" t="s">
        <v>116</v>
      </c>
      <c r="P1013">
        <v>2</v>
      </c>
      <c r="Q1013" t="str">
        <f>IFERROR(VLOOKUP(E1013,Lookups!$A$5:$B$24,2,FALSE),"Other")</f>
        <v>LinkedIn</v>
      </c>
      <c r="R1013" t="str">
        <f>IFERROR(VLOOKUP(F1013,Lookups!$D$5:$F$10,2,FALSE),"Unknown Product")</f>
        <v>Analytics Plus</v>
      </c>
      <c r="S1013" t="str">
        <f>IFERROR(VLOOKUP(F1013,Lookups!$D$5:$F$10,3,FALSE),"Unknown")</f>
        <v>Analytics</v>
      </c>
      <c r="T1013" t="str">
        <f t="shared" si="165"/>
        <v>Mid-Market</v>
      </c>
      <c r="U1013" t="str">
        <f t="shared" si="166"/>
        <v>Lost</v>
      </c>
      <c r="V1013" s="3">
        <f t="shared" si="167"/>
        <v>0</v>
      </c>
      <c r="W1013" s="3">
        <f t="shared" si="168"/>
        <v>0</v>
      </c>
      <c r="X1013" s="5">
        <f t="shared" si="169"/>
        <v>47</v>
      </c>
      <c r="Y1013" s="5">
        <f>IF(U1013="Open",Lookups!$B$2-B1013,X1013)</f>
        <v>47</v>
      </c>
      <c r="Z1013" t="str">
        <f t="shared" si="170"/>
        <v>OK</v>
      </c>
      <c r="AA1013" t="str">
        <f t="shared" si="171"/>
        <v>2025-03</v>
      </c>
      <c r="AB1013" t="str">
        <f t="shared" si="172"/>
        <v>2025-04</v>
      </c>
      <c r="AC1013" t="str">
        <f t="shared" si="173"/>
        <v>Q1-2025</v>
      </c>
      <c r="AD1013" s="5">
        <f t="shared" si="174"/>
        <v>56</v>
      </c>
      <c r="AE1013" t="str">
        <f t="shared" si="175"/>
        <v>Lost</v>
      </c>
    </row>
    <row r="1014" spans="1:31">
      <c r="A1014" t="s">
        <v>1116</v>
      </c>
      <c r="B1014" s="1">
        <v>45721</v>
      </c>
      <c r="C1014" t="s">
        <v>64</v>
      </c>
      <c r="D1014" t="s">
        <v>57</v>
      </c>
      <c r="E1014" t="s">
        <v>44</v>
      </c>
      <c r="F1014" t="s">
        <v>52</v>
      </c>
      <c r="G1014" t="s">
        <v>112</v>
      </c>
      <c r="H1014" t="s">
        <v>47</v>
      </c>
      <c r="I1014" t="s">
        <v>61</v>
      </c>
      <c r="J1014" s="1">
        <v>45782</v>
      </c>
      <c r="K1014" s="1">
        <v>45782</v>
      </c>
      <c r="L1014" s="3">
        <v>9600</v>
      </c>
      <c r="M1014" s="4">
        <v>0</v>
      </c>
      <c r="N1014" s="4">
        <v>0</v>
      </c>
      <c r="O1014" t="s">
        <v>62</v>
      </c>
      <c r="P1014">
        <v>5</v>
      </c>
      <c r="Q1014" t="str">
        <f>IFERROR(VLOOKUP(E1014,Lookups!$A$5:$B$24,2,FALSE),"Other")</f>
        <v>Organic Search</v>
      </c>
      <c r="R1014" t="str">
        <f>IFERROR(VLOOKUP(F1014,Lookups!$D$5:$F$10,2,FALSE),"Unknown Product")</f>
        <v>NexaCRM Core</v>
      </c>
      <c r="S1014" t="str">
        <f>IFERROR(VLOOKUP(F1014,Lookups!$D$5:$F$10,3,FALSE),"Unknown")</f>
        <v>CRM</v>
      </c>
      <c r="T1014" t="str">
        <f t="shared" si="165"/>
        <v>SMB</v>
      </c>
      <c r="U1014" t="str">
        <f t="shared" si="166"/>
        <v>Lost</v>
      </c>
      <c r="V1014" s="3">
        <f t="shared" si="167"/>
        <v>0</v>
      </c>
      <c r="W1014" s="3">
        <f t="shared" si="168"/>
        <v>0</v>
      </c>
      <c r="X1014" s="5">
        <f t="shared" si="169"/>
        <v>61</v>
      </c>
      <c r="Y1014" s="5">
        <f>IF(U1014="Open",Lookups!$B$2-B1014,X1014)</f>
        <v>61</v>
      </c>
      <c r="Z1014" t="str">
        <f t="shared" si="170"/>
        <v>OK</v>
      </c>
      <c r="AA1014" t="str">
        <f t="shared" si="171"/>
        <v>2025-03</v>
      </c>
      <c r="AB1014" t="str">
        <f t="shared" si="172"/>
        <v>2025-05</v>
      </c>
      <c r="AC1014" t="str">
        <f t="shared" si="173"/>
        <v>Q1-2025</v>
      </c>
      <c r="AD1014" s="5">
        <f t="shared" si="174"/>
        <v>54</v>
      </c>
      <c r="AE1014" t="str">
        <f t="shared" si="175"/>
        <v>Lost</v>
      </c>
    </row>
    <row r="1015" spans="1:31">
      <c r="A1015" t="s">
        <v>1117</v>
      </c>
      <c r="B1015" s="1">
        <v>45665</v>
      </c>
      <c r="C1015" t="s">
        <v>90</v>
      </c>
      <c r="D1015" t="s">
        <v>57</v>
      </c>
      <c r="E1015" t="s">
        <v>107</v>
      </c>
      <c r="F1015" t="s">
        <v>52</v>
      </c>
      <c r="G1015" t="s">
        <v>94</v>
      </c>
      <c r="H1015" t="s">
        <v>47</v>
      </c>
      <c r="I1015" t="s">
        <v>61</v>
      </c>
      <c r="J1015" s="1">
        <v>45734</v>
      </c>
      <c r="K1015" s="1">
        <v>45734</v>
      </c>
      <c r="L1015" s="3">
        <v>4800</v>
      </c>
      <c r="M1015" s="4">
        <v>0</v>
      </c>
      <c r="N1015" s="4">
        <v>0</v>
      </c>
      <c r="O1015" t="s">
        <v>102</v>
      </c>
      <c r="P1015">
        <v>2</v>
      </c>
      <c r="Q1015" t="str">
        <f>IFERROR(VLOOKUP(E1015,Lookups!$A$5:$B$24,2,FALSE),"Other")</f>
        <v>Referral</v>
      </c>
      <c r="R1015" t="str">
        <f>IFERROR(VLOOKUP(F1015,Lookups!$D$5:$F$10,2,FALSE),"Unknown Product")</f>
        <v>NexaCRM Core</v>
      </c>
      <c r="S1015" t="str">
        <f>IFERROR(VLOOKUP(F1015,Lookups!$D$5:$F$10,3,FALSE),"Unknown")</f>
        <v>CRM</v>
      </c>
      <c r="T1015" t="str">
        <f t="shared" si="165"/>
        <v>SMB</v>
      </c>
      <c r="U1015" t="str">
        <f t="shared" si="166"/>
        <v>Lost</v>
      </c>
      <c r="V1015" s="3">
        <f t="shared" si="167"/>
        <v>0</v>
      </c>
      <c r="W1015" s="3">
        <f t="shared" si="168"/>
        <v>0</v>
      </c>
      <c r="X1015" s="5">
        <f t="shared" si="169"/>
        <v>69</v>
      </c>
      <c r="Y1015" s="5">
        <f>IF(U1015="Open",Lookups!$B$2-B1015,X1015)</f>
        <v>69</v>
      </c>
      <c r="Z1015" t="str">
        <f t="shared" si="170"/>
        <v>OK</v>
      </c>
      <c r="AA1015" t="str">
        <f t="shared" si="171"/>
        <v>2025-01</v>
      </c>
      <c r="AB1015" t="str">
        <f t="shared" si="172"/>
        <v>2025-03</v>
      </c>
      <c r="AC1015" t="str">
        <f t="shared" si="173"/>
        <v>Q1-2025</v>
      </c>
      <c r="AD1015" s="5">
        <f t="shared" si="174"/>
        <v>54</v>
      </c>
      <c r="AE1015" t="str">
        <f t="shared" si="175"/>
        <v>Lost</v>
      </c>
    </row>
    <row r="1016" spans="1:31">
      <c r="A1016" t="s">
        <v>1118</v>
      </c>
      <c r="B1016" s="1">
        <v>46088</v>
      </c>
      <c r="C1016" t="s">
        <v>86</v>
      </c>
      <c r="D1016" t="s">
        <v>87</v>
      </c>
      <c r="E1016" t="s">
        <v>146</v>
      </c>
      <c r="F1016" t="s">
        <v>67</v>
      </c>
      <c r="G1016" t="s">
        <v>99</v>
      </c>
      <c r="H1016" t="s">
        <v>53</v>
      </c>
      <c r="I1016" t="s">
        <v>61</v>
      </c>
      <c r="J1016" s="1">
        <v>46103</v>
      </c>
      <c r="K1016" s="1">
        <v>46103</v>
      </c>
      <c r="L1016" s="3">
        <v>86700</v>
      </c>
      <c r="M1016" s="4">
        <v>0</v>
      </c>
      <c r="N1016" s="4">
        <v>0</v>
      </c>
      <c r="O1016" t="s">
        <v>79</v>
      </c>
      <c r="P1016">
        <v>5</v>
      </c>
      <c r="Q1016" t="str">
        <f>IFERROR(VLOOKUP(E1016,Lookups!$A$5:$B$24,2,FALSE),"Other")</f>
        <v>LinkedIn</v>
      </c>
      <c r="R1016" t="str">
        <f>IFERROR(VLOOKUP(F1016,Lookups!$D$5:$F$10,2,FALSE),"Unknown Product")</f>
        <v>Revenue Operations Suite</v>
      </c>
      <c r="S1016" t="str">
        <f>IFERROR(VLOOKUP(F1016,Lookups!$D$5:$F$10,3,FALSE),"Unknown")</f>
        <v>Revenue Ops</v>
      </c>
      <c r="T1016" t="str">
        <f t="shared" si="165"/>
        <v>Enterprise</v>
      </c>
      <c r="U1016" t="str">
        <f t="shared" si="166"/>
        <v>Lost</v>
      </c>
      <c r="V1016" s="3">
        <f t="shared" si="167"/>
        <v>0</v>
      </c>
      <c r="W1016" s="3">
        <f t="shared" si="168"/>
        <v>0</v>
      </c>
      <c r="X1016" s="5">
        <f t="shared" si="169"/>
        <v>15</v>
      </c>
      <c r="Y1016" s="5">
        <f>IF(U1016="Open",Lookups!$B$2-B1016,X1016)</f>
        <v>15</v>
      </c>
      <c r="Z1016" t="str">
        <f t="shared" si="170"/>
        <v>OK</v>
      </c>
      <c r="AA1016" t="str">
        <f t="shared" si="171"/>
        <v>2026-03</v>
      </c>
      <c r="AB1016" t="str">
        <f t="shared" si="172"/>
        <v>2026-03</v>
      </c>
      <c r="AC1016" t="str">
        <f t="shared" si="173"/>
        <v>Q1-2026</v>
      </c>
      <c r="AD1016" s="5">
        <f t="shared" si="174"/>
        <v>66</v>
      </c>
      <c r="AE1016" t="str">
        <f t="shared" si="175"/>
        <v>Lost</v>
      </c>
    </row>
    <row r="1017" spans="1:31">
      <c r="A1017" t="s">
        <v>1119</v>
      </c>
      <c r="B1017" s="1">
        <v>46216</v>
      </c>
      <c r="C1017" t="s">
        <v>50</v>
      </c>
      <c r="D1017" t="s">
        <v>43</v>
      </c>
      <c r="E1017" t="s">
        <v>88</v>
      </c>
      <c r="F1017" t="s">
        <v>45</v>
      </c>
      <c r="G1017" t="s">
        <v>60</v>
      </c>
      <c r="H1017" t="s">
        <v>47</v>
      </c>
      <c r="I1017" t="s">
        <v>73</v>
      </c>
      <c r="J1017" s="1">
        <v>46239</v>
      </c>
      <c r="K1017" s="1"/>
      <c r="L1017" s="3">
        <v>20400</v>
      </c>
      <c r="M1017" s="4">
        <v>0</v>
      </c>
      <c r="N1017" s="4">
        <v>0.2</v>
      </c>
      <c r="P1017">
        <v>2</v>
      </c>
      <c r="Q1017" t="str">
        <f>IFERROR(VLOOKUP(E1017,Lookups!$A$5:$B$24,2,FALSE),"Other")</f>
        <v>Other</v>
      </c>
      <c r="R1017" t="str">
        <f>IFERROR(VLOOKUP(F1017,Lookups!$D$5:$F$10,2,FALSE),"Unknown Product")</f>
        <v>Service Cloud</v>
      </c>
      <c r="S1017" t="str">
        <f>IFERROR(VLOOKUP(F1017,Lookups!$D$5:$F$10,3,FALSE),"Unknown")</f>
        <v>Customer Service</v>
      </c>
      <c r="T1017" t="str">
        <f t="shared" si="165"/>
        <v>Mid-Market</v>
      </c>
      <c r="U1017" t="str">
        <f t="shared" si="166"/>
        <v>Open</v>
      </c>
      <c r="V1017" s="3">
        <f t="shared" si="167"/>
        <v>0</v>
      </c>
      <c r="W1017" s="3">
        <f t="shared" si="168"/>
        <v>4080</v>
      </c>
      <c r="X1017" s="5" t="str">
        <f t="shared" si="169"/>
        <v/>
      </c>
      <c r="Y1017" s="5">
        <f>IF(U1017="Open",Lookups!$B$2-B1017,X1017)</f>
        <v>50</v>
      </c>
      <c r="Z1017" t="str">
        <f t="shared" si="170"/>
        <v>STALE</v>
      </c>
      <c r="AA1017" t="str">
        <f t="shared" si="171"/>
        <v>2026-07</v>
      </c>
      <c r="AB1017" t="str">
        <f t="shared" si="172"/>
        <v/>
      </c>
      <c r="AC1017" t="str">
        <f t="shared" si="173"/>
        <v>Q3-2026</v>
      </c>
      <c r="AD1017" s="5">
        <f t="shared" si="174"/>
        <v>51</v>
      </c>
      <c r="AE1017" t="str">
        <f t="shared" si="175"/>
        <v>Pipeline</v>
      </c>
    </row>
    <row r="1018" spans="1:31">
      <c r="A1018" t="s">
        <v>1120</v>
      </c>
      <c r="B1018" s="1">
        <v>45752</v>
      </c>
      <c r="C1018" t="s">
        <v>86</v>
      </c>
      <c r="D1018" t="s">
        <v>87</v>
      </c>
      <c r="E1018" t="s">
        <v>98</v>
      </c>
      <c r="F1018" t="s">
        <v>67</v>
      </c>
      <c r="G1018" t="s">
        <v>76</v>
      </c>
      <c r="H1018" t="s">
        <v>47</v>
      </c>
      <c r="I1018" t="s">
        <v>61</v>
      </c>
      <c r="J1018" s="1">
        <v>45812</v>
      </c>
      <c r="K1018" s="1">
        <v>45812</v>
      </c>
      <c r="L1018" s="3">
        <v>25500</v>
      </c>
      <c r="M1018" s="4">
        <v>0</v>
      </c>
      <c r="N1018" s="4">
        <v>0</v>
      </c>
      <c r="O1018" t="s">
        <v>81</v>
      </c>
      <c r="P1018">
        <v>3</v>
      </c>
      <c r="Q1018" t="str">
        <f>IFERROR(VLOOKUP(E1018,Lookups!$A$5:$B$24,2,FALSE),"Other")</f>
        <v>Outbound</v>
      </c>
      <c r="R1018" t="str">
        <f>IFERROR(VLOOKUP(F1018,Lookups!$D$5:$F$10,2,FALSE),"Unknown Product")</f>
        <v>Revenue Operations Suite</v>
      </c>
      <c r="S1018" t="str">
        <f>IFERROR(VLOOKUP(F1018,Lookups!$D$5:$F$10,3,FALSE),"Unknown")</f>
        <v>Revenue Ops</v>
      </c>
      <c r="T1018" t="str">
        <f t="shared" si="165"/>
        <v>Mid-Market</v>
      </c>
      <c r="U1018" t="str">
        <f t="shared" si="166"/>
        <v>Lost</v>
      </c>
      <c r="V1018" s="3">
        <f t="shared" si="167"/>
        <v>0</v>
      </c>
      <c r="W1018" s="3">
        <f t="shared" si="168"/>
        <v>0</v>
      </c>
      <c r="X1018" s="5">
        <f t="shared" si="169"/>
        <v>60</v>
      </c>
      <c r="Y1018" s="5">
        <f>IF(U1018="Open",Lookups!$B$2-B1018,X1018)</f>
        <v>60</v>
      </c>
      <c r="Z1018" t="str">
        <f t="shared" si="170"/>
        <v>OK</v>
      </c>
      <c r="AA1018" t="str">
        <f t="shared" si="171"/>
        <v>2025-04</v>
      </c>
      <c r="AB1018" t="str">
        <f t="shared" si="172"/>
        <v>2025-06</v>
      </c>
      <c r="AC1018" t="str">
        <f t="shared" si="173"/>
        <v>Q2-2025</v>
      </c>
      <c r="AD1018" s="5">
        <f t="shared" si="174"/>
        <v>51</v>
      </c>
      <c r="AE1018" t="str">
        <f t="shared" si="175"/>
        <v>Lost</v>
      </c>
    </row>
    <row r="1019" spans="1:31">
      <c r="A1019" t="s">
        <v>1121</v>
      </c>
      <c r="B1019" s="1">
        <v>46165</v>
      </c>
      <c r="C1019" t="s">
        <v>56</v>
      </c>
      <c r="D1019" t="s">
        <v>57</v>
      </c>
      <c r="E1019" t="s">
        <v>51</v>
      </c>
      <c r="F1019" t="s">
        <v>71</v>
      </c>
      <c r="G1019" t="s">
        <v>60</v>
      </c>
      <c r="H1019" t="s">
        <v>47</v>
      </c>
      <c r="I1019" t="s">
        <v>105</v>
      </c>
      <c r="J1019" s="1">
        <v>46204</v>
      </c>
      <c r="K1019" s="1"/>
      <c r="L1019" s="3">
        <v>9500</v>
      </c>
      <c r="M1019" s="4">
        <v>0</v>
      </c>
      <c r="N1019" s="4">
        <v>0.4</v>
      </c>
      <c r="P1019">
        <v>3</v>
      </c>
      <c r="Q1019" t="str">
        <f>IFERROR(VLOOKUP(E1019,Lookups!$A$5:$B$24,2,FALSE),"Other")</f>
        <v>Paid Search</v>
      </c>
      <c r="R1019" t="str">
        <f>IFERROR(VLOOKUP(F1019,Lookups!$D$5:$F$10,2,FALSE),"Unknown Product")</f>
        <v>Marketing Automation</v>
      </c>
      <c r="S1019" t="str">
        <f>IFERROR(VLOOKUP(F1019,Lookups!$D$5:$F$10,3,FALSE),"Unknown")</f>
        <v>Marketing</v>
      </c>
      <c r="T1019" t="str">
        <f t="shared" si="165"/>
        <v>SMB</v>
      </c>
      <c r="U1019" t="str">
        <f t="shared" si="166"/>
        <v>Open</v>
      </c>
      <c r="V1019" s="3">
        <f t="shared" si="167"/>
        <v>0</v>
      </c>
      <c r="W1019" s="3">
        <f t="shared" si="168"/>
        <v>3800</v>
      </c>
      <c r="X1019" s="5" t="str">
        <f t="shared" si="169"/>
        <v/>
      </c>
      <c r="Y1019" s="5">
        <f>IF(U1019="Open",Lookups!$B$2-B1019,X1019)</f>
        <v>101</v>
      </c>
      <c r="Z1019" t="str">
        <f t="shared" si="170"/>
        <v>STALE</v>
      </c>
      <c r="AA1019" t="str">
        <f t="shared" si="171"/>
        <v>2026-05</v>
      </c>
      <c r="AB1019" t="str">
        <f t="shared" si="172"/>
        <v/>
      </c>
      <c r="AC1019" t="str">
        <f t="shared" si="173"/>
        <v>Q2-2026</v>
      </c>
      <c r="AD1019" s="5">
        <f t="shared" si="174"/>
        <v>43</v>
      </c>
      <c r="AE1019" t="str">
        <f t="shared" si="175"/>
        <v>Pipeline</v>
      </c>
    </row>
    <row r="1020" spans="1:31">
      <c r="A1020" t="s">
        <v>1122</v>
      </c>
      <c r="B1020" s="1">
        <v>46219</v>
      </c>
      <c r="C1020" t="s">
        <v>42</v>
      </c>
      <c r="D1020" t="s">
        <v>43</v>
      </c>
      <c r="E1020" t="s">
        <v>83</v>
      </c>
      <c r="F1020" t="s">
        <v>133</v>
      </c>
      <c r="G1020" t="s">
        <v>60</v>
      </c>
      <c r="H1020" t="s">
        <v>84</v>
      </c>
      <c r="I1020" t="s">
        <v>73</v>
      </c>
      <c r="J1020" s="1">
        <v>46250</v>
      </c>
      <c r="K1020" s="1"/>
      <c r="L1020" s="3">
        <v>77000</v>
      </c>
      <c r="M1020" s="4">
        <v>0.03</v>
      </c>
      <c r="N1020" s="4">
        <v>0.2</v>
      </c>
      <c r="P1020">
        <v>2</v>
      </c>
      <c r="Q1020" t="str">
        <f>IFERROR(VLOOKUP(E1020,Lookups!$A$5:$B$24,2,FALSE),"Other")</f>
        <v>Organic Search</v>
      </c>
      <c r="R1020" t="str">
        <f>IFERROR(VLOOKUP(F1020,Lookups!$D$5:$F$10,2,FALSE),"Unknown Product")</f>
        <v>Analytics Plus</v>
      </c>
      <c r="S1020" t="str">
        <f>IFERROR(VLOOKUP(F1020,Lookups!$D$5:$F$10,3,FALSE),"Unknown")</f>
        <v>Analytics</v>
      </c>
      <c r="T1020" t="str">
        <f t="shared" si="165"/>
        <v>Enterprise</v>
      </c>
      <c r="U1020" t="str">
        <f t="shared" si="166"/>
        <v>Open</v>
      </c>
      <c r="V1020" s="3">
        <f t="shared" si="167"/>
        <v>0</v>
      </c>
      <c r="W1020" s="3">
        <f t="shared" si="168"/>
        <v>15400</v>
      </c>
      <c r="X1020" s="5" t="str">
        <f t="shared" si="169"/>
        <v/>
      </c>
      <c r="Y1020" s="5">
        <f>IF(U1020="Open",Lookups!$B$2-B1020,X1020)</f>
        <v>47</v>
      </c>
      <c r="Z1020" t="str">
        <f t="shared" si="170"/>
        <v>STALE</v>
      </c>
      <c r="AA1020" t="str">
        <f t="shared" si="171"/>
        <v>2026-07</v>
      </c>
      <c r="AB1020" t="str">
        <f t="shared" si="172"/>
        <v/>
      </c>
      <c r="AC1020" t="str">
        <f t="shared" si="173"/>
        <v>Q3-2026</v>
      </c>
      <c r="AD1020" s="5">
        <f t="shared" si="174"/>
        <v>80</v>
      </c>
      <c r="AE1020" t="str">
        <f t="shared" si="175"/>
        <v>Pipeline</v>
      </c>
    </row>
    <row r="1021" spans="1:31">
      <c r="A1021" t="s">
        <v>1123</v>
      </c>
      <c r="B1021" s="1">
        <v>46244</v>
      </c>
      <c r="C1021" t="s">
        <v>56</v>
      </c>
      <c r="D1021" t="s">
        <v>57</v>
      </c>
      <c r="E1021" t="s">
        <v>44</v>
      </c>
      <c r="F1021" t="s">
        <v>52</v>
      </c>
      <c r="G1021" t="s">
        <v>60</v>
      </c>
      <c r="H1021" t="s">
        <v>47</v>
      </c>
      <c r="I1021" t="s">
        <v>187</v>
      </c>
      <c r="J1021" s="1">
        <v>46258</v>
      </c>
      <c r="K1021" s="1"/>
      <c r="L1021" s="3">
        <v>9600</v>
      </c>
      <c r="M1021" s="4">
        <v>0</v>
      </c>
      <c r="N1021" s="4">
        <v>0.05</v>
      </c>
      <c r="P1021">
        <v>1</v>
      </c>
      <c r="Q1021" t="str">
        <f>IFERROR(VLOOKUP(E1021,Lookups!$A$5:$B$24,2,FALSE),"Other")</f>
        <v>Organic Search</v>
      </c>
      <c r="R1021" t="str">
        <f>IFERROR(VLOOKUP(F1021,Lookups!$D$5:$F$10,2,FALSE),"Unknown Product")</f>
        <v>NexaCRM Core</v>
      </c>
      <c r="S1021" t="str">
        <f>IFERROR(VLOOKUP(F1021,Lookups!$D$5:$F$10,3,FALSE),"Unknown")</f>
        <v>CRM</v>
      </c>
      <c r="T1021" t="str">
        <f t="shared" si="165"/>
        <v>SMB</v>
      </c>
      <c r="U1021" t="str">
        <f t="shared" si="166"/>
        <v>Open</v>
      </c>
      <c r="V1021" s="3">
        <f t="shared" si="167"/>
        <v>0</v>
      </c>
      <c r="W1021" s="3">
        <f t="shared" si="168"/>
        <v>480</v>
      </c>
      <c r="X1021" s="5" t="str">
        <f t="shared" si="169"/>
        <v/>
      </c>
      <c r="Y1021" s="5">
        <f>IF(U1021="Open",Lookups!$B$2-B1021,X1021)</f>
        <v>22</v>
      </c>
      <c r="Z1021" t="str">
        <f t="shared" si="170"/>
        <v>OK</v>
      </c>
      <c r="AA1021" t="str">
        <f t="shared" si="171"/>
        <v>2026-08</v>
      </c>
      <c r="AB1021" t="str">
        <f t="shared" si="172"/>
        <v/>
      </c>
      <c r="AC1021" t="str">
        <f t="shared" si="173"/>
        <v>Q3-2026</v>
      </c>
      <c r="AD1021" s="5">
        <f t="shared" si="174"/>
        <v>49</v>
      </c>
      <c r="AE1021" t="str">
        <f t="shared" si="175"/>
        <v>Pipeline</v>
      </c>
    </row>
    <row r="1022" spans="1:31">
      <c r="A1022" t="s">
        <v>1124</v>
      </c>
      <c r="B1022" s="1">
        <v>46217</v>
      </c>
      <c r="C1022" t="s">
        <v>64</v>
      </c>
      <c r="D1022" t="s">
        <v>57</v>
      </c>
      <c r="E1022" t="s">
        <v>51</v>
      </c>
      <c r="F1022" t="s">
        <v>71</v>
      </c>
      <c r="G1022" t="s">
        <v>72</v>
      </c>
      <c r="H1022" t="s">
        <v>47</v>
      </c>
      <c r="I1022" t="s">
        <v>105</v>
      </c>
      <c r="J1022" s="1">
        <v>46252</v>
      </c>
      <c r="K1022" s="1"/>
      <c r="L1022" s="3">
        <v>10300</v>
      </c>
      <c r="M1022" s="4">
        <v>0.03</v>
      </c>
      <c r="N1022" s="4">
        <v>0.4</v>
      </c>
      <c r="P1022">
        <v>3</v>
      </c>
      <c r="Q1022" t="str">
        <f>IFERROR(VLOOKUP(E1022,Lookups!$A$5:$B$24,2,FALSE),"Other")</f>
        <v>Paid Search</v>
      </c>
      <c r="R1022" t="str">
        <f>IFERROR(VLOOKUP(F1022,Lookups!$D$5:$F$10,2,FALSE),"Unknown Product")</f>
        <v>Marketing Automation</v>
      </c>
      <c r="S1022" t="str">
        <f>IFERROR(VLOOKUP(F1022,Lookups!$D$5:$F$10,3,FALSE),"Unknown")</f>
        <v>Marketing</v>
      </c>
      <c r="T1022" t="str">
        <f t="shared" si="165"/>
        <v>SMB</v>
      </c>
      <c r="U1022" t="str">
        <f t="shared" si="166"/>
        <v>Open</v>
      </c>
      <c r="V1022" s="3">
        <f t="shared" si="167"/>
        <v>0</v>
      </c>
      <c r="W1022" s="3">
        <f t="shared" si="168"/>
        <v>4120</v>
      </c>
      <c r="X1022" s="5" t="str">
        <f t="shared" si="169"/>
        <v/>
      </c>
      <c r="Y1022" s="5">
        <f>IF(U1022="Open",Lookups!$B$2-B1022,X1022)</f>
        <v>49</v>
      </c>
      <c r="Z1022" t="str">
        <f t="shared" si="170"/>
        <v>STALE</v>
      </c>
      <c r="AA1022" t="str">
        <f t="shared" si="171"/>
        <v>2026-07</v>
      </c>
      <c r="AB1022" t="str">
        <f t="shared" si="172"/>
        <v/>
      </c>
      <c r="AC1022" t="str">
        <f t="shared" si="173"/>
        <v>Q3-2026</v>
      </c>
      <c r="AD1022" s="5">
        <f t="shared" si="174"/>
        <v>43</v>
      </c>
      <c r="AE1022" t="str">
        <f t="shared" si="175"/>
        <v>Pipeline</v>
      </c>
    </row>
    <row r="1023" spans="1:31">
      <c r="A1023" t="s">
        <v>1125</v>
      </c>
      <c r="B1023" s="1">
        <v>46160</v>
      </c>
      <c r="C1023" t="s">
        <v>86</v>
      </c>
      <c r="D1023" t="s">
        <v>87</v>
      </c>
      <c r="E1023" t="s">
        <v>70</v>
      </c>
      <c r="F1023" t="s">
        <v>133</v>
      </c>
      <c r="G1023" t="s">
        <v>46</v>
      </c>
      <c r="H1023" t="s">
        <v>84</v>
      </c>
      <c r="I1023" t="s">
        <v>77</v>
      </c>
      <c r="J1023" s="1">
        <v>46219</v>
      </c>
      <c r="K1023" s="1">
        <v>46219</v>
      </c>
      <c r="L1023" s="3">
        <v>49700</v>
      </c>
      <c r="M1023" s="4">
        <v>0.12</v>
      </c>
      <c r="N1023" s="4">
        <v>1</v>
      </c>
      <c r="P1023">
        <v>6</v>
      </c>
      <c r="Q1023" t="str">
        <f>IFERROR(VLOOKUP(E1023,Lookups!$A$5:$B$24,2,FALSE),"Other")</f>
        <v>LinkedIn</v>
      </c>
      <c r="R1023" t="str">
        <f>IFERROR(VLOOKUP(F1023,Lookups!$D$5:$F$10,2,FALSE),"Unknown Product")</f>
        <v>Analytics Plus</v>
      </c>
      <c r="S1023" t="str">
        <f>IFERROR(VLOOKUP(F1023,Lookups!$D$5:$F$10,3,FALSE),"Unknown")</f>
        <v>Analytics</v>
      </c>
      <c r="T1023" t="str">
        <f t="shared" si="165"/>
        <v>Mid-Market</v>
      </c>
      <c r="U1023" t="str">
        <f t="shared" si="166"/>
        <v>Won</v>
      </c>
      <c r="V1023" s="3">
        <f t="shared" si="167"/>
        <v>43736</v>
      </c>
      <c r="W1023" s="3">
        <f t="shared" si="168"/>
        <v>0</v>
      </c>
      <c r="X1023" s="5">
        <f t="shared" si="169"/>
        <v>59</v>
      </c>
      <c r="Y1023" s="5">
        <f>IF(U1023="Open",Lookups!$B$2-B1023,X1023)</f>
        <v>59</v>
      </c>
      <c r="Z1023" t="str">
        <f t="shared" si="170"/>
        <v>OK</v>
      </c>
      <c r="AA1023" t="str">
        <f t="shared" si="171"/>
        <v>2026-05</v>
      </c>
      <c r="AB1023" t="str">
        <f t="shared" si="172"/>
        <v>2026-07</v>
      </c>
      <c r="AC1023" t="str">
        <f t="shared" si="173"/>
        <v>Q2-2026</v>
      </c>
      <c r="AD1023" s="5">
        <f t="shared" si="174"/>
        <v>67</v>
      </c>
      <c r="AE1023" t="str">
        <f t="shared" si="175"/>
        <v>Won</v>
      </c>
    </row>
    <row r="1024" spans="1:31">
      <c r="A1024" t="s">
        <v>1126</v>
      </c>
      <c r="B1024" s="1">
        <v>45758</v>
      </c>
      <c r="C1024" t="s">
        <v>69</v>
      </c>
      <c r="D1024" t="s">
        <v>57</v>
      </c>
      <c r="E1024" t="s">
        <v>96</v>
      </c>
      <c r="F1024" t="s">
        <v>71</v>
      </c>
      <c r="G1024" t="s">
        <v>60</v>
      </c>
      <c r="H1024" t="s">
        <v>53</v>
      </c>
      <c r="I1024" t="s">
        <v>61</v>
      </c>
      <c r="J1024" s="1">
        <v>45783</v>
      </c>
      <c r="K1024" s="1">
        <v>45783</v>
      </c>
      <c r="L1024" s="3">
        <v>22000</v>
      </c>
      <c r="M1024" s="4">
        <v>0</v>
      </c>
      <c r="N1024" s="4">
        <v>0</v>
      </c>
      <c r="O1024" t="s">
        <v>79</v>
      </c>
      <c r="P1024">
        <v>4</v>
      </c>
      <c r="Q1024" t="str">
        <f>IFERROR(VLOOKUP(E1024,Lookups!$A$5:$B$24,2,FALSE),"Other")</f>
        <v>LinkedIn</v>
      </c>
      <c r="R1024" t="str">
        <f>IFERROR(VLOOKUP(F1024,Lookups!$D$5:$F$10,2,FALSE),"Unknown Product")</f>
        <v>Marketing Automation</v>
      </c>
      <c r="S1024" t="str">
        <f>IFERROR(VLOOKUP(F1024,Lookups!$D$5:$F$10,3,FALSE),"Unknown")</f>
        <v>Marketing</v>
      </c>
      <c r="T1024" t="str">
        <f t="shared" si="165"/>
        <v>Mid-Market</v>
      </c>
      <c r="U1024" t="str">
        <f t="shared" si="166"/>
        <v>Lost</v>
      </c>
      <c r="V1024" s="3">
        <f t="shared" si="167"/>
        <v>0</v>
      </c>
      <c r="W1024" s="3">
        <f t="shared" si="168"/>
        <v>0</v>
      </c>
      <c r="X1024" s="5">
        <f t="shared" si="169"/>
        <v>25</v>
      </c>
      <c r="Y1024" s="5">
        <f>IF(U1024="Open",Lookups!$B$2-B1024,X1024)</f>
        <v>25</v>
      </c>
      <c r="Z1024" t="str">
        <f t="shared" si="170"/>
        <v>OK</v>
      </c>
      <c r="AA1024" t="str">
        <f t="shared" si="171"/>
        <v>2025-04</v>
      </c>
      <c r="AB1024" t="str">
        <f t="shared" si="172"/>
        <v>2025-05</v>
      </c>
      <c r="AC1024" t="str">
        <f t="shared" si="173"/>
        <v>Q2-2025</v>
      </c>
      <c r="AD1024" s="5">
        <f t="shared" si="174"/>
        <v>59</v>
      </c>
      <c r="AE1024" t="str">
        <f t="shared" si="175"/>
        <v>Lost</v>
      </c>
    </row>
    <row r="1025" spans="1:31">
      <c r="A1025" t="s">
        <v>1127</v>
      </c>
      <c r="B1025" s="1">
        <v>45749</v>
      </c>
      <c r="C1025" t="s">
        <v>50</v>
      </c>
      <c r="D1025" t="s">
        <v>43</v>
      </c>
      <c r="E1025" t="s">
        <v>51</v>
      </c>
      <c r="F1025" t="s">
        <v>133</v>
      </c>
      <c r="G1025" t="s">
        <v>60</v>
      </c>
      <c r="H1025" t="s">
        <v>53</v>
      </c>
      <c r="I1025" t="s">
        <v>77</v>
      </c>
      <c r="J1025" s="1">
        <v>45820</v>
      </c>
      <c r="K1025" s="1">
        <v>45820</v>
      </c>
      <c r="L1025" s="3">
        <v>39700</v>
      </c>
      <c r="M1025" s="4">
        <v>0.03</v>
      </c>
      <c r="N1025" s="4">
        <v>1</v>
      </c>
      <c r="P1025">
        <v>6</v>
      </c>
      <c r="Q1025" t="str">
        <f>IFERROR(VLOOKUP(E1025,Lookups!$A$5:$B$24,2,FALSE),"Other")</f>
        <v>Paid Search</v>
      </c>
      <c r="R1025" t="str">
        <f>IFERROR(VLOOKUP(F1025,Lookups!$D$5:$F$10,2,FALSE),"Unknown Product")</f>
        <v>Analytics Plus</v>
      </c>
      <c r="S1025" t="str">
        <f>IFERROR(VLOOKUP(F1025,Lookups!$D$5:$F$10,3,FALSE),"Unknown")</f>
        <v>Analytics</v>
      </c>
      <c r="T1025" t="str">
        <f t="shared" si="165"/>
        <v>Mid-Market</v>
      </c>
      <c r="U1025" t="str">
        <f t="shared" si="166"/>
        <v>Won</v>
      </c>
      <c r="V1025" s="3">
        <f t="shared" si="167"/>
        <v>38509</v>
      </c>
      <c r="W1025" s="3">
        <f t="shared" si="168"/>
        <v>0</v>
      </c>
      <c r="X1025" s="5">
        <f t="shared" si="169"/>
        <v>71</v>
      </c>
      <c r="Y1025" s="5">
        <f>IF(U1025="Open",Lookups!$B$2-B1025,X1025)</f>
        <v>71</v>
      </c>
      <c r="Z1025" t="str">
        <f t="shared" si="170"/>
        <v>OK</v>
      </c>
      <c r="AA1025" t="str">
        <f t="shared" si="171"/>
        <v>2025-04</v>
      </c>
      <c r="AB1025" t="str">
        <f t="shared" si="172"/>
        <v>2025-06</v>
      </c>
      <c r="AC1025" t="str">
        <f t="shared" si="173"/>
        <v>Q2-2025</v>
      </c>
      <c r="AD1025" s="5">
        <f t="shared" si="174"/>
        <v>59</v>
      </c>
      <c r="AE1025" t="str">
        <f t="shared" si="175"/>
        <v>Won</v>
      </c>
    </row>
    <row r="1026" spans="1:31">
      <c r="A1026" t="s">
        <v>1128</v>
      </c>
      <c r="B1026" s="1">
        <v>45898</v>
      </c>
      <c r="C1026" t="s">
        <v>69</v>
      </c>
      <c r="D1026" t="s">
        <v>57</v>
      </c>
      <c r="E1026" t="s">
        <v>98</v>
      </c>
      <c r="F1026" t="s">
        <v>67</v>
      </c>
      <c r="G1026" t="s">
        <v>72</v>
      </c>
      <c r="H1026" t="s">
        <v>47</v>
      </c>
      <c r="I1026" t="s">
        <v>48</v>
      </c>
      <c r="J1026" s="1">
        <v>46183</v>
      </c>
      <c r="K1026" s="1"/>
      <c r="L1026" s="3">
        <v>48000</v>
      </c>
      <c r="M1026" s="4">
        <v>0.05</v>
      </c>
      <c r="N1026" s="4">
        <v>0.85</v>
      </c>
      <c r="P1026">
        <v>5</v>
      </c>
      <c r="Q1026" t="str">
        <f>IFERROR(VLOOKUP(E1026,Lookups!$A$5:$B$24,2,FALSE),"Other")</f>
        <v>Outbound</v>
      </c>
      <c r="R1026" t="str">
        <f>IFERROR(VLOOKUP(F1026,Lookups!$D$5:$F$10,2,FALSE),"Unknown Product")</f>
        <v>Revenue Operations Suite</v>
      </c>
      <c r="S1026" t="str">
        <f>IFERROR(VLOOKUP(F1026,Lookups!$D$5:$F$10,3,FALSE),"Unknown")</f>
        <v>Revenue Ops</v>
      </c>
      <c r="T1026" t="str">
        <f t="shared" ref="T1026:T1089" si="176">IF(L1026&gt;=50000,"Enterprise",IF(L1026&gt;=20000,"Mid-Market","SMB"))</f>
        <v>Mid-Market</v>
      </c>
      <c r="U1026" t="str">
        <f t="shared" ref="U1026:U1089" si="177">IF(I1026="Closed Won","Won",IF(I1026="Closed Lost","Lost","Open"))</f>
        <v>Open</v>
      </c>
      <c r="V1026" s="3">
        <f t="shared" ref="V1026:V1089" si="178">IF(U1026="Won",L1026*(1-M1026),0)</f>
        <v>0</v>
      </c>
      <c r="W1026" s="3">
        <f t="shared" ref="W1026:W1089" si="179">IF(U1026="Open",L1026*N1026,0)</f>
        <v>40800</v>
      </c>
      <c r="X1026" s="5" t="str">
        <f t="shared" ref="X1026:X1089" si="180">IF(U1026="Open","",IFERROR(K1026-B1026,""))</f>
        <v/>
      </c>
      <c r="Y1026" s="5">
        <f>IF(U1026="Open",Lookups!$B$2-B1026,X1026)</f>
        <v>368</v>
      </c>
      <c r="Z1026" t="str">
        <f t="shared" ref="Z1026:Z1089" si="181">IF(AND(U1026="Open",Y1026&gt;30),"STALE","OK")</f>
        <v>STALE</v>
      </c>
      <c r="AA1026" t="str">
        <f t="shared" ref="AA1026:AA1089" si="182">TEXT(B1026,"yyyy-mm")</f>
        <v>2025-08</v>
      </c>
      <c r="AB1026" t="str">
        <f t="shared" ref="AB1026:AB1089" si="183">IF(K1026="","",TEXT(K1026,"yyyy-mm"))</f>
        <v/>
      </c>
      <c r="AC1026" t="str">
        <f t="shared" ref="AC1026:AC1089" si="184">"Q"&amp;ROUNDUP(MONTH(B1026)/3,0)&amp;"-"&amp;YEAR(B1026)</f>
        <v>Q3-2025</v>
      </c>
      <c r="AD1026" s="5">
        <f t="shared" ref="AD1026:AD1089" si="185">MIN(100,IF(H1026="Enterprise",30,IF(H1026="Mid-Market",22,14))+IF(T1026="Enterprise",25,IF(T1026="Mid-Market",18,10))+IF(Q1026="Referral",25,IF(Q1026="Organic Search",20,IF(Q1026="Email",18,14)))+IF(G1026="Technology",10,5))</f>
        <v>51</v>
      </c>
      <c r="AE1026" t="str">
        <f t="shared" ref="AE1026:AE1089" si="186">IF(U1026&lt;&gt;"Open",U1026,IF(N1026&gt;=0.8,"Commit",IF(N1026&gt;=0.5,"Best Case","Pipeline")))</f>
        <v>Commit</v>
      </c>
    </row>
    <row r="1027" spans="1:31">
      <c r="A1027" t="s">
        <v>1129</v>
      </c>
      <c r="B1027" s="1">
        <v>45699</v>
      </c>
      <c r="C1027" t="s">
        <v>64</v>
      </c>
      <c r="D1027" t="s">
        <v>57</v>
      </c>
      <c r="E1027" t="s">
        <v>65</v>
      </c>
      <c r="F1027" t="s">
        <v>45</v>
      </c>
      <c r="G1027" t="s">
        <v>72</v>
      </c>
      <c r="H1027" t="s">
        <v>53</v>
      </c>
      <c r="I1027" t="s">
        <v>61</v>
      </c>
      <c r="J1027" s="1">
        <v>45736</v>
      </c>
      <c r="K1027" s="1">
        <v>45736</v>
      </c>
      <c r="L1027" s="3">
        <v>49200</v>
      </c>
      <c r="M1027" s="4">
        <v>0</v>
      </c>
      <c r="N1027" s="4">
        <v>0</v>
      </c>
      <c r="O1027" t="s">
        <v>81</v>
      </c>
      <c r="P1027">
        <v>3</v>
      </c>
      <c r="Q1027" t="str">
        <f>IFERROR(VLOOKUP(E1027,Lookups!$A$5:$B$24,2,FALSE),"Other")</f>
        <v>Paid Search</v>
      </c>
      <c r="R1027" t="str">
        <f>IFERROR(VLOOKUP(F1027,Lookups!$D$5:$F$10,2,FALSE),"Unknown Product")</f>
        <v>Service Cloud</v>
      </c>
      <c r="S1027" t="str">
        <f>IFERROR(VLOOKUP(F1027,Lookups!$D$5:$F$10,3,FALSE),"Unknown")</f>
        <v>Customer Service</v>
      </c>
      <c r="T1027" t="str">
        <f t="shared" si="176"/>
        <v>Mid-Market</v>
      </c>
      <c r="U1027" t="str">
        <f t="shared" si="177"/>
        <v>Lost</v>
      </c>
      <c r="V1027" s="3">
        <f t="shared" si="178"/>
        <v>0</v>
      </c>
      <c r="W1027" s="3">
        <f t="shared" si="179"/>
        <v>0</v>
      </c>
      <c r="X1027" s="5">
        <f t="shared" si="180"/>
        <v>37</v>
      </c>
      <c r="Y1027" s="5">
        <f>IF(U1027="Open",Lookups!$B$2-B1027,X1027)</f>
        <v>37</v>
      </c>
      <c r="Z1027" t="str">
        <f t="shared" si="181"/>
        <v>OK</v>
      </c>
      <c r="AA1027" t="str">
        <f t="shared" si="182"/>
        <v>2025-02</v>
      </c>
      <c r="AB1027" t="str">
        <f t="shared" si="183"/>
        <v>2025-03</v>
      </c>
      <c r="AC1027" t="str">
        <f t="shared" si="184"/>
        <v>Q1-2025</v>
      </c>
      <c r="AD1027" s="5">
        <f t="shared" si="185"/>
        <v>59</v>
      </c>
      <c r="AE1027" t="str">
        <f t="shared" si="186"/>
        <v>Lost</v>
      </c>
    </row>
    <row r="1028" spans="1:31">
      <c r="A1028" t="s">
        <v>1130</v>
      </c>
      <c r="B1028" s="1">
        <v>45955</v>
      </c>
      <c r="C1028" t="s">
        <v>86</v>
      </c>
      <c r="D1028" t="s">
        <v>87</v>
      </c>
      <c r="E1028" t="s">
        <v>109</v>
      </c>
      <c r="F1028" t="s">
        <v>59</v>
      </c>
      <c r="G1028" t="s">
        <v>112</v>
      </c>
      <c r="H1028" t="s">
        <v>84</v>
      </c>
      <c r="I1028" t="s">
        <v>61</v>
      </c>
      <c r="J1028" s="1">
        <v>45984</v>
      </c>
      <c r="K1028" s="1">
        <v>45984</v>
      </c>
      <c r="L1028" s="3">
        <v>59900</v>
      </c>
      <c r="M1028" s="4">
        <v>0</v>
      </c>
      <c r="N1028" s="4">
        <v>0</v>
      </c>
      <c r="O1028" t="s">
        <v>102</v>
      </c>
      <c r="P1028">
        <v>4</v>
      </c>
      <c r="Q1028" t="str">
        <f>IFERROR(VLOOKUP(E1028,Lookups!$A$5:$B$24,2,FALSE),"Other")</f>
        <v>Outbound</v>
      </c>
      <c r="R1028" t="str">
        <f>IFERROR(VLOOKUP(F1028,Lookups!$D$5:$F$10,2,FALSE),"Unknown Product")</f>
        <v>NexaCRM Pro</v>
      </c>
      <c r="S1028" t="str">
        <f>IFERROR(VLOOKUP(F1028,Lookups!$D$5:$F$10,3,FALSE),"Unknown")</f>
        <v>CRM</v>
      </c>
      <c r="T1028" t="str">
        <f t="shared" si="176"/>
        <v>Enterprise</v>
      </c>
      <c r="U1028" t="str">
        <f t="shared" si="177"/>
        <v>Lost</v>
      </c>
      <c r="V1028" s="3">
        <f t="shared" si="178"/>
        <v>0</v>
      </c>
      <c r="W1028" s="3">
        <f t="shared" si="179"/>
        <v>0</v>
      </c>
      <c r="X1028" s="5">
        <f t="shared" si="180"/>
        <v>29</v>
      </c>
      <c r="Y1028" s="5">
        <f>IF(U1028="Open",Lookups!$B$2-B1028,X1028)</f>
        <v>29</v>
      </c>
      <c r="Z1028" t="str">
        <f t="shared" si="181"/>
        <v>OK</v>
      </c>
      <c r="AA1028" t="str">
        <f t="shared" si="182"/>
        <v>2025-10</v>
      </c>
      <c r="AB1028" t="str">
        <f t="shared" si="183"/>
        <v>2025-11</v>
      </c>
      <c r="AC1028" t="str">
        <f t="shared" si="184"/>
        <v>Q4-2025</v>
      </c>
      <c r="AD1028" s="5">
        <f t="shared" si="185"/>
        <v>79</v>
      </c>
      <c r="AE1028" t="str">
        <f t="shared" si="186"/>
        <v>Lost</v>
      </c>
    </row>
    <row r="1029" spans="1:31">
      <c r="A1029" t="s">
        <v>1131</v>
      </c>
      <c r="B1029" s="1">
        <v>46015</v>
      </c>
      <c r="C1029" t="s">
        <v>56</v>
      </c>
      <c r="D1029" t="s">
        <v>57</v>
      </c>
      <c r="E1029" t="s">
        <v>92</v>
      </c>
      <c r="F1029" t="s">
        <v>71</v>
      </c>
      <c r="G1029" t="s">
        <v>99</v>
      </c>
      <c r="H1029" t="s">
        <v>84</v>
      </c>
      <c r="I1029" t="s">
        <v>77</v>
      </c>
      <c r="J1029" s="1">
        <v>46094</v>
      </c>
      <c r="K1029" s="1">
        <v>46094</v>
      </c>
      <c r="L1029" s="3">
        <v>51900</v>
      </c>
      <c r="M1029" s="4">
        <v>0.05</v>
      </c>
      <c r="N1029" s="4">
        <v>1</v>
      </c>
      <c r="P1029">
        <v>6</v>
      </c>
      <c r="Q1029" t="str">
        <f>IFERROR(VLOOKUP(E1029,Lookups!$A$5:$B$24,2,FALSE),"Other")</f>
        <v>Webinar</v>
      </c>
      <c r="R1029" t="str">
        <f>IFERROR(VLOOKUP(F1029,Lookups!$D$5:$F$10,2,FALSE),"Unknown Product")</f>
        <v>Marketing Automation</v>
      </c>
      <c r="S1029" t="str">
        <f>IFERROR(VLOOKUP(F1029,Lookups!$D$5:$F$10,3,FALSE),"Unknown")</f>
        <v>Marketing</v>
      </c>
      <c r="T1029" t="str">
        <f t="shared" si="176"/>
        <v>Enterprise</v>
      </c>
      <c r="U1029" t="str">
        <f t="shared" si="177"/>
        <v>Won</v>
      </c>
      <c r="V1029" s="3">
        <f t="shared" si="178"/>
        <v>49305</v>
      </c>
      <c r="W1029" s="3">
        <f t="shared" si="179"/>
        <v>0</v>
      </c>
      <c r="X1029" s="5">
        <f t="shared" si="180"/>
        <v>79</v>
      </c>
      <c r="Y1029" s="5">
        <f>IF(U1029="Open",Lookups!$B$2-B1029,X1029)</f>
        <v>79</v>
      </c>
      <c r="Z1029" t="str">
        <f t="shared" si="181"/>
        <v>OK</v>
      </c>
      <c r="AA1029" t="str">
        <f t="shared" si="182"/>
        <v>2025-12</v>
      </c>
      <c r="AB1029" t="str">
        <f t="shared" si="183"/>
        <v>2026-03</v>
      </c>
      <c r="AC1029" t="str">
        <f t="shared" si="184"/>
        <v>Q4-2025</v>
      </c>
      <c r="AD1029" s="5">
        <f t="shared" si="185"/>
        <v>74</v>
      </c>
      <c r="AE1029" t="str">
        <f t="shared" si="186"/>
        <v>Won</v>
      </c>
    </row>
    <row r="1030" spans="1:31">
      <c r="A1030" t="s">
        <v>1132</v>
      </c>
      <c r="B1030" s="1">
        <v>46082</v>
      </c>
      <c r="C1030" t="s">
        <v>56</v>
      </c>
      <c r="D1030" t="s">
        <v>57</v>
      </c>
      <c r="E1030" t="s">
        <v>98</v>
      </c>
      <c r="F1030" t="s">
        <v>59</v>
      </c>
      <c r="G1030" t="s">
        <v>76</v>
      </c>
      <c r="H1030" t="s">
        <v>53</v>
      </c>
      <c r="I1030" t="s">
        <v>61</v>
      </c>
      <c r="J1030" s="1">
        <v>46113</v>
      </c>
      <c r="K1030" s="1">
        <v>46113</v>
      </c>
      <c r="L1030" s="3">
        <v>25300</v>
      </c>
      <c r="M1030" s="4">
        <v>0</v>
      </c>
      <c r="N1030" s="4">
        <v>0</v>
      </c>
      <c r="O1030" t="s">
        <v>79</v>
      </c>
      <c r="P1030">
        <v>2</v>
      </c>
      <c r="Q1030" t="str">
        <f>IFERROR(VLOOKUP(E1030,Lookups!$A$5:$B$24,2,FALSE),"Other")</f>
        <v>Outbound</v>
      </c>
      <c r="R1030" t="str">
        <f>IFERROR(VLOOKUP(F1030,Lookups!$D$5:$F$10,2,FALSE),"Unknown Product")</f>
        <v>NexaCRM Pro</v>
      </c>
      <c r="S1030" t="str">
        <f>IFERROR(VLOOKUP(F1030,Lookups!$D$5:$F$10,3,FALSE),"Unknown")</f>
        <v>CRM</v>
      </c>
      <c r="T1030" t="str">
        <f t="shared" si="176"/>
        <v>Mid-Market</v>
      </c>
      <c r="U1030" t="str">
        <f t="shared" si="177"/>
        <v>Lost</v>
      </c>
      <c r="V1030" s="3">
        <f t="shared" si="178"/>
        <v>0</v>
      </c>
      <c r="W1030" s="3">
        <f t="shared" si="179"/>
        <v>0</v>
      </c>
      <c r="X1030" s="5">
        <f t="shared" si="180"/>
        <v>31</v>
      </c>
      <c r="Y1030" s="5">
        <f>IF(U1030="Open",Lookups!$B$2-B1030,X1030)</f>
        <v>31</v>
      </c>
      <c r="Z1030" t="str">
        <f t="shared" si="181"/>
        <v>OK</v>
      </c>
      <c r="AA1030" t="str">
        <f t="shared" si="182"/>
        <v>2026-03</v>
      </c>
      <c r="AB1030" t="str">
        <f t="shared" si="183"/>
        <v>2026-04</v>
      </c>
      <c r="AC1030" t="str">
        <f t="shared" si="184"/>
        <v>Q1-2026</v>
      </c>
      <c r="AD1030" s="5">
        <f t="shared" si="185"/>
        <v>59</v>
      </c>
      <c r="AE1030" t="str">
        <f t="shared" si="186"/>
        <v>Lost</v>
      </c>
    </row>
    <row r="1031" spans="1:31">
      <c r="A1031" t="s">
        <v>1133</v>
      </c>
      <c r="B1031" s="1">
        <v>45839</v>
      </c>
      <c r="C1031" t="s">
        <v>90</v>
      </c>
      <c r="D1031" t="s">
        <v>57</v>
      </c>
      <c r="E1031" t="s">
        <v>115</v>
      </c>
      <c r="F1031" t="s">
        <v>67</v>
      </c>
      <c r="G1031" t="s">
        <v>46</v>
      </c>
      <c r="H1031" t="s">
        <v>53</v>
      </c>
      <c r="I1031" t="s">
        <v>61</v>
      </c>
      <c r="J1031" s="1">
        <v>45878</v>
      </c>
      <c r="K1031" s="1">
        <v>45878</v>
      </c>
      <c r="L1031" s="3">
        <v>39500</v>
      </c>
      <c r="M1031" s="4">
        <v>0</v>
      </c>
      <c r="N1031" s="4">
        <v>0</v>
      </c>
      <c r="O1031" t="s">
        <v>102</v>
      </c>
      <c r="P1031">
        <v>2</v>
      </c>
      <c r="Q1031" t="str">
        <f>IFERROR(VLOOKUP(E1031,Lookups!$A$5:$B$24,2,FALSE),"Other")</f>
        <v>Outbound</v>
      </c>
      <c r="R1031" t="str">
        <f>IFERROR(VLOOKUP(F1031,Lookups!$D$5:$F$10,2,FALSE),"Unknown Product")</f>
        <v>Revenue Operations Suite</v>
      </c>
      <c r="S1031" t="str">
        <f>IFERROR(VLOOKUP(F1031,Lookups!$D$5:$F$10,3,FALSE),"Unknown")</f>
        <v>Revenue Ops</v>
      </c>
      <c r="T1031" t="str">
        <f t="shared" si="176"/>
        <v>Mid-Market</v>
      </c>
      <c r="U1031" t="str">
        <f t="shared" si="177"/>
        <v>Lost</v>
      </c>
      <c r="V1031" s="3">
        <f t="shared" si="178"/>
        <v>0</v>
      </c>
      <c r="W1031" s="3">
        <f t="shared" si="179"/>
        <v>0</v>
      </c>
      <c r="X1031" s="5">
        <f t="shared" si="180"/>
        <v>39</v>
      </c>
      <c r="Y1031" s="5">
        <f>IF(U1031="Open",Lookups!$B$2-B1031,X1031)</f>
        <v>39</v>
      </c>
      <c r="Z1031" t="str">
        <f t="shared" si="181"/>
        <v>OK</v>
      </c>
      <c r="AA1031" t="str">
        <f t="shared" si="182"/>
        <v>2025-07</v>
      </c>
      <c r="AB1031" t="str">
        <f t="shared" si="183"/>
        <v>2025-08</v>
      </c>
      <c r="AC1031" t="str">
        <f t="shared" si="184"/>
        <v>Q3-2025</v>
      </c>
      <c r="AD1031" s="5">
        <f t="shared" si="185"/>
        <v>59</v>
      </c>
      <c r="AE1031" t="str">
        <f t="shared" si="186"/>
        <v>Lost</v>
      </c>
    </row>
    <row r="1032" spans="1:31">
      <c r="A1032" t="s">
        <v>1134</v>
      </c>
      <c r="B1032" s="1">
        <v>46016</v>
      </c>
      <c r="C1032" t="s">
        <v>42</v>
      </c>
      <c r="D1032" t="s">
        <v>43</v>
      </c>
      <c r="E1032" t="s">
        <v>146</v>
      </c>
      <c r="F1032" t="s">
        <v>67</v>
      </c>
      <c r="G1032" t="s">
        <v>112</v>
      </c>
      <c r="H1032" t="s">
        <v>84</v>
      </c>
      <c r="I1032" t="s">
        <v>61</v>
      </c>
      <c r="J1032" s="1">
        <v>46064</v>
      </c>
      <c r="K1032" s="1">
        <v>46064</v>
      </c>
      <c r="L1032" s="3">
        <v>85100</v>
      </c>
      <c r="M1032" s="4">
        <v>0</v>
      </c>
      <c r="N1032" s="4">
        <v>0</v>
      </c>
      <c r="O1032" t="s">
        <v>79</v>
      </c>
      <c r="P1032">
        <v>3</v>
      </c>
      <c r="Q1032" t="str">
        <f>IFERROR(VLOOKUP(E1032,Lookups!$A$5:$B$24,2,FALSE),"Other")</f>
        <v>LinkedIn</v>
      </c>
      <c r="R1032" t="str">
        <f>IFERROR(VLOOKUP(F1032,Lookups!$D$5:$F$10,2,FALSE),"Unknown Product")</f>
        <v>Revenue Operations Suite</v>
      </c>
      <c r="S1032" t="str">
        <f>IFERROR(VLOOKUP(F1032,Lookups!$D$5:$F$10,3,FALSE),"Unknown")</f>
        <v>Revenue Ops</v>
      </c>
      <c r="T1032" t="str">
        <f t="shared" si="176"/>
        <v>Enterprise</v>
      </c>
      <c r="U1032" t="str">
        <f t="shared" si="177"/>
        <v>Lost</v>
      </c>
      <c r="V1032" s="3">
        <f t="shared" si="178"/>
        <v>0</v>
      </c>
      <c r="W1032" s="3">
        <f t="shared" si="179"/>
        <v>0</v>
      </c>
      <c r="X1032" s="5">
        <f t="shared" si="180"/>
        <v>48</v>
      </c>
      <c r="Y1032" s="5">
        <f>IF(U1032="Open",Lookups!$B$2-B1032,X1032)</f>
        <v>48</v>
      </c>
      <c r="Z1032" t="str">
        <f t="shared" si="181"/>
        <v>OK</v>
      </c>
      <c r="AA1032" t="str">
        <f t="shared" si="182"/>
        <v>2025-12</v>
      </c>
      <c r="AB1032" t="str">
        <f t="shared" si="183"/>
        <v>2026-02</v>
      </c>
      <c r="AC1032" t="str">
        <f t="shared" si="184"/>
        <v>Q4-2025</v>
      </c>
      <c r="AD1032" s="5">
        <f t="shared" si="185"/>
        <v>79</v>
      </c>
      <c r="AE1032" t="str">
        <f t="shared" si="186"/>
        <v>Lost</v>
      </c>
    </row>
    <row r="1033" spans="1:31">
      <c r="A1033" t="s">
        <v>1135</v>
      </c>
      <c r="B1033" s="1">
        <v>45907</v>
      </c>
      <c r="C1033" t="s">
        <v>86</v>
      </c>
      <c r="D1033" t="s">
        <v>87</v>
      </c>
      <c r="E1033" t="s">
        <v>160</v>
      </c>
      <c r="F1033" t="s">
        <v>59</v>
      </c>
      <c r="G1033" t="s">
        <v>76</v>
      </c>
      <c r="H1033" t="s">
        <v>47</v>
      </c>
      <c r="I1033" t="s">
        <v>48</v>
      </c>
      <c r="J1033" s="1">
        <v>46131</v>
      </c>
      <c r="K1033" s="1"/>
      <c r="L1033" s="3">
        <v>24000</v>
      </c>
      <c r="M1033" s="4">
        <v>0</v>
      </c>
      <c r="N1033" s="4">
        <v>0.85</v>
      </c>
      <c r="P1033">
        <v>5</v>
      </c>
      <c r="Q1033" t="str">
        <f>IFERROR(VLOOKUP(E1033,Lookups!$A$5:$B$24,2,FALSE),"Other")</f>
        <v>Email</v>
      </c>
      <c r="R1033" t="str">
        <f>IFERROR(VLOOKUP(F1033,Lookups!$D$5:$F$10,2,FALSE),"Unknown Product")</f>
        <v>NexaCRM Pro</v>
      </c>
      <c r="S1033" t="str">
        <f>IFERROR(VLOOKUP(F1033,Lookups!$D$5:$F$10,3,FALSE),"Unknown")</f>
        <v>CRM</v>
      </c>
      <c r="T1033" t="str">
        <f t="shared" si="176"/>
        <v>Mid-Market</v>
      </c>
      <c r="U1033" t="str">
        <f t="shared" si="177"/>
        <v>Open</v>
      </c>
      <c r="V1033" s="3">
        <f t="shared" si="178"/>
        <v>0</v>
      </c>
      <c r="W1033" s="3">
        <f t="shared" si="179"/>
        <v>20400</v>
      </c>
      <c r="X1033" s="5" t="str">
        <f t="shared" si="180"/>
        <v/>
      </c>
      <c r="Y1033" s="5">
        <f>IF(U1033="Open",Lookups!$B$2-B1033,X1033)</f>
        <v>359</v>
      </c>
      <c r="Z1033" t="str">
        <f t="shared" si="181"/>
        <v>STALE</v>
      </c>
      <c r="AA1033" t="str">
        <f t="shared" si="182"/>
        <v>2025-09</v>
      </c>
      <c r="AB1033" t="str">
        <f t="shared" si="183"/>
        <v/>
      </c>
      <c r="AC1033" t="str">
        <f t="shared" si="184"/>
        <v>Q3-2025</v>
      </c>
      <c r="AD1033" s="5">
        <f t="shared" si="185"/>
        <v>55</v>
      </c>
      <c r="AE1033" t="str">
        <f t="shared" si="186"/>
        <v>Commit</v>
      </c>
    </row>
    <row r="1034" spans="1:31">
      <c r="A1034" t="s">
        <v>1136</v>
      </c>
      <c r="B1034" s="1">
        <v>45695</v>
      </c>
      <c r="C1034" t="s">
        <v>42</v>
      </c>
      <c r="D1034" t="s">
        <v>43</v>
      </c>
      <c r="E1034" t="s">
        <v>83</v>
      </c>
      <c r="F1034" t="s">
        <v>52</v>
      </c>
      <c r="G1034" t="s">
        <v>94</v>
      </c>
      <c r="H1034" t="s">
        <v>47</v>
      </c>
      <c r="I1034" t="s">
        <v>77</v>
      </c>
      <c r="J1034" s="1">
        <v>45760</v>
      </c>
      <c r="K1034" s="1">
        <v>45760</v>
      </c>
      <c r="L1034" s="3">
        <v>5900</v>
      </c>
      <c r="M1034" s="4">
        <v>0.08</v>
      </c>
      <c r="N1034" s="4">
        <v>1</v>
      </c>
      <c r="P1034">
        <v>6</v>
      </c>
      <c r="Q1034" t="str">
        <f>IFERROR(VLOOKUP(E1034,Lookups!$A$5:$B$24,2,FALSE),"Other")</f>
        <v>Organic Search</v>
      </c>
      <c r="R1034" t="str">
        <f>IFERROR(VLOOKUP(F1034,Lookups!$D$5:$F$10,2,FALSE),"Unknown Product")</f>
        <v>NexaCRM Core</v>
      </c>
      <c r="S1034" t="str">
        <f>IFERROR(VLOOKUP(F1034,Lookups!$D$5:$F$10,3,FALSE),"Unknown")</f>
        <v>CRM</v>
      </c>
      <c r="T1034" t="str">
        <f t="shared" si="176"/>
        <v>SMB</v>
      </c>
      <c r="U1034" t="str">
        <f t="shared" si="177"/>
        <v>Won</v>
      </c>
      <c r="V1034" s="3">
        <f t="shared" si="178"/>
        <v>5428</v>
      </c>
      <c r="W1034" s="3">
        <f t="shared" si="179"/>
        <v>0</v>
      </c>
      <c r="X1034" s="5">
        <f t="shared" si="180"/>
        <v>65</v>
      </c>
      <c r="Y1034" s="5">
        <f>IF(U1034="Open",Lookups!$B$2-B1034,X1034)</f>
        <v>65</v>
      </c>
      <c r="Z1034" t="str">
        <f t="shared" si="181"/>
        <v>OK</v>
      </c>
      <c r="AA1034" t="str">
        <f t="shared" si="182"/>
        <v>2025-02</v>
      </c>
      <c r="AB1034" t="str">
        <f t="shared" si="183"/>
        <v>2025-04</v>
      </c>
      <c r="AC1034" t="str">
        <f t="shared" si="184"/>
        <v>Q1-2025</v>
      </c>
      <c r="AD1034" s="5">
        <f t="shared" si="185"/>
        <v>49</v>
      </c>
      <c r="AE1034" t="str">
        <f t="shared" si="186"/>
        <v>Won</v>
      </c>
    </row>
    <row r="1035" spans="1:31">
      <c r="A1035" t="s">
        <v>1137</v>
      </c>
      <c r="B1035" s="1">
        <v>45815</v>
      </c>
      <c r="C1035" t="s">
        <v>42</v>
      </c>
      <c r="D1035" t="s">
        <v>43</v>
      </c>
      <c r="E1035" t="s">
        <v>146</v>
      </c>
      <c r="F1035" t="s">
        <v>71</v>
      </c>
      <c r="G1035" t="s">
        <v>99</v>
      </c>
      <c r="H1035" t="s">
        <v>47</v>
      </c>
      <c r="I1035" t="s">
        <v>61</v>
      </c>
      <c r="J1035" s="1">
        <v>45831</v>
      </c>
      <c r="K1035" s="1">
        <v>45831</v>
      </c>
      <c r="L1035" s="3">
        <v>13700</v>
      </c>
      <c r="M1035" s="4">
        <v>0</v>
      </c>
      <c r="N1035" s="4">
        <v>0</v>
      </c>
      <c r="O1035" t="s">
        <v>62</v>
      </c>
      <c r="P1035">
        <v>5</v>
      </c>
      <c r="Q1035" t="str">
        <f>IFERROR(VLOOKUP(E1035,Lookups!$A$5:$B$24,2,FALSE),"Other")</f>
        <v>LinkedIn</v>
      </c>
      <c r="R1035" t="str">
        <f>IFERROR(VLOOKUP(F1035,Lookups!$D$5:$F$10,2,FALSE),"Unknown Product")</f>
        <v>Marketing Automation</v>
      </c>
      <c r="S1035" t="str">
        <f>IFERROR(VLOOKUP(F1035,Lookups!$D$5:$F$10,3,FALSE),"Unknown")</f>
        <v>Marketing</v>
      </c>
      <c r="T1035" t="str">
        <f t="shared" si="176"/>
        <v>SMB</v>
      </c>
      <c r="U1035" t="str">
        <f t="shared" si="177"/>
        <v>Lost</v>
      </c>
      <c r="V1035" s="3">
        <f t="shared" si="178"/>
        <v>0</v>
      </c>
      <c r="W1035" s="3">
        <f t="shared" si="179"/>
        <v>0</v>
      </c>
      <c r="X1035" s="5">
        <f t="shared" si="180"/>
        <v>16</v>
      </c>
      <c r="Y1035" s="5">
        <f>IF(U1035="Open",Lookups!$B$2-B1035,X1035)</f>
        <v>16</v>
      </c>
      <c r="Z1035" t="str">
        <f t="shared" si="181"/>
        <v>OK</v>
      </c>
      <c r="AA1035" t="str">
        <f t="shared" si="182"/>
        <v>2025-06</v>
      </c>
      <c r="AB1035" t="str">
        <f t="shared" si="183"/>
        <v>2025-06</v>
      </c>
      <c r="AC1035" t="str">
        <f t="shared" si="184"/>
        <v>Q2-2025</v>
      </c>
      <c r="AD1035" s="5">
        <f t="shared" si="185"/>
        <v>43</v>
      </c>
      <c r="AE1035" t="str">
        <f t="shared" si="186"/>
        <v>Lost</v>
      </c>
    </row>
    <row r="1036" spans="1:31">
      <c r="A1036" t="s">
        <v>1138</v>
      </c>
      <c r="B1036" s="1">
        <v>45897</v>
      </c>
      <c r="C1036" t="s">
        <v>90</v>
      </c>
      <c r="D1036" t="s">
        <v>57</v>
      </c>
      <c r="E1036" t="s">
        <v>58</v>
      </c>
      <c r="F1036" t="s">
        <v>52</v>
      </c>
      <c r="G1036" t="s">
        <v>72</v>
      </c>
      <c r="H1036" t="s">
        <v>47</v>
      </c>
      <c r="I1036" t="s">
        <v>61</v>
      </c>
      <c r="J1036" s="1">
        <v>45949</v>
      </c>
      <c r="K1036" s="1">
        <v>45949</v>
      </c>
      <c r="L1036" s="3">
        <v>6500</v>
      </c>
      <c r="M1036" s="4">
        <v>0</v>
      </c>
      <c r="N1036" s="4">
        <v>0</v>
      </c>
      <c r="O1036" t="s">
        <v>79</v>
      </c>
      <c r="P1036">
        <v>3</v>
      </c>
      <c r="Q1036" t="str">
        <f>IFERROR(VLOOKUP(E1036,Lookups!$A$5:$B$24,2,FALSE),"Other")</f>
        <v>Email</v>
      </c>
      <c r="R1036" t="str">
        <f>IFERROR(VLOOKUP(F1036,Lookups!$D$5:$F$10,2,FALSE),"Unknown Product")</f>
        <v>NexaCRM Core</v>
      </c>
      <c r="S1036" t="str">
        <f>IFERROR(VLOOKUP(F1036,Lookups!$D$5:$F$10,3,FALSE),"Unknown")</f>
        <v>CRM</v>
      </c>
      <c r="T1036" t="str">
        <f t="shared" si="176"/>
        <v>SMB</v>
      </c>
      <c r="U1036" t="str">
        <f t="shared" si="177"/>
        <v>Lost</v>
      </c>
      <c r="V1036" s="3">
        <f t="shared" si="178"/>
        <v>0</v>
      </c>
      <c r="W1036" s="3">
        <f t="shared" si="179"/>
        <v>0</v>
      </c>
      <c r="X1036" s="5">
        <f t="shared" si="180"/>
        <v>52</v>
      </c>
      <c r="Y1036" s="5">
        <f>IF(U1036="Open",Lookups!$B$2-B1036,X1036)</f>
        <v>52</v>
      </c>
      <c r="Z1036" t="str">
        <f t="shared" si="181"/>
        <v>OK</v>
      </c>
      <c r="AA1036" t="str">
        <f t="shared" si="182"/>
        <v>2025-08</v>
      </c>
      <c r="AB1036" t="str">
        <f t="shared" si="183"/>
        <v>2025-10</v>
      </c>
      <c r="AC1036" t="str">
        <f t="shared" si="184"/>
        <v>Q3-2025</v>
      </c>
      <c r="AD1036" s="5">
        <f t="shared" si="185"/>
        <v>47</v>
      </c>
      <c r="AE1036" t="str">
        <f t="shared" si="186"/>
        <v>Lost</v>
      </c>
    </row>
    <row r="1037" spans="1:31">
      <c r="A1037" t="s">
        <v>1139</v>
      </c>
      <c r="B1037" s="1">
        <v>45878</v>
      </c>
      <c r="C1037" t="s">
        <v>90</v>
      </c>
      <c r="D1037" t="s">
        <v>57</v>
      </c>
      <c r="E1037" t="s">
        <v>51</v>
      </c>
      <c r="F1037" t="s">
        <v>59</v>
      </c>
      <c r="G1037" t="s">
        <v>94</v>
      </c>
      <c r="H1037" t="s">
        <v>47</v>
      </c>
      <c r="I1037" t="s">
        <v>61</v>
      </c>
      <c r="J1037" s="1">
        <v>45938</v>
      </c>
      <c r="K1037" s="1">
        <v>45938</v>
      </c>
      <c r="L1037" s="3">
        <v>14400</v>
      </c>
      <c r="M1037" s="4">
        <v>0</v>
      </c>
      <c r="N1037" s="4">
        <v>0</v>
      </c>
      <c r="O1037" t="s">
        <v>62</v>
      </c>
      <c r="P1037">
        <v>3</v>
      </c>
      <c r="Q1037" t="str">
        <f>IFERROR(VLOOKUP(E1037,Lookups!$A$5:$B$24,2,FALSE),"Other")</f>
        <v>Paid Search</v>
      </c>
      <c r="R1037" t="str">
        <f>IFERROR(VLOOKUP(F1037,Lookups!$D$5:$F$10,2,FALSE),"Unknown Product")</f>
        <v>NexaCRM Pro</v>
      </c>
      <c r="S1037" t="str">
        <f>IFERROR(VLOOKUP(F1037,Lookups!$D$5:$F$10,3,FALSE),"Unknown")</f>
        <v>CRM</v>
      </c>
      <c r="T1037" t="str">
        <f t="shared" si="176"/>
        <v>SMB</v>
      </c>
      <c r="U1037" t="str">
        <f t="shared" si="177"/>
        <v>Lost</v>
      </c>
      <c r="V1037" s="3">
        <f t="shared" si="178"/>
        <v>0</v>
      </c>
      <c r="W1037" s="3">
        <f t="shared" si="179"/>
        <v>0</v>
      </c>
      <c r="X1037" s="5">
        <f t="shared" si="180"/>
        <v>60</v>
      </c>
      <c r="Y1037" s="5">
        <f>IF(U1037="Open",Lookups!$B$2-B1037,X1037)</f>
        <v>60</v>
      </c>
      <c r="Z1037" t="str">
        <f t="shared" si="181"/>
        <v>OK</v>
      </c>
      <c r="AA1037" t="str">
        <f t="shared" si="182"/>
        <v>2025-08</v>
      </c>
      <c r="AB1037" t="str">
        <f t="shared" si="183"/>
        <v>2025-10</v>
      </c>
      <c r="AC1037" t="str">
        <f t="shared" si="184"/>
        <v>Q3-2025</v>
      </c>
      <c r="AD1037" s="5">
        <f t="shared" si="185"/>
        <v>43</v>
      </c>
      <c r="AE1037" t="str">
        <f t="shared" si="186"/>
        <v>Lost</v>
      </c>
    </row>
    <row r="1038" spans="1:31">
      <c r="A1038" t="s">
        <v>1140</v>
      </c>
      <c r="B1038" s="1">
        <v>46035</v>
      </c>
      <c r="C1038" t="s">
        <v>64</v>
      </c>
      <c r="D1038" t="s">
        <v>57</v>
      </c>
      <c r="E1038" t="s">
        <v>44</v>
      </c>
      <c r="F1038" t="s">
        <v>71</v>
      </c>
      <c r="G1038" t="s">
        <v>112</v>
      </c>
      <c r="H1038" t="s">
        <v>47</v>
      </c>
      <c r="I1038" t="s">
        <v>61</v>
      </c>
      <c r="J1038" s="1">
        <v>46122</v>
      </c>
      <c r="K1038" s="1">
        <v>46122</v>
      </c>
      <c r="L1038" s="3">
        <v>13900</v>
      </c>
      <c r="M1038" s="4">
        <v>0</v>
      </c>
      <c r="N1038" s="4">
        <v>0</v>
      </c>
      <c r="O1038" t="s">
        <v>102</v>
      </c>
      <c r="P1038">
        <v>4</v>
      </c>
      <c r="Q1038" t="str">
        <f>IFERROR(VLOOKUP(E1038,Lookups!$A$5:$B$24,2,FALSE),"Other")</f>
        <v>Organic Search</v>
      </c>
      <c r="R1038" t="str">
        <f>IFERROR(VLOOKUP(F1038,Lookups!$D$5:$F$10,2,FALSE),"Unknown Product")</f>
        <v>Marketing Automation</v>
      </c>
      <c r="S1038" t="str">
        <f>IFERROR(VLOOKUP(F1038,Lookups!$D$5:$F$10,3,FALSE),"Unknown")</f>
        <v>Marketing</v>
      </c>
      <c r="T1038" t="str">
        <f t="shared" si="176"/>
        <v>SMB</v>
      </c>
      <c r="U1038" t="str">
        <f t="shared" si="177"/>
        <v>Lost</v>
      </c>
      <c r="V1038" s="3">
        <f t="shared" si="178"/>
        <v>0</v>
      </c>
      <c r="W1038" s="3">
        <f t="shared" si="179"/>
        <v>0</v>
      </c>
      <c r="X1038" s="5">
        <f t="shared" si="180"/>
        <v>87</v>
      </c>
      <c r="Y1038" s="5">
        <f>IF(U1038="Open",Lookups!$B$2-B1038,X1038)</f>
        <v>87</v>
      </c>
      <c r="Z1038" t="str">
        <f t="shared" si="181"/>
        <v>OK</v>
      </c>
      <c r="AA1038" t="str">
        <f t="shared" si="182"/>
        <v>2026-01</v>
      </c>
      <c r="AB1038" t="str">
        <f t="shared" si="183"/>
        <v>2026-04</v>
      </c>
      <c r="AC1038" t="str">
        <f t="shared" si="184"/>
        <v>Q1-2026</v>
      </c>
      <c r="AD1038" s="5">
        <f t="shared" si="185"/>
        <v>54</v>
      </c>
      <c r="AE1038" t="str">
        <f t="shared" si="186"/>
        <v>Lost</v>
      </c>
    </row>
    <row r="1039" spans="1:31">
      <c r="A1039" t="s">
        <v>1141</v>
      </c>
      <c r="B1039" s="1">
        <v>45983</v>
      </c>
      <c r="C1039" t="s">
        <v>64</v>
      </c>
      <c r="D1039" t="s">
        <v>57</v>
      </c>
      <c r="E1039" t="s">
        <v>65</v>
      </c>
      <c r="F1039" t="s">
        <v>45</v>
      </c>
      <c r="G1039" t="s">
        <v>76</v>
      </c>
      <c r="H1039" t="s">
        <v>84</v>
      </c>
      <c r="I1039" t="s">
        <v>61</v>
      </c>
      <c r="J1039" s="1">
        <v>46027</v>
      </c>
      <c r="K1039" s="1">
        <v>46027</v>
      </c>
      <c r="L1039" s="3">
        <v>86600</v>
      </c>
      <c r="M1039" s="4">
        <v>0</v>
      </c>
      <c r="N1039" s="4">
        <v>0</v>
      </c>
      <c r="O1039" t="s">
        <v>62</v>
      </c>
      <c r="P1039">
        <v>3</v>
      </c>
      <c r="Q1039" t="str">
        <f>IFERROR(VLOOKUP(E1039,Lookups!$A$5:$B$24,2,FALSE),"Other")</f>
        <v>Paid Search</v>
      </c>
      <c r="R1039" t="str">
        <f>IFERROR(VLOOKUP(F1039,Lookups!$D$5:$F$10,2,FALSE),"Unknown Product")</f>
        <v>Service Cloud</v>
      </c>
      <c r="S1039" t="str">
        <f>IFERROR(VLOOKUP(F1039,Lookups!$D$5:$F$10,3,FALSE),"Unknown")</f>
        <v>Customer Service</v>
      </c>
      <c r="T1039" t="str">
        <f t="shared" si="176"/>
        <v>Enterprise</v>
      </c>
      <c r="U1039" t="str">
        <f t="shared" si="177"/>
        <v>Lost</v>
      </c>
      <c r="V1039" s="3">
        <f t="shared" si="178"/>
        <v>0</v>
      </c>
      <c r="W1039" s="3">
        <f t="shared" si="179"/>
        <v>0</v>
      </c>
      <c r="X1039" s="5">
        <f t="shared" si="180"/>
        <v>44</v>
      </c>
      <c r="Y1039" s="5">
        <f>IF(U1039="Open",Lookups!$B$2-B1039,X1039)</f>
        <v>44</v>
      </c>
      <c r="Z1039" t="str">
        <f t="shared" si="181"/>
        <v>OK</v>
      </c>
      <c r="AA1039" t="str">
        <f t="shared" si="182"/>
        <v>2025-11</v>
      </c>
      <c r="AB1039" t="str">
        <f t="shared" si="183"/>
        <v>2026-01</v>
      </c>
      <c r="AC1039" t="str">
        <f t="shared" si="184"/>
        <v>Q4-2025</v>
      </c>
      <c r="AD1039" s="5">
        <f t="shared" si="185"/>
        <v>74</v>
      </c>
      <c r="AE1039" t="str">
        <f t="shared" si="186"/>
        <v>Lost</v>
      </c>
    </row>
    <row r="1040" spans="1:31">
      <c r="A1040" t="s">
        <v>1142</v>
      </c>
      <c r="B1040" s="1">
        <v>45697</v>
      </c>
      <c r="C1040" t="s">
        <v>64</v>
      </c>
      <c r="D1040" t="s">
        <v>57</v>
      </c>
      <c r="E1040" t="s">
        <v>107</v>
      </c>
      <c r="F1040" t="s">
        <v>71</v>
      </c>
      <c r="G1040" t="s">
        <v>60</v>
      </c>
      <c r="H1040" t="s">
        <v>84</v>
      </c>
      <c r="I1040" t="s">
        <v>77</v>
      </c>
      <c r="J1040" s="1">
        <v>45725</v>
      </c>
      <c r="K1040" s="1">
        <v>45725</v>
      </c>
      <c r="L1040" s="3">
        <v>37100</v>
      </c>
      <c r="M1040" s="4">
        <v>0.05</v>
      </c>
      <c r="N1040" s="4">
        <v>1</v>
      </c>
      <c r="P1040">
        <v>6</v>
      </c>
      <c r="Q1040" t="str">
        <f>IFERROR(VLOOKUP(E1040,Lookups!$A$5:$B$24,2,FALSE),"Other")</f>
        <v>Referral</v>
      </c>
      <c r="R1040" t="str">
        <f>IFERROR(VLOOKUP(F1040,Lookups!$D$5:$F$10,2,FALSE),"Unknown Product")</f>
        <v>Marketing Automation</v>
      </c>
      <c r="S1040" t="str">
        <f>IFERROR(VLOOKUP(F1040,Lookups!$D$5:$F$10,3,FALSE),"Unknown")</f>
        <v>Marketing</v>
      </c>
      <c r="T1040" t="str">
        <f t="shared" si="176"/>
        <v>Mid-Market</v>
      </c>
      <c r="U1040" t="str">
        <f t="shared" si="177"/>
        <v>Won</v>
      </c>
      <c r="V1040" s="3">
        <f t="shared" si="178"/>
        <v>35245</v>
      </c>
      <c r="W1040" s="3">
        <f t="shared" si="179"/>
        <v>0</v>
      </c>
      <c r="X1040" s="5">
        <f t="shared" si="180"/>
        <v>28</v>
      </c>
      <c r="Y1040" s="5">
        <f>IF(U1040="Open",Lookups!$B$2-B1040,X1040)</f>
        <v>28</v>
      </c>
      <c r="Z1040" t="str">
        <f t="shared" si="181"/>
        <v>OK</v>
      </c>
      <c r="AA1040" t="str">
        <f t="shared" si="182"/>
        <v>2025-02</v>
      </c>
      <c r="AB1040" t="str">
        <f t="shared" si="183"/>
        <v>2025-03</v>
      </c>
      <c r="AC1040" t="str">
        <f t="shared" si="184"/>
        <v>Q1-2025</v>
      </c>
      <c r="AD1040" s="5">
        <f t="shared" si="185"/>
        <v>78</v>
      </c>
      <c r="AE1040" t="str">
        <f t="shared" si="186"/>
        <v>Won</v>
      </c>
    </row>
    <row r="1041" spans="1:31">
      <c r="A1041" t="s">
        <v>1143</v>
      </c>
      <c r="B1041" s="1">
        <v>46216</v>
      </c>
      <c r="C1041" t="s">
        <v>50</v>
      </c>
      <c r="D1041" t="s">
        <v>43</v>
      </c>
      <c r="E1041" t="s">
        <v>65</v>
      </c>
      <c r="F1041" t="s">
        <v>59</v>
      </c>
      <c r="G1041" t="s">
        <v>94</v>
      </c>
      <c r="H1041" t="s">
        <v>47</v>
      </c>
      <c r="I1041" t="s">
        <v>73</v>
      </c>
      <c r="J1041" s="1">
        <v>46239</v>
      </c>
      <c r="K1041" s="1"/>
      <c r="L1041" s="3">
        <v>25500</v>
      </c>
      <c r="M1041" s="4">
        <v>0</v>
      </c>
      <c r="N1041" s="4">
        <v>0.2</v>
      </c>
      <c r="P1041">
        <v>2</v>
      </c>
      <c r="Q1041" t="str">
        <f>IFERROR(VLOOKUP(E1041,Lookups!$A$5:$B$24,2,FALSE),"Other")</f>
        <v>Paid Search</v>
      </c>
      <c r="R1041" t="str">
        <f>IFERROR(VLOOKUP(F1041,Lookups!$D$5:$F$10,2,FALSE),"Unknown Product")</f>
        <v>NexaCRM Pro</v>
      </c>
      <c r="S1041" t="str">
        <f>IFERROR(VLOOKUP(F1041,Lookups!$D$5:$F$10,3,FALSE),"Unknown")</f>
        <v>CRM</v>
      </c>
      <c r="T1041" t="str">
        <f t="shared" si="176"/>
        <v>Mid-Market</v>
      </c>
      <c r="U1041" t="str">
        <f t="shared" si="177"/>
        <v>Open</v>
      </c>
      <c r="V1041" s="3">
        <f t="shared" si="178"/>
        <v>0</v>
      </c>
      <c r="W1041" s="3">
        <f t="shared" si="179"/>
        <v>5100</v>
      </c>
      <c r="X1041" s="5" t="str">
        <f t="shared" si="180"/>
        <v/>
      </c>
      <c r="Y1041" s="5">
        <f>IF(U1041="Open",Lookups!$B$2-B1041,X1041)</f>
        <v>50</v>
      </c>
      <c r="Z1041" t="str">
        <f t="shared" si="181"/>
        <v>STALE</v>
      </c>
      <c r="AA1041" t="str">
        <f t="shared" si="182"/>
        <v>2026-07</v>
      </c>
      <c r="AB1041" t="str">
        <f t="shared" si="183"/>
        <v/>
      </c>
      <c r="AC1041" t="str">
        <f t="shared" si="184"/>
        <v>Q3-2026</v>
      </c>
      <c r="AD1041" s="5">
        <f t="shared" si="185"/>
        <v>51</v>
      </c>
      <c r="AE1041" t="str">
        <f t="shared" si="186"/>
        <v>Pipeline</v>
      </c>
    </row>
    <row r="1042" spans="1:31">
      <c r="A1042" t="s">
        <v>1144</v>
      </c>
      <c r="B1042" s="1">
        <v>46170</v>
      </c>
      <c r="C1042" t="s">
        <v>69</v>
      </c>
      <c r="D1042" t="s">
        <v>57</v>
      </c>
      <c r="E1042" t="s">
        <v>138</v>
      </c>
      <c r="F1042" t="s">
        <v>71</v>
      </c>
      <c r="G1042" t="s">
        <v>76</v>
      </c>
      <c r="H1042" t="s">
        <v>53</v>
      </c>
      <c r="I1042" t="s">
        <v>105</v>
      </c>
      <c r="J1042" s="1">
        <v>46247</v>
      </c>
      <c r="K1042" s="1"/>
      <c r="L1042" s="3">
        <v>18300</v>
      </c>
      <c r="M1042" s="4">
        <v>0</v>
      </c>
      <c r="N1042" s="4">
        <v>0.4</v>
      </c>
      <c r="P1042">
        <v>3</v>
      </c>
      <c r="Q1042" t="str">
        <f>IFERROR(VLOOKUP(E1042,Lookups!$A$5:$B$24,2,FALSE),"Other")</f>
        <v>Organic Search</v>
      </c>
      <c r="R1042" t="str">
        <f>IFERROR(VLOOKUP(F1042,Lookups!$D$5:$F$10,2,FALSE),"Unknown Product")</f>
        <v>Marketing Automation</v>
      </c>
      <c r="S1042" t="str">
        <f>IFERROR(VLOOKUP(F1042,Lookups!$D$5:$F$10,3,FALSE),"Unknown")</f>
        <v>Marketing</v>
      </c>
      <c r="T1042" t="str">
        <f t="shared" si="176"/>
        <v>SMB</v>
      </c>
      <c r="U1042" t="str">
        <f t="shared" si="177"/>
        <v>Open</v>
      </c>
      <c r="V1042" s="3">
        <f t="shared" si="178"/>
        <v>0</v>
      </c>
      <c r="W1042" s="3">
        <f t="shared" si="179"/>
        <v>7320</v>
      </c>
      <c r="X1042" s="5" t="str">
        <f t="shared" si="180"/>
        <v/>
      </c>
      <c r="Y1042" s="5">
        <f>IF(U1042="Open",Lookups!$B$2-B1042,X1042)</f>
        <v>96</v>
      </c>
      <c r="Z1042" t="str">
        <f t="shared" si="181"/>
        <v>STALE</v>
      </c>
      <c r="AA1042" t="str">
        <f t="shared" si="182"/>
        <v>2026-05</v>
      </c>
      <c r="AB1042" t="str">
        <f t="shared" si="183"/>
        <v/>
      </c>
      <c r="AC1042" t="str">
        <f t="shared" si="184"/>
        <v>Q2-2026</v>
      </c>
      <c r="AD1042" s="5">
        <f t="shared" si="185"/>
        <v>57</v>
      </c>
      <c r="AE1042" t="str">
        <f t="shared" si="186"/>
        <v>Pipeline</v>
      </c>
    </row>
    <row r="1043" spans="1:31">
      <c r="A1043" t="s">
        <v>1145</v>
      </c>
      <c r="B1043" s="1">
        <v>46144</v>
      </c>
      <c r="C1043" t="s">
        <v>64</v>
      </c>
      <c r="D1043" t="s">
        <v>57</v>
      </c>
      <c r="E1043" t="s">
        <v>109</v>
      </c>
      <c r="F1043" t="s">
        <v>133</v>
      </c>
      <c r="G1043" t="s">
        <v>99</v>
      </c>
      <c r="H1043" t="s">
        <v>47</v>
      </c>
      <c r="I1043" t="s">
        <v>54</v>
      </c>
      <c r="J1043" s="1">
        <v>46239</v>
      </c>
      <c r="K1043" s="1"/>
      <c r="L1043" s="3">
        <v>17900</v>
      </c>
      <c r="M1043" s="4">
        <v>0</v>
      </c>
      <c r="N1043" s="4">
        <v>0.65</v>
      </c>
      <c r="P1043">
        <v>4</v>
      </c>
      <c r="Q1043" t="str">
        <f>IFERROR(VLOOKUP(E1043,Lookups!$A$5:$B$24,2,FALSE),"Other")</f>
        <v>Outbound</v>
      </c>
      <c r="R1043" t="str">
        <f>IFERROR(VLOOKUP(F1043,Lookups!$D$5:$F$10,2,FALSE),"Unknown Product")</f>
        <v>Analytics Plus</v>
      </c>
      <c r="S1043" t="str">
        <f>IFERROR(VLOOKUP(F1043,Lookups!$D$5:$F$10,3,FALSE),"Unknown")</f>
        <v>Analytics</v>
      </c>
      <c r="T1043" t="str">
        <f t="shared" si="176"/>
        <v>SMB</v>
      </c>
      <c r="U1043" t="str">
        <f t="shared" si="177"/>
        <v>Open</v>
      </c>
      <c r="V1043" s="3">
        <f t="shared" si="178"/>
        <v>0</v>
      </c>
      <c r="W1043" s="3">
        <f t="shared" si="179"/>
        <v>11635</v>
      </c>
      <c r="X1043" s="5" t="str">
        <f t="shared" si="180"/>
        <v/>
      </c>
      <c r="Y1043" s="5">
        <f>IF(U1043="Open",Lookups!$B$2-B1043,X1043)</f>
        <v>122</v>
      </c>
      <c r="Z1043" t="str">
        <f t="shared" si="181"/>
        <v>STALE</v>
      </c>
      <c r="AA1043" t="str">
        <f t="shared" si="182"/>
        <v>2026-05</v>
      </c>
      <c r="AB1043" t="str">
        <f t="shared" si="183"/>
        <v/>
      </c>
      <c r="AC1043" t="str">
        <f t="shared" si="184"/>
        <v>Q2-2026</v>
      </c>
      <c r="AD1043" s="5">
        <f t="shared" si="185"/>
        <v>43</v>
      </c>
      <c r="AE1043" t="str">
        <f t="shared" si="186"/>
        <v>Best Case</v>
      </c>
    </row>
    <row r="1044" spans="1:31">
      <c r="A1044" t="s">
        <v>1146</v>
      </c>
      <c r="B1044" s="1">
        <v>45677</v>
      </c>
      <c r="C1044" t="s">
        <v>86</v>
      </c>
      <c r="D1044" t="s">
        <v>87</v>
      </c>
      <c r="E1044" t="s">
        <v>104</v>
      </c>
      <c r="F1044" t="s">
        <v>52</v>
      </c>
      <c r="G1044" t="s">
        <v>112</v>
      </c>
      <c r="H1044" t="s">
        <v>47</v>
      </c>
      <c r="I1044" t="s">
        <v>61</v>
      </c>
      <c r="J1044" s="1">
        <v>45718</v>
      </c>
      <c r="K1044" s="1">
        <v>45718</v>
      </c>
      <c r="L1044" s="3">
        <v>5300</v>
      </c>
      <c r="M1044" s="4">
        <v>0</v>
      </c>
      <c r="N1044" s="4">
        <v>0</v>
      </c>
      <c r="O1044" t="s">
        <v>62</v>
      </c>
      <c r="P1044">
        <v>3</v>
      </c>
      <c r="Q1044" t="str">
        <f>IFERROR(VLOOKUP(E1044,Lookups!$A$5:$B$24,2,FALSE),"Other")</f>
        <v>Other</v>
      </c>
      <c r="R1044" t="str">
        <f>IFERROR(VLOOKUP(F1044,Lookups!$D$5:$F$10,2,FALSE),"Unknown Product")</f>
        <v>NexaCRM Core</v>
      </c>
      <c r="S1044" t="str">
        <f>IFERROR(VLOOKUP(F1044,Lookups!$D$5:$F$10,3,FALSE),"Unknown")</f>
        <v>CRM</v>
      </c>
      <c r="T1044" t="str">
        <f t="shared" si="176"/>
        <v>SMB</v>
      </c>
      <c r="U1044" t="str">
        <f t="shared" si="177"/>
        <v>Lost</v>
      </c>
      <c r="V1044" s="3">
        <f t="shared" si="178"/>
        <v>0</v>
      </c>
      <c r="W1044" s="3">
        <f t="shared" si="179"/>
        <v>0</v>
      </c>
      <c r="X1044" s="5">
        <f t="shared" si="180"/>
        <v>41</v>
      </c>
      <c r="Y1044" s="5">
        <f>IF(U1044="Open",Lookups!$B$2-B1044,X1044)</f>
        <v>41</v>
      </c>
      <c r="Z1044" t="str">
        <f t="shared" si="181"/>
        <v>OK</v>
      </c>
      <c r="AA1044" t="str">
        <f t="shared" si="182"/>
        <v>2025-01</v>
      </c>
      <c r="AB1044" t="str">
        <f t="shared" si="183"/>
        <v>2025-03</v>
      </c>
      <c r="AC1044" t="str">
        <f t="shared" si="184"/>
        <v>Q1-2025</v>
      </c>
      <c r="AD1044" s="5">
        <f t="shared" si="185"/>
        <v>48</v>
      </c>
      <c r="AE1044" t="str">
        <f t="shared" si="186"/>
        <v>Lost</v>
      </c>
    </row>
    <row r="1045" spans="1:31">
      <c r="A1045" t="s">
        <v>1147</v>
      </c>
      <c r="B1045" s="1">
        <v>45705</v>
      </c>
      <c r="C1045" t="s">
        <v>69</v>
      </c>
      <c r="D1045" t="s">
        <v>57</v>
      </c>
      <c r="E1045" t="s">
        <v>119</v>
      </c>
      <c r="F1045" t="s">
        <v>52</v>
      </c>
      <c r="G1045" t="s">
        <v>99</v>
      </c>
      <c r="H1045" t="s">
        <v>53</v>
      </c>
      <c r="I1045" t="s">
        <v>61</v>
      </c>
      <c r="J1045" s="1">
        <v>45729</v>
      </c>
      <c r="K1045" s="1">
        <v>45729</v>
      </c>
      <c r="L1045" s="3">
        <v>10000</v>
      </c>
      <c r="M1045" s="4">
        <v>0</v>
      </c>
      <c r="N1045" s="4">
        <v>0</v>
      </c>
      <c r="O1045" t="s">
        <v>79</v>
      </c>
      <c r="P1045">
        <v>4</v>
      </c>
      <c r="Q1045" t="str">
        <f>IFERROR(VLOOKUP(E1045,Lookups!$A$5:$B$24,2,FALSE),"Other")</f>
        <v>Referral</v>
      </c>
      <c r="R1045" t="str">
        <f>IFERROR(VLOOKUP(F1045,Lookups!$D$5:$F$10,2,FALSE),"Unknown Product")</f>
        <v>NexaCRM Core</v>
      </c>
      <c r="S1045" t="str">
        <f>IFERROR(VLOOKUP(F1045,Lookups!$D$5:$F$10,3,FALSE),"Unknown")</f>
        <v>CRM</v>
      </c>
      <c r="T1045" t="str">
        <f t="shared" si="176"/>
        <v>SMB</v>
      </c>
      <c r="U1045" t="str">
        <f t="shared" si="177"/>
        <v>Lost</v>
      </c>
      <c r="V1045" s="3">
        <f t="shared" si="178"/>
        <v>0</v>
      </c>
      <c r="W1045" s="3">
        <f t="shared" si="179"/>
        <v>0</v>
      </c>
      <c r="X1045" s="5">
        <f t="shared" si="180"/>
        <v>24</v>
      </c>
      <c r="Y1045" s="5">
        <f>IF(U1045="Open",Lookups!$B$2-B1045,X1045)</f>
        <v>24</v>
      </c>
      <c r="Z1045" t="str">
        <f t="shared" si="181"/>
        <v>OK</v>
      </c>
      <c r="AA1045" t="str">
        <f t="shared" si="182"/>
        <v>2025-02</v>
      </c>
      <c r="AB1045" t="str">
        <f t="shared" si="183"/>
        <v>2025-03</v>
      </c>
      <c r="AC1045" t="str">
        <f t="shared" si="184"/>
        <v>Q1-2025</v>
      </c>
      <c r="AD1045" s="5">
        <f t="shared" si="185"/>
        <v>62</v>
      </c>
      <c r="AE1045" t="str">
        <f t="shared" si="186"/>
        <v>Lost</v>
      </c>
    </row>
    <row r="1046" spans="1:31">
      <c r="A1046" t="s">
        <v>1148</v>
      </c>
      <c r="B1046" s="1">
        <v>45794</v>
      </c>
      <c r="C1046" t="s">
        <v>148</v>
      </c>
      <c r="D1046" t="s">
        <v>43</v>
      </c>
      <c r="E1046" t="s">
        <v>92</v>
      </c>
      <c r="F1046" t="s">
        <v>67</v>
      </c>
      <c r="G1046" t="s">
        <v>112</v>
      </c>
      <c r="H1046" t="s">
        <v>47</v>
      </c>
      <c r="I1046" t="s">
        <v>61</v>
      </c>
      <c r="J1046" s="1">
        <v>45802</v>
      </c>
      <c r="K1046" s="1">
        <v>45802</v>
      </c>
      <c r="L1046" s="3">
        <v>32100</v>
      </c>
      <c r="M1046" s="4">
        <v>0</v>
      </c>
      <c r="N1046" s="4">
        <v>0</v>
      </c>
      <c r="O1046" t="s">
        <v>102</v>
      </c>
      <c r="P1046">
        <v>2</v>
      </c>
      <c r="Q1046" t="str">
        <f>IFERROR(VLOOKUP(E1046,Lookups!$A$5:$B$24,2,FALSE),"Other")</f>
        <v>Webinar</v>
      </c>
      <c r="R1046" t="str">
        <f>IFERROR(VLOOKUP(F1046,Lookups!$D$5:$F$10,2,FALSE),"Unknown Product")</f>
        <v>Revenue Operations Suite</v>
      </c>
      <c r="S1046" t="str">
        <f>IFERROR(VLOOKUP(F1046,Lookups!$D$5:$F$10,3,FALSE),"Unknown")</f>
        <v>Revenue Ops</v>
      </c>
      <c r="T1046" t="str">
        <f t="shared" si="176"/>
        <v>Mid-Market</v>
      </c>
      <c r="U1046" t="str">
        <f t="shared" si="177"/>
        <v>Lost</v>
      </c>
      <c r="V1046" s="3">
        <f t="shared" si="178"/>
        <v>0</v>
      </c>
      <c r="W1046" s="3">
        <f t="shared" si="179"/>
        <v>0</v>
      </c>
      <c r="X1046" s="5">
        <f t="shared" si="180"/>
        <v>8</v>
      </c>
      <c r="Y1046" s="5">
        <f>IF(U1046="Open",Lookups!$B$2-B1046,X1046)</f>
        <v>8</v>
      </c>
      <c r="Z1046" t="str">
        <f t="shared" si="181"/>
        <v>OK</v>
      </c>
      <c r="AA1046" t="str">
        <f t="shared" si="182"/>
        <v>2025-05</v>
      </c>
      <c r="AB1046" t="str">
        <f t="shared" si="183"/>
        <v>2025-05</v>
      </c>
      <c r="AC1046" t="str">
        <f t="shared" si="184"/>
        <v>Q2-2025</v>
      </c>
      <c r="AD1046" s="5">
        <f t="shared" si="185"/>
        <v>56</v>
      </c>
      <c r="AE1046" t="str">
        <f t="shared" si="186"/>
        <v>Lost</v>
      </c>
    </row>
    <row r="1047" spans="1:31">
      <c r="A1047" t="s">
        <v>1149</v>
      </c>
      <c r="B1047" s="1">
        <v>46000</v>
      </c>
      <c r="C1047" t="s">
        <v>64</v>
      </c>
      <c r="D1047" t="s">
        <v>57</v>
      </c>
      <c r="E1047" t="s">
        <v>109</v>
      </c>
      <c r="F1047" t="s">
        <v>71</v>
      </c>
      <c r="G1047" t="s">
        <v>72</v>
      </c>
      <c r="H1047" t="s">
        <v>53</v>
      </c>
      <c r="I1047" t="s">
        <v>61</v>
      </c>
      <c r="J1047" s="1">
        <v>46043</v>
      </c>
      <c r="K1047" s="1">
        <v>46043</v>
      </c>
      <c r="L1047" s="3">
        <v>37000</v>
      </c>
      <c r="M1047" s="4">
        <v>0</v>
      </c>
      <c r="N1047" s="4">
        <v>0</v>
      </c>
      <c r="O1047" t="s">
        <v>62</v>
      </c>
      <c r="P1047">
        <v>4</v>
      </c>
      <c r="Q1047" t="str">
        <f>IFERROR(VLOOKUP(E1047,Lookups!$A$5:$B$24,2,FALSE),"Other")</f>
        <v>Outbound</v>
      </c>
      <c r="R1047" t="str">
        <f>IFERROR(VLOOKUP(F1047,Lookups!$D$5:$F$10,2,FALSE),"Unknown Product")</f>
        <v>Marketing Automation</v>
      </c>
      <c r="S1047" t="str">
        <f>IFERROR(VLOOKUP(F1047,Lookups!$D$5:$F$10,3,FALSE),"Unknown")</f>
        <v>Marketing</v>
      </c>
      <c r="T1047" t="str">
        <f t="shared" si="176"/>
        <v>Mid-Market</v>
      </c>
      <c r="U1047" t="str">
        <f t="shared" si="177"/>
        <v>Lost</v>
      </c>
      <c r="V1047" s="3">
        <f t="shared" si="178"/>
        <v>0</v>
      </c>
      <c r="W1047" s="3">
        <f t="shared" si="179"/>
        <v>0</v>
      </c>
      <c r="X1047" s="5">
        <f t="shared" si="180"/>
        <v>43</v>
      </c>
      <c r="Y1047" s="5">
        <f>IF(U1047="Open",Lookups!$B$2-B1047,X1047)</f>
        <v>43</v>
      </c>
      <c r="Z1047" t="str">
        <f t="shared" si="181"/>
        <v>OK</v>
      </c>
      <c r="AA1047" t="str">
        <f t="shared" si="182"/>
        <v>2025-12</v>
      </c>
      <c r="AB1047" t="str">
        <f t="shared" si="183"/>
        <v>2026-01</v>
      </c>
      <c r="AC1047" t="str">
        <f t="shared" si="184"/>
        <v>Q4-2025</v>
      </c>
      <c r="AD1047" s="5">
        <f t="shared" si="185"/>
        <v>59</v>
      </c>
      <c r="AE1047" t="str">
        <f t="shared" si="186"/>
        <v>Lost</v>
      </c>
    </row>
    <row r="1048" spans="1:31">
      <c r="A1048" t="s">
        <v>1150</v>
      </c>
      <c r="B1048" s="1">
        <v>45980</v>
      </c>
      <c r="C1048" t="s">
        <v>50</v>
      </c>
      <c r="D1048" t="s">
        <v>43</v>
      </c>
      <c r="E1048" t="s">
        <v>58</v>
      </c>
      <c r="F1048" t="s">
        <v>52</v>
      </c>
      <c r="G1048" t="s">
        <v>99</v>
      </c>
      <c r="H1048" t="s">
        <v>53</v>
      </c>
      <c r="I1048" t="s">
        <v>48</v>
      </c>
      <c r="J1048" s="1">
        <v>46219</v>
      </c>
      <c r="K1048" s="1"/>
      <c r="L1048" s="3">
        <v>16800</v>
      </c>
      <c r="M1048" s="4">
        <v>0</v>
      </c>
      <c r="N1048" s="4">
        <v>0.85</v>
      </c>
      <c r="P1048">
        <v>5</v>
      </c>
      <c r="Q1048" t="str">
        <f>IFERROR(VLOOKUP(E1048,Lookups!$A$5:$B$24,2,FALSE),"Other")</f>
        <v>Email</v>
      </c>
      <c r="R1048" t="str">
        <f>IFERROR(VLOOKUP(F1048,Lookups!$D$5:$F$10,2,FALSE),"Unknown Product")</f>
        <v>NexaCRM Core</v>
      </c>
      <c r="S1048" t="str">
        <f>IFERROR(VLOOKUP(F1048,Lookups!$D$5:$F$10,3,FALSE),"Unknown")</f>
        <v>CRM</v>
      </c>
      <c r="T1048" t="str">
        <f t="shared" si="176"/>
        <v>SMB</v>
      </c>
      <c r="U1048" t="str">
        <f t="shared" si="177"/>
        <v>Open</v>
      </c>
      <c r="V1048" s="3">
        <f t="shared" si="178"/>
        <v>0</v>
      </c>
      <c r="W1048" s="3">
        <f t="shared" si="179"/>
        <v>14280</v>
      </c>
      <c r="X1048" s="5" t="str">
        <f t="shared" si="180"/>
        <v/>
      </c>
      <c r="Y1048" s="5">
        <f>IF(U1048="Open",Lookups!$B$2-B1048,X1048)</f>
        <v>286</v>
      </c>
      <c r="Z1048" t="str">
        <f t="shared" si="181"/>
        <v>STALE</v>
      </c>
      <c r="AA1048" t="str">
        <f t="shared" si="182"/>
        <v>2025-11</v>
      </c>
      <c r="AB1048" t="str">
        <f t="shared" si="183"/>
        <v/>
      </c>
      <c r="AC1048" t="str">
        <f t="shared" si="184"/>
        <v>Q4-2025</v>
      </c>
      <c r="AD1048" s="5">
        <f t="shared" si="185"/>
        <v>55</v>
      </c>
      <c r="AE1048" t="str">
        <f t="shared" si="186"/>
        <v>Commit</v>
      </c>
    </row>
    <row r="1049" spans="1:31">
      <c r="A1049" t="s">
        <v>1151</v>
      </c>
      <c r="B1049" s="1">
        <v>46143</v>
      </c>
      <c r="C1049" t="s">
        <v>64</v>
      </c>
      <c r="D1049" t="s">
        <v>57</v>
      </c>
      <c r="E1049" t="s">
        <v>83</v>
      </c>
      <c r="F1049" t="s">
        <v>71</v>
      </c>
      <c r="G1049" t="s">
        <v>76</v>
      </c>
      <c r="H1049" t="s">
        <v>47</v>
      </c>
      <c r="I1049" t="s">
        <v>54</v>
      </c>
      <c r="J1049" s="1">
        <v>46232</v>
      </c>
      <c r="K1049" s="1"/>
      <c r="L1049" s="3">
        <v>14100</v>
      </c>
      <c r="M1049" s="4">
        <v>0.03</v>
      </c>
      <c r="N1049" s="4">
        <v>0.65</v>
      </c>
      <c r="P1049">
        <v>4</v>
      </c>
      <c r="Q1049" t="str">
        <f>IFERROR(VLOOKUP(E1049,Lookups!$A$5:$B$24,2,FALSE),"Other")</f>
        <v>Organic Search</v>
      </c>
      <c r="R1049" t="str">
        <f>IFERROR(VLOOKUP(F1049,Lookups!$D$5:$F$10,2,FALSE),"Unknown Product")</f>
        <v>Marketing Automation</v>
      </c>
      <c r="S1049" t="str">
        <f>IFERROR(VLOOKUP(F1049,Lookups!$D$5:$F$10,3,FALSE),"Unknown")</f>
        <v>Marketing</v>
      </c>
      <c r="T1049" t="str">
        <f t="shared" si="176"/>
        <v>SMB</v>
      </c>
      <c r="U1049" t="str">
        <f t="shared" si="177"/>
        <v>Open</v>
      </c>
      <c r="V1049" s="3">
        <f t="shared" si="178"/>
        <v>0</v>
      </c>
      <c r="W1049" s="3">
        <f t="shared" si="179"/>
        <v>9165</v>
      </c>
      <c r="X1049" s="5" t="str">
        <f t="shared" si="180"/>
        <v/>
      </c>
      <c r="Y1049" s="5">
        <f>IF(U1049="Open",Lookups!$B$2-B1049,X1049)</f>
        <v>123</v>
      </c>
      <c r="Z1049" t="str">
        <f t="shared" si="181"/>
        <v>STALE</v>
      </c>
      <c r="AA1049" t="str">
        <f t="shared" si="182"/>
        <v>2026-05</v>
      </c>
      <c r="AB1049" t="str">
        <f t="shared" si="183"/>
        <v/>
      </c>
      <c r="AC1049" t="str">
        <f t="shared" si="184"/>
        <v>Q2-2026</v>
      </c>
      <c r="AD1049" s="5">
        <f t="shared" si="185"/>
        <v>49</v>
      </c>
      <c r="AE1049" t="str">
        <f t="shared" si="186"/>
        <v>Best Case</v>
      </c>
    </row>
    <row r="1050" spans="1:31">
      <c r="A1050" t="s">
        <v>1152</v>
      </c>
      <c r="B1050" s="1">
        <v>45732</v>
      </c>
      <c r="C1050" t="s">
        <v>148</v>
      </c>
      <c r="D1050" t="s">
        <v>43</v>
      </c>
      <c r="E1050" t="s">
        <v>115</v>
      </c>
      <c r="F1050" t="s">
        <v>133</v>
      </c>
      <c r="G1050" t="s">
        <v>99</v>
      </c>
      <c r="H1050" t="s">
        <v>47</v>
      </c>
      <c r="I1050" t="s">
        <v>61</v>
      </c>
      <c r="J1050" s="1">
        <v>45798</v>
      </c>
      <c r="K1050" s="1">
        <v>45798</v>
      </c>
      <c r="L1050" s="3">
        <v>24600</v>
      </c>
      <c r="M1050" s="4">
        <v>0</v>
      </c>
      <c r="N1050" s="4">
        <v>0</v>
      </c>
      <c r="O1050" t="s">
        <v>116</v>
      </c>
      <c r="P1050">
        <v>3</v>
      </c>
      <c r="Q1050" t="str">
        <f>IFERROR(VLOOKUP(E1050,Lookups!$A$5:$B$24,2,FALSE),"Other")</f>
        <v>Outbound</v>
      </c>
      <c r="R1050" t="str">
        <f>IFERROR(VLOOKUP(F1050,Lookups!$D$5:$F$10,2,FALSE),"Unknown Product")</f>
        <v>Analytics Plus</v>
      </c>
      <c r="S1050" t="str">
        <f>IFERROR(VLOOKUP(F1050,Lookups!$D$5:$F$10,3,FALSE),"Unknown")</f>
        <v>Analytics</v>
      </c>
      <c r="T1050" t="str">
        <f t="shared" si="176"/>
        <v>Mid-Market</v>
      </c>
      <c r="U1050" t="str">
        <f t="shared" si="177"/>
        <v>Lost</v>
      </c>
      <c r="V1050" s="3">
        <f t="shared" si="178"/>
        <v>0</v>
      </c>
      <c r="W1050" s="3">
        <f t="shared" si="179"/>
        <v>0</v>
      </c>
      <c r="X1050" s="5">
        <f t="shared" si="180"/>
        <v>66</v>
      </c>
      <c r="Y1050" s="5">
        <f>IF(U1050="Open",Lookups!$B$2-B1050,X1050)</f>
        <v>66</v>
      </c>
      <c r="Z1050" t="str">
        <f t="shared" si="181"/>
        <v>OK</v>
      </c>
      <c r="AA1050" t="str">
        <f t="shared" si="182"/>
        <v>2025-03</v>
      </c>
      <c r="AB1050" t="str">
        <f t="shared" si="183"/>
        <v>2025-05</v>
      </c>
      <c r="AC1050" t="str">
        <f t="shared" si="184"/>
        <v>Q1-2025</v>
      </c>
      <c r="AD1050" s="5">
        <f t="shared" si="185"/>
        <v>51</v>
      </c>
      <c r="AE1050" t="str">
        <f t="shared" si="186"/>
        <v>Lost</v>
      </c>
    </row>
    <row r="1051" spans="1:31">
      <c r="A1051" t="s">
        <v>1153</v>
      </c>
      <c r="B1051" s="1">
        <v>45765</v>
      </c>
      <c r="C1051" t="s">
        <v>56</v>
      </c>
      <c r="D1051" t="s">
        <v>57</v>
      </c>
      <c r="E1051" t="s">
        <v>65</v>
      </c>
      <c r="F1051" t="s">
        <v>133</v>
      </c>
      <c r="G1051" t="s">
        <v>94</v>
      </c>
      <c r="H1051" t="s">
        <v>53</v>
      </c>
      <c r="I1051" t="s">
        <v>48</v>
      </c>
      <c r="J1051" s="1">
        <v>46024</v>
      </c>
      <c r="K1051" s="1"/>
      <c r="L1051" s="3">
        <v>27000</v>
      </c>
      <c r="M1051" s="4">
        <v>0.05</v>
      </c>
      <c r="N1051" s="4">
        <v>0.85</v>
      </c>
      <c r="P1051">
        <v>5</v>
      </c>
      <c r="Q1051" t="str">
        <f>IFERROR(VLOOKUP(E1051,Lookups!$A$5:$B$24,2,FALSE),"Other")</f>
        <v>Paid Search</v>
      </c>
      <c r="R1051" t="str">
        <f>IFERROR(VLOOKUP(F1051,Lookups!$D$5:$F$10,2,FALSE),"Unknown Product")</f>
        <v>Analytics Plus</v>
      </c>
      <c r="S1051" t="str">
        <f>IFERROR(VLOOKUP(F1051,Lookups!$D$5:$F$10,3,FALSE),"Unknown")</f>
        <v>Analytics</v>
      </c>
      <c r="T1051" t="str">
        <f t="shared" si="176"/>
        <v>Mid-Market</v>
      </c>
      <c r="U1051" t="str">
        <f t="shared" si="177"/>
        <v>Open</v>
      </c>
      <c r="V1051" s="3">
        <f t="shared" si="178"/>
        <v>0</v>
      </c>
      <c r="W1051" s="3">
        <f t="shared" si="179"/>
        <v>22950</v>
      </c>
      <c r="X1051" s="5" t="str">
        <f t="shared" si="180"/>
        <v/>
      </c>
      <c r="Y1051" s="5">
        <f>IF(U1051="Open",Lookups!$B$2-B1051,X1051)</f>
        <v>501</v>
      </c>
      <c r="Z1051" t="str">
        <f t="shared" si="181"/>
        <v>STALE</v>
      </c>
      <c r="AA1051" t="str">
        <f t="shared" si="182"/>
        <v>2025-04</v>
      </c>
      <c r="AB1051" t="str">
        <f t="shared" si="183"/>
        <v/>
      </c>
      <c r="AC1051" t="str">
        <f t="shared" si="184"/>
        <v>Q2-2025</v>
      </c>
      <c r="AD1051" s="5">
        <f t="shared" si="185"/>
        <v>59</v>
      </c>
      <c r="AE1051" t="str">
        <f t="shared" si="186"/>
        <v>Commit</v>
      </c>
    </row>
    <row r="1052" spans="1:31">
      <c r="A1052" t="s">
        <v>1154</v>
      </c>
      <c r="B1052" s="1">
        <v>45749</v>
      </c>
      <c r="C1052" t="s">
        <v>42</v>
      </c>
      <c r="D1052" t="s">
        <v>43</v>
      </c>
      <c r="E1052" t="s">
        <v>83</v>
      </c>
      <c r="F1052" t="s">
        <v>59</v>
      </c>
      <c r="G1052" t="s">
        <v>112</v>
      </c>
      <c r="H1052" t="s">
        <v>47</v>
      </c>
      <c r="I1052" t="s">
        <v>77</v>
      </c>
      <c r="J1052" s="1">
        <v>45835</v>
      </c>
      <c r="K1052" s="1">
        <v>45835</v>
      </c>
      <c r="L1052" s="3">
        <v>15800</v>
      </c>
      <c r="M1052" s="4">
        <v>0.05</v>
      </c>
      <c r="N1052" s="4">
        <v>1</v>
      </c>
      <c r="P1052">
        <v>6</v>
      </c>
      <c r="Q1052" t="str">
        <f>IFERROR(VLOOKUP(E1052,Lookups!$A$5:$B$24,2,FALSE),"Other")</f>
        <v>Organic Search</v>
      </c>
      <c r="R1052" t="str">
        <f>IFERROR(VLOOKUP(F1052,Lookups!$D$5:$F$10,2,FALSE),"Unknown Product")</f>
        <v>NexaCRM Pro</v>
      </c>
      <c r="S1052" t="str">
        <f>IFERROR(VLOOKUP(F1052,Lookups!$D$5:$F$10,3,FALSE),"Unknown")</f>
        <v>CRM</v>
      </c>
      <c r="T1052" t="str">
        <f t="shared" si="176"/>
        <v>SMB</v>
      </c>
      <c r="U1052" t="str">
        <f t="shared" si="177"/>
        <v>Won</v>
      </c>
      <c r="V1052" s="3">
        <f t="shared" si="178"/>
        <v>15010</v>
      </c>
      <c r="W1052" s="3">
        <f t="shared" si="179"/>
        <v>0</v>
      </c>
      <c r="X1052" s="5">
        <f t="shared" si="180"/>
        <v>86</v>
      </c>
      <c r="Y1052" s="5">
        <f>IF(U1052="Open",Lookups!$B$2-B1052,X1052)</f>
        <v>86</v>
      </c>
      <c r="Z1052" t="str">
        <f t="shared" si="181"/>
        <v>OK</v>
      </c>
      <c r="AA1052" t="str">
        <f t="shared" si="182"/>
        <v>2025-04</v>
      </c>
      <c r="AB1052" t="str">
        <f t="shared" si="183"/>
        <v>2025-06</v>
      </c>
      <c r="AC1052" t="str">
        <f t="shared" si="184"/>
        <v>Q2-2025</v>
      </c>
      <c r="AD1052" s="5">
        <f t="shared" si="185"/>
        <v>54</v>
      </c>
      <c r="AE1052" t="str">
        <f t="shared" si="186"/>
        <v>Won</v>
      </c>
    </row>
    <row r="1053" spans="1:31">
      <c r="A1053" t="s">
        <v>1155</v>
      </c>
      <c r="B1053" s="1">
        <v>45687</v>
      </c>
      <c r="C1053" t="s">
        <v>148</v>
      </c>
      <c r="D1053" t="s">
        <v>43</v>
      </c>
      <c r="E1053" t="s">
        <v>115</v>
      </c>
      <c r="F1053" t="s">
        <v>67</v>
      </c>
      <c r="G1053" t="s">
        <v>46</v>
      </c>
      <c r="H1053" t="s">
        <v>47</v>
      </c>
      <c r="I1053" t="s">
        <v>61</v>
      </c>
      <c r="J1053" s="1">
        <v>45764</v>
      </c>
      <c r="K1053" s="1">
        <v>45764</v>
      </c>
      <c r="L1053" s="3">
        <v>34800</v>
      </c>
      <c r="M1053" s="4">
        <v>0</v>
      </c>
      <c r="N1053" s="4">
        <v>0</v>
      </c>
      <c r="O1053" t="s">
        <v>62</v>
      </c>
      <c r="P1053">
        <v>4</v>
      </c>
      <c r="Q1053" t="str">
        <f>IFERROR(VLOOKUP(E1053,Lookups!$A$5:$B$24,2,FALSE),"Other")</f>
        <v>Outbound</v>
      </c>
      <c r="R1053" t="str">
        <f>IFERROR(VLOOKUP(F1053,Lookups!$D$5:$F$10,2,FALSE),"Unknown Product")</f>
        <v>Revenue Operations Suite</v>
      </c>
      <c r="S1053" t="str">
        <f>IFERROR(VLOOKUP(F1053,Lookups!$D$5:$F$10,3,FALSE),"Unknown")</f>
        <v>Revenue Ops</v>
      </c>
      <c r="T1053" t="str">
        <f t="shared" si="176"/>
        <v>Mid-Market</v>
      </c>
      <c r="U1053" t="str">
        <f t="shared" si="177"/>
        <v>Lost</v>
      </c>
      <c r="V1053" s="3">
        <f t="shared" si="178"/>
        <v>0</v>
      </c>
      <c r="W1053" s="3">
        <f t="shared" si="179"/>
        <v>0</v>
      </c>
      <c r="X1053" s="5">
        <f t="shared" si="180"/>
        <v>77</v>
      </c>
      <c r="Y1053" s="5">
        <f>IF(U1053="Open",Lookups!$B$2-B1053,X1053)</f>
        <v>77</v>
      </c>
      <c r="Z1053" t="str">
        <f t="shared" si="181"/>
        <v>OK</v>
      </c>
      <c r="AA1053" t="str">
        <f t="shared" si="182"/>
        <v>2025-01</v>
      </c>
      <c r="AB1053" t="str">
        <f t="shared" si="183"/>
        <v>2025-04</v>
      </c>
      <c r="AC1053" t="str">
        <f t="shared" si="184"/>
        <v>Q1-2025</v>
      </c>
      <c r="AD1053" s="5">
        <f t="shared" si="185"/>
        <v>51</v>
      </c>
      <c r="AE1053" t="str">
        <f t="shared" si="186"/>
        <v>Lost</v>
      </c>
    </row>
    <row r="1054" spans="1:31">
      <c r="A1054" t="s">
        <v>1156</v>
      </c>
      <c r="B1054" s="1">
        <v>45995</v>
      </c>
      <c r="C1054" t="s">
        <v>50</v>
      </c>
      <c r="D1054" t="s">
        <v>43</v>
      </c>
      <c r="E1054" t="s">
        <v>138</v>
      </c>
      <c r="F1054" t="s">
        <v>52</v>
      </c>
      <c r="G1054" t="s">
        <v>112</v>
      </c>
      <c r="H1054" t="s">
        <v>47</v>
      </c>
      <c r="I1054" t="s">
        <v>48</v>
      </c>
      <c r="J1054" s="1">
        <v>46197</v>
      </c>
      <c r="K1054" s="1"/>
      <c r="L1054" s="3">
        <v>5800</v>
      </c>
      <c r="M1054" s="4">
        <v>0.05</v>
      </c>
      <c r="N1054" s="4">
        <v>0.85</v>
      </c>
      <c r="P1054">
        <v>5</v>
      </c>
      <c r="Q1054" t="str">
        <f>IFERROR(VLOOKUP(E1054,Lookups!$A$5:$B$24,2,FALSE),"Other")</f>
        <v>Organic Search</v>
      </c>
      <c r="R1054" t="str">
        <f>IFERROR(VLOOKUP(F1054,Lookups!$D$5:$F$10,2,FALSE),"Unknown Product")</f>
        <v>NexaCRM Core</v>
      </c>
      <c r="S1054" t="str">
        <f>IFERROR(VLOOKUP(F1054,Lookups!$D$5:$F$10,3,FALSE),"Unknown")</f>
        <v>CRM</v>
      </c>
      <c r="T1054" t="str">
        <f t="shared" si="176"/>
        <v>SMB</v>
      </c>
      <c r="U1054" t="str">
        <f t="shared" si="177"/>
        <v>Open</v>
      </c>
      <c r="V1054" s="3">
        <f t="shared" si="178"/>
        <v>0</v>
      </c>
      <c r="W1054" s="3">
        <f t="shared" si="179"/>
        <v>4930</v>
      </c>
      <c r="X1054" s="5" t="str">
        <f t="shared" si="180"/>
        <v/>
      </c>
      <c r="Y1054" s="5">
        <f>IF(U1054="Open",Lookups!$B$2-B1054,X1054)</f>
        <v>271</v>
      </c>
      <c r="Z1054" t="str">
        <f t="shared" si="181"/>
        <v>STALE</v>
      </c>
      <c r="AA1054" t="str">
        <f t="shared" si="182"/>
        <v>2025-12</v>
      </c>
      <c r="AB1054" t="str">
        <f t="shared" si="183"/>
        <v/>
      </c>
      <c r="AC1054" t="str">
        <f t="shared" si="184"/>
        <v>Q4-2025</v>
      </c>
      <c r="AD1054" s="5">
        <f t="shared" si="185"/>
        <v>54</v>
      </c>
      <c r="AE1054" t="str">
        <f t="shared" si="186"/>
        <v>Commit</v>
      </c>
    </row>
    <row r="1055" spans="1:31">
      <c r="A1055" t="s">
        <v>1157</v>
      </c>
      <c r="B1055" s="1">
        <v>46223</v>
      </c>
      <c r="C1055" t="s">
        <v>42</v>
      </c>
      <c r="D1055" t="s">
        <v>43</v>
      </c>
      <c r="E1055" t="s">
        <v>92</v>
      </c>
      <c r="F1055" t="s">
        <v>71</v>
      </c>
      <c r="G1055" t="s">
        <v>46</v>
      </c>
      <c r="H1055" t="s">
        <v>53</v>
      </c>
      <c r="I1055" t="s">
        <v>73</v>
      </c>
      <c r="J1055" s="1">
        <v>46251</v>
      </c>
      <c r="K1055" s="1"/>
      <c r="L1055" s="3">
        <v>28400</v>
      </c>
      <c r="M1055" s="4">
        <v>0</v>
      </c>
      <c r="N1055" s="4">
        <v>0.2</v>
      </c>
      <c r="P1055">
        <v>2</v>
      </c>
      <c r="Q1055" t="str">
        <f>IFERROR(VLOOKUP(E1055,Lookups!$A$5:$B$24,2,FALSE),"Other")</f>
        <v>Webinar</v>
      </c>
      <c r="R1055" t="str">
        <f>IFERROR(VLOOKUP(F1055,Lookups!$D$5:$F$10,2,FALSE),"Unknown Product")</f>
        <v>Marketing Automation</v>
      </c>
      <c r="S1055" t="str">
        <f>IFERROR(VLOOKUP(F1055,Lookups!$D$5:$F$10,3,FALSE),"Unknown")</f>
        <v>Marketing</v>
      </c>
      <c r="T1055" t="str">
        <f t="shared" si="176"/>
        <v>Mid-Market</v>
      </c>
      <c r="U1055" t="str">
        <f t="shared" si="177"/>
        <v>Open</v>
      </c>
      <c r="V1055" s="3">
        <f t="shared" si="178"/>
        <v>0</v>
      </c>
      <c r="W1055" s="3">
        <f t="shared" si="179"/>
        <v>5680</v>
      </c>
      <c r="X1055" s="5" t="str">
        <f t="shared" si="180"/>
        <v/>
      </c>
      <c r="Y1055" s="5">
        <f>IF(U1055="Open",Lookups!$B$2-B1055,X1055)</f>
        <v>43</v>
      </c>
      <c r="Z1055" t="str">
        <f t="shared" si="181"/>
        <v>STALE</v>
      </c>
      <c r="AA1055" t="str">
        <f t="shared" si="182"/>
        <v>2026-07</v>
      </c>
      <c r="AB1055" t="str">
        <f t="shared" si="183"/>
        <v/>
      </c>
      <c r="AC1055" t="str">
        <f t="shared" si="184"/>
        <v>Q3-2026</v>
      </c>
      <c r="AD1055" s="5">
        <f t="shared" si="185"/>
        <v>59</v>
      </c>
      <c r="AE1055" t="str">
        <f t="shared" si="186"/>
        <v>Pipeline</v>
      </c>
    </row>
    <row r="1056" spans="1:31">
      <c r="A1056" t="s">
        <v>1158</v>
      </c>
      <c r="B1056" s="1">
        <v>46047</v>
      </c>
      <c r="C1056" t="s">
        <v>50</v>
      </c>
      <c r="D1056" t="s">
        <v>43</v>
      </c>
      <c r="E1056" t="s">
        <v>160</v>
      </c>
      <c r="F1056" t="s">
        <v>67</v>
      </c>
      <c r="G1056" t="s">
        <v>94</v>
      </c>
      <c r="H1056" t="s">
        <v>53</v>
      </c>
      <c r="I1056" t="s">
        <v>77</v>
      </c>
      <c r="J1056" s="1">
        <v>46117</v>
      </c>
      <c r="K1056" s="1">
        <v>46117</v>
      </c>
      <c r="L1056" s="3">
        <v>53600</v>
      </c>
      <c r="M1056" s="4">
        <v>0.03</v>
      </c>
      <c r="N1056" s="4">
        <v>1</v>
      </c>
      <c r="P1056">
        <v>6</v>
      </c>
      <c r="Q1056" t="str">
        <f>IFERROR(VLOOKUP(E1056,Lookups!$A$5:$B$24,2,FALSE),"Other")</f>
        <v>Email</v>
      </c>
      <c r="R1056" t="str">
        <f>IFERROR(VLOOKUP(F1056,Lookups!$D$5:$F$10,2,FALSE),"Unknown Product")</f>
        <v>Revenue Operations Suite</v>
      </c>
      <c r="S1056" t="str">
        <f>IFERROR(VLOOKUP(F1056,Lookups!$D$5:$F$10,3,FALSE),"Unknown")</f>
        <v>Revenue Ops</v>
      </c>
      <c r="T1056" t="str">
        <f t="shared" si="176"/>
        <v>Enterprise</v>
      </c>
      <c r="U1056" t="str">
        <f t="shared" si="177"/>
        <v>Won</v>
      </c>
      <c r="V1056" s="3">
        <f t="shared" si="178"/>
        <v>51992</v>
      </c>
      <c r="W1056" s="3">
        <f t="shared" si="179"/>
        <v>0</v>
      </c>
      <c r="X1056" s="5">
        <f t="shared" si="180"/>
        <v>70</v>
      </c>
      <c r="Y1056" s="5">
        <f>IF(U1056="Open",Lookups!$B$2-B1056,X1056)</f>
        <v>70</v>
      </c>
      <c r="Z1056" t="str">
        <f t="shared" si="181"/>
        <v>OK</v>
      </c>
      <c r="AA1056" t="str">
        <f t="shared" si="182"/>
        <v>2026-01</v>
      </c>
      <c r="AB1056" t="str">
        <f t="shared" si="183"/>
        <v>2026-04</v>
      </c>
      <c r="AC1056" t="str">
        <f t="shared" si="184"/>
        <v>Q1-2026</v>
      </c>
      <c r="AD1056" s="5">
        <f t="shared" si="185"/>
        <v>70</v>
      </c>
      <c r="AE1056" t="str">
        <f t="shared" si="186"/>
        <v>Won</v>
      </c>
    </row>
    <row r="1057" spans="1:31">
      <c r="A1057" t="s">
        <v>1159</v>
      </c>
      <c r="B1057" s="1">
        <v>45748</v>
      </c>
      <c r="C1057" t="s">
        <v>56</v>
      </c>
      <c r="D1057" t="s">
        <v>57</v>
      </c>
      <c r="E1057" t="s">
        <v>146</v>
      </c>
      <c r="F1057" t="s">
        <v>133</v>
      </c>
      <c r="G1057" t="s">
        <v>76</v>
      </c>
      <c r="H1057" t="s">
        <v>53</v>
      </c>
      <c r="I1057" t="s">
        <v>61</v>
      </c>
      <c r="J1057" s="1">
        <v>45820</v>
      </c>
      <c r="K1057" s="1">
        <v>45820</v>
      </c>
      <c r="L1057" s="3">
        <v>33700</v>
      </c>
      <c r="M1057" s="4">
        <v>0</v>
      </c>
      <c r="N1057" s="4">
        <v>0</v>
      </c>
      <c r="O1057" t="s">
        <v>79</v>
      </c>
      <c r="P1057">
        <v>4</v>
      </c>
      <c r="Q1057" t="str">
        <f>IFERROR(VLOOKUP(E1057,Lookups!$A$5:$B$24,2,FALSE),"Other")</f>
        <v>LinkedIn</v>
      </c>
      <c r="R1057" t="str">
        <f>IFERROR(VLOOKUP(F1057,Lookups!$D$5:$F$10,2,FALSE),"Unknown Product")</f>
        <v>Analytics Plus</v>
      </c>
      <c r="S1057" t="str">
        <f>IFERROR(VLOOKUP(F1057,Lookups!$D$5:$F$10,3,FALSE),"Unknown")</f>
        <v>Analytics</v>
      </c>
      <c r="T1057" t="str">
        <f t="shared" si="176"/>
        <v>Mid-Market</v>
      </c>
      <c r="U1057" t="str">
        <f t="shared" si="177"/>
        <v>Lost</v>
      </c>
      <c r="V1057" s="3">
        <f t="shared" si="178"/>
        <v>0</v>
      </c>
      <c r="W1057" s="3">
        <f t="shared" si="179"/>
        <v>0</v>
      </c>
      <c r="X1057" s="5">
        <f t="shared" si="180"/>
        <v>72</v>
      </c>
      <c r="Y1057" s="5">
        <f>IF(U1057="Open",Lookups!$B$2-B1057,X1057)</f>
        <v>72</v>
      </c>
      <c r="Z1057" t="str">
        <f t="shared" si="181"/>
        <v>OK</v>
      </c>
      <c r="AA1057" t="str">
        <f t="shared" si="182"/>
        <v>2025-04</v>
      </c>
      <c r="AB1057" t="str">
        <f t="shared" si="183"/>
        <v>2025-06</v>
      </c>
      <c r="AC1057" t="str">
        <f t="shared" si="184"/>
        <v>Q2-2025</v>
      </c>
      <c r="AD1057" s="5">
        <f t="shared" si="185"/>
        <v>59</v>
      </c>
      <c r="AE1057" t="str">
        <f t="shared" si="186"/>
        <v>Lost</v>
      </c>
    </row>
    <row r="1058" spans="1:31">
      <c r="A1058" t="s">
        <v>1160</v>
      </c>
      <c r="B1058" s="1">
        <v>45736</v>
      </c>
      <c r="C1058" t="s">
        <v>148</v>
      </c>
      <c r="D1058" t="s">
        <v>43</v>
      </c>
      <c r="E1058" t="s">
        <v>92</v>
      </c>
      <c r="F1058" t="s">
        <v>52</v>
      </c>
      <c r="G1058" t="s">
        <v>99</v>
      </c>
      <c r="H1058" t="s">
        <v>53</v>
      </c>
      <c r="I1058" t="s">
        <v>77</v>
      </c>
      <c r="J1058" s="1">
        <v>45787</v>
      </c>
      <c r="K1058" s="1">
        <v>45787</v>
      </c>
      <c r="L1058" s="3">
        <v>8400</v>
      </c>
      <c r="M1058" s="4">
        <v>0.05</v>
      </c>
      <c r="N1058" s="4">
        <v>1</v>
      </c>
      <c r="P1058">
        <v>6</v>
      </c>
      <c r="Q1058" t="str">
        <f>IFERROR(VLOOKUP(E1058,Lookups!$A$5:$B$24,2,FALSE),"Other")</f>
        <v>Webinar</v>
      </c>
      <c r="R1058" t="str">
        <f>IFERROR(VLOOKUP(F1058,Lookups!$D$5:$F$10,2,FALSE),"Unknown Product")</f>
        <v>NexaCRM Core</v>
      </c>
      <c r="S1058" t="str">
        <f>IFERROR(VLOOKUP(F1058,Lookups!$D$5:$F$10,3,FALSE),"Unknown")</f>
        <v>CRM</v>
      </c>
      <c r="T1058" t="str">
        <f t="shared" si="176"/>
        <v>SMB</v>
      </c>
      <c r="U1058" t="str">
        <f t="shared" si="177"/>
        <v>Won</v>
      </c>
      <c r="V1058" s="3">
        <f t="shared" si="178"/>
        <v>7980</v>
      </c>
      <c r="W1058" s="3">
        <f t="shared" si="179"/>
        <v>0</v>
      </c>
      <c r="X1058" s="5">
        <f t="shared" si="180"/>
        <v>51</v>
      </c>
      <c r="Y1058" s="5">
        <f>IF(U1058="Open",Lookups!$B$2-B1058,X1058)</f>
        <v>51</v>
      </c>
      <c r="Z1058" t="str">
        <f t="shared" si="181"/>
        <v>OK</v>
      </c>
      <c r="AA1058" t="str">
        <f t="shared" si="182"/>
        <v>2025-03</v>
      </c>
      <c r="AB1058" t="str">
        <f t="shared" si="183"/>
        <v>2025-05</v>
      </c>
      <c r="AC1058" t="str">
        <f t="shared" si="184"/>
        <v>Q1-2025</v>
      </c>
      <c r="AD1058" s="5">
        <f t="shared" si="185"/>
        <v>51</v>
      </c>
      <c r="AE1058" t="str">
        <f t="shared" si="186"/>
        <v>Won</v>
      </c>
    </row>
    <row r="1059" spans="1:31">
      <c r="A1059" t="s">
        <v>1161</v>
      </c>
      <c r="B1059" s="1">
        <v>45807</v>
      </c>
      <c r="C1059" t="s">
        <v>56</v>
      </c>
      <c r="D1059" t="s">
        <v>57</v>
      </c>
      <c r="E1059" t="s">
        <v>88</v>
      </c>
      <c r="F1059" t="s">
        <v>45</v>
      </c>
      <c r="G1059" t="s">
        <v>60</v>
      </c>
      <c r="H1059" t="s">
        <v>84</v>
      </c>
      <c r="I1059" t="s">
        <v>61</v>
      </c>
      <c r="J1059" s="1">
        <v>45841</v>
      </c>
      <c r="K1059" s="1">
        <v>45841</v>
      </c>
      <c r="L1059" s="3">
        <v>47800</v>
      </c>
      <c r="M1059" s="4">
        <v>0</v>
      </c>
      <c r="N1059" s="4">
        <v>0</v>
      </c>
      <c r="O1059" t="s">
        <v>62</v>
      </c>
      <c r="P1059">
        <v>5</v>
      </c>
      <c r="Q1059" t="str">
        <f>IFERROR(VLOOKUP(E1059,Lookups!$A$5:$B$24,2,FALSE),"Other")</f>
        <v>Other</v>
      </c>
      <c r="R1059" t="str">
        <f>IFERROR(VLOOKUP(F1059,Lookups!$D$5:$F$10,2,FALSE),"Unknown Product")</f>
        <v>Service Cloud</v>
      </c>
      <c r="S1059" t="str">
        <f>IFERROR(VLOOKUP(F1059,Lookups!$D$5:$F$10,3,FALSE),"Unknown")</f>
        <v>Customer Service</v>
      </c>
      <c r="T1059" t="str">
        <f t="shared" si="176"/>
        <v>Mid-Market</v>
      </c>
      <c r="U1059" t="str">
        <f t="shared" si="177"/>
        <v>Lost</v>
      </c>
      <c r="V1059" s="3">
        <f t="shared" si="178"/>
        <v>0</v>
      </c>
      <c r="W1059" s="3">
        <f t="shared" si="179"/>
        <v>0</v>
      </c>
      <c r="X1059" s="5">
        <f t="shared" si="180"/>
        <v>34</v>
      </c>
      <c r="Y1059" s="5">
        <f>IF(U1059="Open",Lookups!$B$2-B1059,X1059)</f>
        <v>34</v>
      </c>
      <c r="Z1059" t="str">
        <f t="shared" si="181"/>
        <v>OK</v>
      </c>
      <c r="AA1059" t="str">
        <f t="shared" si="182"/>
        <v>2025-05</v>
      </c>
      <c r="AB1059" t="str">
        <f t="shared" si="183"/>
        <v>2025-07</v>
      </c>
      <c r="AC1059" t="str">
        <f t="shared" si="184"/>
        <v>Q2-2025</v>
      </c>
      <c r="AD1059" s="5">
        <f t="shared" si="185"/>
        <v>67</v>
      </c>
      <c r="AE1059" t="str">
        <f t="shared" si="186"/>
        <v>Lost</v>
      </c>
    </row>
    <row r="1060" spans="1:31">
      <c r="A1060" t="s">
        <v>1162</v>
      </c>
      <c r="B1060" s="1">
        <v>45704</v>
      </c>
      <c r="C1060" t="s">
        <v>148</v>
      </c>
      <c r="D1060" t="s">
        <v>43</v>
      </c>
      <c r="E1060" t="s">
        <v>92</v>
      </c>
      <c r="F1060" t="s">
        <v>59</v>
      </c>
      <c r="G1060" t="s">
        <v>72</v>
      </c>
      <c r="H1060" t="s">
        <v>47</v>
      </c>
      <c r="I1060" t="s">
        <v>61</v>
      </c>
      <c r="J1060" s="1">
        <v>45735</v>
      </c>
      <c r="K1060" s="1">
        <v>45735</v>
      </c>
      <c r="L1060" s="3">
        <v>21300</v>
      </c>
      <c r="M1060" s="4">
        <v>0</v>
      </c>
      <c r="N1060" s="4">
        <v>0</v>
      </c>
      <c r="O1060" t="s">
        <v>81</v>
      </c>
      <c r="P1060">
        <v>5</v>
      </c>
      <c r="Q1060" t="str">
        <f>IFERROR(VLOOKUP(E1060,Lookups!$A$5:$B$24,2,FALSE),"Other")</f>
        <v>Webinar</v>
      </c>
      <c r="R1060" t="str">
        <f>IFERROR(VLOOKUP(F1060,Lookups!$D$5:$F$10,2,FALSE),"Unknown Product")</f>
        <v>NexaCRM Pro</v>
      </c>
      <c r="S1060" t="str">
        <f>IFERROR(VLOOKUP(F1060,Lookups!$D$5:$F$10,3,FALSE),"Unknown")</f>
        <v>CRM</v>
      </c>
      <c r="T1060" t="str">
        <f t="shared" si="176"/>
        <v>Mid-Market</v>
      </c>
      <c r="U1060" t="str">
        <f t="shared" si="177"/>
        <v>Lost</v>
      </c>
      <c r="V1060" s="3">
        <f t="shared" si="178"/>
        <v>0</v>
      </c>
      <c r="W1060" s="3">
        <f t="shared" si="179"/>
        <v>0</v>
      </c>
      <c r="X1060" s="5">
        <f t="shared" si="180"/>
        <v>31</v>
      </c>
      <c r="Y1060" s="5">
        <f>IF(U1060="Open",Lookups!$B$2-B1060,X1060)</f>
        <v>31</v>
      </c>
      <c r="Z1060" t="str">
        <f t="shared" si="181"/>
        <v>OK</v>
      </c>
      <c r="AA1060" t="str">
        <f t="shared" si="182"/>
        <v>2025-02</v>
      </c>
      <c r="AB1060" t="str">
        <f t="shared" si="183"/>
        <v>2025-03</v>
      </c>
      <c r="AC1060" t="str">
        <f t="shared" si="184"/>
        <v>Q1-2025</v>
      </c>
      <c r="AD1060" s="5">
        <f t="shared" si="185"/>
        <v>51</v>
      </c>
      <c r="AE1060" t="str">
        <f t="shared" si="186"/>
        <v>Lost</v>
      </c>
    </row>
    <row r="1061" spans="1:31">
      <c r="A1061" t="s">
        <v>1163</v>
      </c>
      <c r="B1061" s="1">
        <v>45881</v>
      </c>
      <c r="C1061" t="s">
        <v>42</v>
      </c>
      <c r="D1061" t="s">
        <v>43</v>
      </c>
      <c r="E1061" t="s">
        <v>75</v>
      </c>
      <c r="F1061" t="s">
        <v>71</v>
      </c>
      <c r="G1061" t="s">
        <v>99</v>
      </c>
      <c r="H1061" t="s">
        <v>47</v>
      </c>
      <c r="I1061" t="s">
        <v>48</v>
      </c>
      <c r="J1061" s="1">
        <v>46074</v>
      </c>
      <c r="K1061" s="1"/>
      <c r="L1061" s="3">
        <v>14700</v>
      </c>
      <c r="M1061" s="4">
        <v>0.03</v>
      </c>
      <c r="N1061" s="4">
        <v>0.85</v>
      </c>
      <c r="P1061">
        <v>5</v>
      </c>
      <c r="Q1061" t="str">
        <f>IFERROR(VLOOKUP(E1061,Lookups!$A$5:$B$24,2,FALSE),"Other")</f>
        <v>Webinar</v>
      </c>
      <c r="R1061" t="str">
        <f>IFERROR(VLOOKUP(F1061,Lookups!$D$5:$F$10,2,FALSE),"Unknown Product")</f>
        <v>Marketing Automation</v>
      </c>
      <c r="S1061" t="str">
        <f>IFERROR(VLOOKUP(F1061,Lookups!$D$5:$F$10,3,FALSE),"Unknown")</f>
        <v>Marketing</v>
      </c>
      <c r="T1061" t="str">
        <f t="shared" si="176"/>
        <v>SMB</v>
      </c>
      <c r="U1061" t="str">
        <f t="shared" si="177"/>
        <v>Open</v>
      </c>
      <c r="V1061" s="3">
        <f t="shared" si="178"/>
        <v>0</v>
      </c>
      <c r="W1061" s="3">
        <f t="shared" si="179"/>
        <v>12495</v>
      </c>
      <c r="X1061" s="5" t="str">
        <f t="shared" si="180"/>
        <v/>
      </c>
      <c r="Y1061" s="5">
        <f>IF(U1061="Open",Lookups!$B$2-B1061,X1061)</f>
        <v>385</v>
      </c>
      <c r="Z1061" t="str">
        <f t="shared" si="181"/>
        <v>STALE</v>
      </c>
      <c r="AA1061" t="str">
        <f t="shared" si="182"/>
        <v>2025-08</v>
      </c>
      <c r="AB1061" t="str">
        <f t="shared" si="183"/>
        <v/>
      </c>
      <c r="AC1061" t="str">
        <f t="shared" si="184"/>
        <v>Q3-2025</v>
      </c>
      <c r="AD1061" s="5">
        <f t="shared" si="185"/>
        <v>43</v>
      </c>
      <c r="AE1061" t="str">
        <f t="shared" si="186"/>
        <v>Commit</v>
      </c>
    </row>
    <row r="1062" spans="1:31">
      <c r="A1062" t="s">
        <v>1164</v>
      </c>
      <c r="B1062" s="1">
        <v>46009</v>
      </c>
      <c r="C1062" t="s">
        <v>42</v>
      </c>
      <c r="D1062" t="s">
        <v>43</v>
      </c>
      <c r="E1062" t="s">
        <v>92</v>
      </c>
      <c r="F1062" t="s">
        <v>71</v>
      </c>
      <c r="G1062" t="s">
        <v>99</v>
      </c>
      <c r="H1062" t="s">
        <v>47</v>
      </c>
      <c r="I1062" t="s">
        <v>61</v>
      </c>
      <c r="J1062" s="1">
        <v>46042</v>
      </c>
      <c r="K1062" s="1">
        <v>46042</v>
      </c>
      <c r="L1062" s="3">
        <v>10800</v>
      </c>
      <c r="M1062" s="4">
        <v>0</v>
      </c>
      <c r="N1062" s="4">
        <v>0</v>
      </c>
      <c r="O1062" t="s">
        <v>110</v>
      </c>
      <c r="P1062">
        <v>4</v>
      </c>
      <c r="Q1062" t="str">
        <f>IFERROR(VLOOKUP(E1062,Lookups!$A$5:$B$24,2,FALSE),"Other")</f>
        <v>Webinar</v>
      </c>
      <c r="R1062" t="str">
        <f>IFERROR(VLOOKUP(F1062,Lookups!$D$5:$F$10,2,FALSE),"Unknown Product")</f>
        <v>Marketing Automation</v>
      </c>
      <c r="S1062" t="str">
        <f>IFERROR(VLOOKUP(F1062,Lookups!$D$5:$F$10,3,FALSE),"Unknown")</f>
        <v>Marketing</v>
      </c>
      <c r="T1062" t="str">
        <f t="shared" si="176"/>
        <v>SMB</v>
      </c>
      <c r="U1062" t="str">
        <f t="shared" si="177"/>
        <v>Lost</v>
      </c>
      <c r="V1062" s="3">
        <f t="shared" si="178"/>
        <v>0</v>
      </c>
      <c r="W1062" s="3">
        <f t="shared" si="179"/>
        <v>0</v>
      </c>
      <c r="X1062" s="5">
        <f t="shared" si="180"/>
        <v>33</v>
      </c>
      <c r="Y1062" s="5">
        <f>IF(U1062="Open",Lookups!$B$2-B1062,X1062)</f>
        <v>33</v>
      </c>
      <c r="Z1062" t="str">
        <f t="shared" si="181"/>
        <v>OK</v>
      </c>
      <c r="AA1062" t="str">
        <f t="shared" si="182"/>
        <v>2025-12</v>
      </c>
      <c r="AB1062" t="str">
        <f t="shared" si="183"/>
        <v>2026-01</v>
      </c>
      <c r="AC1062" t="str">
        <f t="shared" si="184"/>
        <v>Q4-2025</v>
      </c>
      <c r="AD1062" s="5">
        <f t="shared" si="185"/>
        <v>43</v>
      </c>
      <c r="AE1062" t="str">
        <f t="shared" si="186"/>
        <v>Lost</v>
      </c>
    </row>
    <row r="1063" spans="1:31">
      <c r="A1063" t="s">
        <v>1165</v>
      </c>
      <c r="B1063" s="1">
        <v>45800</v>
      </c>
      <c r="C1063" t="s">
        <v>56</v>
      </c>
      <c r="D1063" t="s">
        <v>57</v>
      </c>
      <c r="E1063" t="s">
        <v>83</v>
      </c>
      <c r="F1063" t="s">
        <v>52</v>
      </c>
      <c r="G1063" t="s">
        <v>72</v>
      </c>
      <c r="H1063" t="s">
        <v>47</v>
      </c>
      <c r="I1063" t="s">
        <v>77</v>
      </c>
      <c r="J1063" s="1">
        <v>45849</v>
      </c>
      <c r="K1063" s="1">
        <v>45849</v>
      </c>
      <c r="L1063" s="3">
        <v>4600</v>
      </c>
      <c r="M1063" s="4">
        <v>0.03</v>
      </c>
      <c r="N1063" s="4">
        <v>1</v>
      </c>
      <c r="P1063">
        <v>6</v>
      </c>
      <c r="Q1063" t="str">
        <f>IFERROR(VLOOKUP(E1063,Lookups!$A$5:$B$24,2,FALSE),"Other")</f>
        <v>Organic Search</v>
      </c>
      <c r="R1063" t="str">
        <f>IFERROR(VLOOKUP(F1063,Lookups!$D$5:$F$10,2,FALSE),"Unknown Product")</f>
        <v>NexaCRM Core</v>
      </c>
      <c r="S1063" t="str">
        <f>IFERROR(VLOOKUP(F1063,Lookups!$D$5:$F$10,3,FALSE),"Unknown")</f>
        <v>CRM</v>
      </c>
      <c r="T1063" t="str">
        <f t="shared" si="176"/>
        <v>SMB</v>
      </c>
      <c r="U1063" t="str">
        <f t="shared" si="177"/>
        <v>Won</v>
      </c>
      <c r="V1063" s="3">
        <f t="shared" si="178"/>
        <v>4462</v>
      </c>
      <c r="W1063" s="3">
        <f t="shared" si="179"/>
        <v>0</v>
      </c>
      <c r="X1063" s="5">
        <f t="shared" si="180"/>
        <v>49</v>
      </c>
      <c r="Y1063" s="5">
        <f>IF(U1063="Open",Lookups!$B$2-B1063,X1063)</f>
        <v>49</v>
      </c>
      <c r="Z1063" t="str">
        <f t="shared" si="181"/>
        <v>OK</v>
      </c>
      <c r="AA1063" t="str">
        <f t="shared" si="182"/>
        <v>2025-05</v>
      </c>
      <c r="AB1063" t="str">
        <f t="shared" si="183"/>
        <v>2025-07</v>
      </c>
      <c r="AC1063" t="str">
        <f t="shared" si="184"/>
        <v>Q2-2025</v>
      </c>
      <c r="AD1063" s="5">
        <f t="shared" si="185"/>
        <v>49</v>
      </c>
      <c r="AE1063" t="str">
        <f t="shared" si="186"/>
        <v>Won</v>
      </c>
    </row>
    <row r="1064" spans="1:31">
      <c r="A1064" t="s">
        <v>1166</v>
      </c>
      <c r="B1064" s="1">
        <v>46217</v>
      </c>
      <c r="C1064" t="s">
        <v>64</v>
      </c>
      <c r="D1064" t="s">
        <v>57</v>
      </c>
      <c r="E1064" t="s">
        <v>127</v>
      </c>
      <c r="F1064" t="s">
        <v>67</v>
      </c>
      <c r="G1064" t="s">
        <v>112</v>
      </c>
      <c r="H1064" t="s">
        <v>53</v>
      </c>
      <c r="I1064" t="s">
        <v>73</v>
      </c>
      <c r="J1064" s="1">
        <v>46259</v>
      </c>
      <c r="K1064" s="1"/>
      <c r="L1064" s="3">
        <v>52700</v>
      </c>
      <c r="M1064" s="4">
        <v>0</v>
      </c>
      <c r="N1064" s="4">
        <v>0.2</v>
      </c>
      <c r="P1064">
        <v>2</v>
      </c>
      <c r="Q1064" t="str">
        <f>IFERROR(VLOOKUP(E1064,Lookups!$A$5:$B$24,2,FALSE),"Other")</f>
        <v>Paid Search</v>
      </c>
      <c r="R1064" t="str">
        <f>IFERROR(VLOOKUP(F1064,Lookups!$D$5:$F$10,2,FALSE),"Unknown Product")</f>
        <v>Revenue Operations Suite</v>
      </c>
      <c r="S1064" t="str">
        <f>IFERROR(VLOOKUP(F1064,Lookups!$D$5:$F$10,3,FALSE),"Unknown")</f>
        <v>Revenue Ops</v>
      </c>
      <c r="T1064" t="str">
        <f t="shared" si="176"/>
        <v>Enterprise</v>
      </c>
      <c r="U1064" t="str">
        <f t="shared" si="177"/>
        <v>Open</v>
      </c>
      <c r="V1064" s="3">
        <f t="shared" si="178"/>
        <v>0</v>
      </c>
      <c r="W1064" s="3">
        <f t="shared" si="179"/>
        <v>10540</v>
      </c>
      <c r="X1064" s="5" t="str">
        <f t="shared" si="180"/>
        <v/>
      </c>
      <c r="Y1064" s="5">
        <f>IF(U1064="Open",Lookups!$B$2-B1064,X1064)</f>
        <v>49</v>
      </c>
      <c r="Z1064" t="str">
        <f t="shared" si="181"/>
        <v>STALE</v>
      </c>
      <c r="AA1064" t="str">
        <f t="shared" si="182"/>
        <v>2026-07</v>
      </c>
      <c r="AB1064" t="str">
        <f t="shared" si="183"/>
        <v/>
      </c>
      <c r="AC1064" t="str">
        <f t="shared" si="184"/>
        <v>Q3-2026</v>
      </c>
      <c r="AD1064" s="5">
        <f t="shared" si="185"/>
        <v>71</v>
      </c>
      <c r="AE1064" t="str">
        <f t="shared" si="186"/>
        <v>Pipeline</v>
      </c>
    </row>
    <row r="1065" spans="1:31">
      <c r="A1065" t="s">
        <v>1167</v>
      </c>
      <c r="B1065" s="1">
        <v>45974</v>
      </c>
      <c r="C1065" t="s">
        <v>86</v>
      </c>
      <c r="D1065" t="s">
        <v>87</v>
      </c>
      <c r="E1065" t="s">
        <v>92</v>
      </c>
      <c r="F1065" t="s">
        <v>133</v>
      </c>
      <c r="G1065" t="s">
        <v>60</v>
      </c>
      <c r="H1065" t="s">
        <v>47</v>
      </c>
      <c r="I1065" t="s">
        <v>77</v>
      </c>
      <c r="J1065" s="1">
        <v>46067</v>
      </c>
      <c r="K1065" s="1">
        <v>46067</v>
      </c>
      <c r="L1065" s="3">
        <v>19700</v>
      </c>
      <c r="M1065" s="4">
        <v>0.05</v>
      </c>
      <c r="N1065" s="4">
        <v>1</v>
      </c>
      <c r="P1065">
        <v>6</v>
      </c>
      <c r="Q1065" t="str">
        <f>IFERROR(VLOOKUP(E1065,Lookups!$A$5:$B$24,2,FALSE),"Other")</f>
        <v>Webinar</v>
      </c>
      <c r="R1065" t="str">
        <f>IFERROR(VLOOKUP(F1065,Lookups!$D$5:$F$10,2,FALSE),"Unknown Product")</f>
        <v>Analytics Plus</v>
      </c>
      <c r="S1065" t="str">
        <f>IFERROR(VLOOKUP(F1065,Lookups!$D$5:$F$10,3,FALSE),"Unknown")</f>
        <v>Analytics</v>
      </c>
      <c r="T1065" t="str">
        <f t="shared" si="176"/>
        <v>SMB</v>
      </c>
      <c r="U1065" t="str">
        <f t="shared" si="177"/>
        <v>Won</v>
      </c>
      <c r="V1065" s="3">
        <f t="shared" si="178"/>
        <v>18715</v>
      </c>
      <c r="W1065" s="3">
        <f t="shared" si="179"/>
        <v>0</v>
      </c>
      <c r="X1065" s="5">
        <f t="shared" si="180"/>
        <v>93</v>
      </c>
      <c r="Y1065" s="5">
        <f>IF(U1065="Open",Lookups!$B$2-B1065,X1065)</f>
        <v>93</v>
      </c>
      <c r="Z1065" t="str">
        <f t="shared" si="181"/>
        <v>OK</v>
      </c>
      <c r="AA1065" t="str">
        <f t="shared" si="182"/>
        <v>2025-11</v>
      </c>
      <c r="AB1065" t="str">
        <f t="shared" si="183"/>
        <v>2026-02</v>
      </c>
      <c r="AC1065" t="str">
        <f t="shared" si="184"/>
        <v>Q4-2025</v>
      </c>
      <c r="AD1065" s="5">
        <f t="shared" si="185"/>
        <v>43</v>
      </c>
      <c r="AE1065" t="str">
        <f t="shared" si="186"/>
        <v>Won</v>
      </c>
    </row>
    <row r="1066" spans="1:31">
      <c r="A1066" t="s">
        <v>1168</v>
      </c>
      <c r="B1066" s="1">
        <v>45982</v>
      </c>
      <c r="C1066" t="s">
        <v>148</v>
      </c>
      <c r="D1066" t="s">
        <v>43</v>
      </c>
      <c r="E1066" t="s">
        <v>127</v>
      </c>
      <c r="F1066" t="s">
        <v>59</v>
      </c>
      <c r="G1066" t="s">
        <v>72</v>
      </c>
      <c r="H1066" t="s">
        <v>53</v>
      </c>
      <c r="I1066" t="s">
        <v>77</v>
      </c>
      <c r="J1066" s="1">
        <v>46047</v>
      </c>
      <c r="K1066" s="1">
        <v>46047</v>
      </c>
      <c r="L1066" s="3">
        <v>23200</v>
      </c>
      <c r="M1066" s="4">
        <v>0.08</v>
      </c>
      <c r="N1066" s="4">
        <v>1</v>
      </c>
      <c r="P1066">
        <v>6</v>
      </c>
      <c r="Q1066" t="str">
        <f>IFERROR(VLOOKUP(E1066,Lookups!$A$5:$B$24,2,FALSE),"Other")</f>
        <v>Paid Search</v>
      </c>
      <c r="R1066" t="str">
        <f>IFERROR(VLOOKUP(F1066,Lookups!$D$5:$F$10,2,FALSE),"Unknown Product")</f>
        <v>NexaCRM Pro</v>
      </c>
      <c r="S1066" t="str">
        <f>IFERROR(VLOOKUP(F1066,Lookups!$D$5:$F$10,3,FALSE),"Unknown")</f>
        <v>CRM</v>
      </c>
      <c r="T1066" t="str">
        <f t="shared" si="176"/>
        <v>Mid-Market</v>
      </c>
      <c r="U1066" t="str">
        <f t="shared" si="177"/>
        <v>Won</v>
      </c>
      <c r="V1066" s="3">
        <f t="shared" si="178"/>
        <v>21344</v>
      </c>
      <c r="W1066" s="3">
        <f t="shared" si="179"/>
        <v>0</v>
      </c>
      <c r="X1066" s="5">
        <f t="shared" si="180"/>
        <v>65</v>
      </c>
      <c r="Y1066" s="5">
        <f>IF(U1066="Open",Lookups!$B$2-B1066,X1066)</f>
        <v>65</v>
      </c>
      <c r="Z1066" t="str">
        <f t="shared" si="181"/>
        <v>OK</v>
      </c>
      <c r="AA1066" t="str">
        <f t="shared" si="182"/>
        <v>2025-11</v>
      </c>
      <c r="AB1066" t="str">
        <f t="shared" si="183"/>
        <v>2026-01</v>
      </c>
      <c r="AC1066" t="str">
        <f t="shared" si="184"/>
        <v>Q4-2025</v>
      </c>
      <c r="AD1066" s="5">
        <f t="shared" si="185"/>
        <v>59</v>
      </c>
      <c r="AE1066" t="str">
        <f t="shared" si="186"/>
        <v>Won</v>
      </c>
    </row>
    <row r="1067" spans="1:31">
      <c r="A1067" t="s">
        <v>1169</v>
      </c>
      <c r="B1067" s="1">
        <v>45977</v>
      </c>
      <c r="C1067" t="s">
        <v>90</v>
      </c>
      <c r="D1067" t="s">
        <v>57</v>
      </c>
      <c r="E1067" t="s">
        <v>70</v>
      </c>
      <c r="F1067" t="s">
        <v>67</v>
      </c>
      <c r="G1067" t="s">
        <v>94</v>
      </c>
      <c r="H1067" t="s">
        <v>47</v>
      </c>
      <c r="I1067" t="s">
        <v>61</v>
      </c>
      <c r="J1067" s="1">
        <v>46016</v>
      </c>
      <c r="K1067" s="1">
        <v>46016</v>
      </c>
      <c r="L1067" s="3">
        <v>22300</v>
      </c>
      <c r="M1067" s="4">
        <v>0</v>
      </c>
      <c r="N1067" s="4">
        <v>0</v>
      </c>
      <c r="O1067" t="s">
        <v>116</v>
      </c>
      <c r="P1067">
        <v>5</v>
      </c>
      <c r="Q1067" t="str">
        <f>IFERROR(VLOOKUP(E1067,Lookups!$A$5:$B$24,2,FALSE),"Other")</f>
        <v>LinkedIn</v>
      </c>
      <c r="R1067" t="str">
        <f>IFERROR(VLOOKUP(F1067,Lookups!$D$5:$F$10,2,FALSE),"Unknown Product")</f>
        <v>Revenue Operations Suite</v>
      </c>
      <c r="S1067" t="str">
        <f>IFERROR(VLOOKUP(F1067,Lookups!$D$5:$F$10,3,FALSE),"Unknown")</f>
        <v>Revenue Ops</v>
      </c>
      <c r="T1067" t="str">
        <f t="shared" si="176"/>
        <v>Mid-Market</v>
      </c>
      <c r="U1067" t="str">
        <f t="shared" si="177"/>
        <v>Lost</v>
      </c>
      <c r="V1067" s="3">
        <f t="shared" si="178"/>
        <v>0</v>
      </c>
      <c r="W1067" s="3">
        <f t="shared" si="179"/>
        <v>0</v>
      </c>
      <c r="X1067" s="5">
        <f t="shared" si="180"/>
        <v>39</v>
      </c>
      <c r="Y1067" s="5">
        <f>IF(U1067="Open",Lookups!$B$2-B1067,X1067)</f>
        <v>39</v>
      </c>
      <c r="Z1067" t="str">
        <f t="shared" si="181"/>
        <v>OK</v>
      </c>
      <c r="AA1067" t="str">
        <f t="shared" si="182"/>
        <v>2025-11</v>
      </c>
      <c r="AB1067" t="str">
        <f t="shared" si="183"/>
        <v>2025-12</v>
      </c>
      <c r="AC1067" t="str">
        <f t="shared" si="184"/>
        <v>Q4-2025</v>
      </c>
      <c r="AD1067" s="5">
        <f t="shared" si="185"/>
        <v>51</v>
      </c>
      <c r="AE1067" t="str">
        <f t="shared" si="186"/>
        <v>Lost</v>
      </c>
    </row>
    <row r="1068" spans="1:31">
      <c r="A1068" t="s">
        <v>1170</v>
      </c>
      <c r="B1068" s="1">
        <v>45952</v>
      </c>
      <c r="C1068" t="s">
        <v>64</v>
      </c>
      <c r="D1068" t="s">
        <v>57</v>
      </c>
      <c r="E1068" t="s">
        <v>138</v>
      </c>
      <c r="F1068" t="s">
        <v>71</v>
      </c>
      <c r="G1068" t="s">
        <v>46</v>
      </c>
      <c r="H1068" t="s">
        <v>53</v>
      </c>
      <c r="I1068" t="s">
        <v>61</v>
      </c>
      <c r="J1068" s="1">
        <v>46015</v>
      </c>
      <c r="K1068" s="1">
        <v>46015</v>
      </c>
      <c r="L1068" s="3">
        <v>29200</v>
      </c>
      <c r="M1068" s="4">
        <v>0</v>
      </c>
      <c r="N1068" s="4">
        <v>0</v>
      </c>
      <c r="O1068" t="s">
        <v>79</v>
      </c>
      <c r="P1068">
        <v>2</v>
      </c>
      <c r="Q1068" t="str">
        <f>IFERROR(VLOOKUP(E1068,Lookups!$A$5:$B$24,2,FALSE),"Other")</f>
        <v>Organic Search</v>
      </c>
      <c r="R1068" t="str">
        <f>IFERROR(VLOOKUP(F1068,Lookups!$D$5:$F$10,2,FALSE),"Unknown Product")</f>
        <v>Marketing Automation</v>
      </c>
      <c r="S1068" t="str">
        <f>IFERROR(VLOOKUP(F1068,Lookups!$D$5:$F$10,3,FALSE),"Unknown")</f>
        <v>Marketing</v>
      </c>
      <c r="T1068" t="str">
        <f t="shared" si="176"/>
        <v>Mid-Market</v>
      </c>
      <c r="U1068" t="str">
        <f t="shared" si="177"/>
        <v>Lost</v>
      </c>
      <c r="V1068" s="3">
        <f t="shared" si="178"/>
        <v>0</v>
      </c>
      <c r="W1068" s="3">
        <f t="shared" si="179"/>
        <v>0</v>
      </c>
      <c r="X1068" s="5">
        <f t="shared" si="180"/>
        <v>63</v>
      </c>
      <c r="Y1068" s="5">
        <f>IF(U1068="Open",Lookups!$B$2-B1068,X1068)</f>
        <v>63</v>
      </c>
      <c r="Z1068" t="str">
        <f t="shared" si="181"/>
        <v>OK</v>
      </c>
      <c r="AA1068" t="str">
        <f t="shared" si="182"/>
        <v>2025-10</v>
      </c>
      <c r="AB1068" t="str">
        <f t="shared" si="183"/>
        <v>2025-12</v>
      </c>
      <c r="AC1068" t="str">
        <f t="shared" si="184"/>
        <v>Q4-2025</v>
      </c>
      <c r="AD1068" s="5">
        <f t="shared" si="185"/>
        <v>65</v>
      </c>
      <c r="AE1068" t="str">
        <f t="shared" si="186"/>
        <v>Lost</v>
      </c>
    </row>
    <row r="1069" spans="1:31">
      <c r="A1069" t="s">
        <v>1171</v>
      </c>
      <c r="B1069" s="1">
        <v>46101</v>
      </c>
      <c r="C1069" t="s">
        <v>69</v>
      </c>
      <c r="D1069" t="s">
        <v>57</v>
      </c>
      <c r="E1069" t="s">
        <v>127</v>
      </c>
      <c r="F1069" t="s">
        <v>71</v>
      </c>
      <c r="G1069" t="s">
        <v>46</v>
      </c>
      <c r="H1069" t="s">
        <v>84</v>
      </c>
      <c r="I1069" t="s">
        <v>61</v>
      </c>
      <c r="J1069" s="1">
        <v>46161</v>
      </c>
      <c r="K1069" s="1">
        <v>46161</v>
      </c>
      <c r="L1069" s="3">
        <v>34900</v>
      </c>
      <c r="M1069" s="4">
        <v>0</v>
      </c>
      <c r="N1069" s="4">
        <v>0</v>
      </c>
      <c r="O1069" t="s">
        <v>102</v>
      </c>
      <c r="P1069">
        <v>5</v>
      </c>
      <c r="Q1069" t="str">
        <f>IFERROR(VLOOKUP(E1069,Lookups!$A$5:$B$24,2,FALSE),"Other")</f>
        <v>Paid Search</v>
      </c>
      <c r="R1069" t="str">
        <f>IFERROR(VLOOKUP(F1069,Lookups!$D$5:$F$10,2,FALSE),"Unknown Product")</f>
        <v>Marketing Automation</v>
      </c>
      <c r="S1069" t="str">
        <f>IFERROR(VLOOKUP(F1069,Lookups!$D$5:$F$10,3,FALSE),"Unknown")</f>
        <v>Marketing</v>
      </c>
      <c r="T1069" t="str">
        <f t="shared" si="176"/>
        <v>Mid-Market</v>
      </c>
      <c r="U1069" t="str">
        <f t="shared" si="177"/>
        <v>Lost</v>
      </c>
      <c r="V1069" s="3">
        <f t="shared" si="178"/>
        <v>0</v>
      </c>
      <c r="W1069" s="3">
        <f t="shared" si="179"/>
        <v>0</v>
      </c>
      <c r="X1069" s="5">
        <f t="shared" si="180"/>
        <v>60</v>
      </c>
      <c r="Y1069" s="5">
        <f>IF(U1069="Open",Lookups!$B$2-B1069,X1069)</f>
        <v>60</v>
      </c>
      <c r="Z1069" t="str">
        <f t="shared" si="181"/>
        <v>OK</v>
      </c>
      <c r="AA1069" t="str">
        <f t="shared" si="182"/>
        <v>2026-03</v>
      </c>
      <c r="AB1069" t="str">
        <f t="shared" si="183"/>
        <v>2026-05</v>
      </c>
      <c r="AC1069" t="str">
        <f t="shared" si="184"/>
        <v>Q1-2026</v>
      </c>
      <c r="AD1069" s="5">
        <f t="shared" si="185"/>
        <v>67</v>
      </c>
      <c r="AE1069" t="str">
        <f t="shared" si="186"/>
        <v>Lost</v>
      </c>
    </row>
    <row r="1070" spans="1:31">
      <c r="A1070" t="s">
        <v>1172</v>
      </c>
      <c r="B1070" s="1">
        <v>46191</v>
      </c>
      <c r="C1070" t="s">
        <v>42</v>
      </c>
      <c r="D1070" t="s">
        <v>43</v>
      </c>
      <c r="E1070" t="s">
        <v>65</v>
      </c>
      <c r="F1070" t="s">
        <v>45</v>
      </c>
      <c r="G1070" t="s">
        <v>60</v>
      </c>
      <c r="H1070" t="s">
        <v>53</v>
      </c>
      <c r="I1070" t="s">
        <v>61</v>
      </c>
      <c r="J1070" s="1">
        <v>46254</v>
      </c>
      <c r="K1070" s="1">
        <v>46254</v>
      </c>
      <c r="L1070" s="3">
        <v>47400</v>
      </c>
      <c r="M1070" s="4">
        <v>0</v>
      </c>
      <c r="N1070" s="4">
        <v>0</v>
      </c>
      <c r="O1070" t="s">
        <v>81</v>
      </c>
      <c r="P1070">
        <v>4</v>
      </c>
      <c r="Q1070" t="str">
        <f>IFERROR(VLOOKUP(E1070,Lookups!$A$5:$B$24,2,FALSE),"Other")</f>
        <v>Paid Search</v>
      </c>
      <c r="R1070" t="str">
        <f>IFERROR(VLOOKUP(F1070,Lookups!$D$5:$F$10,2,FALSE),"Unknown Product")</f>
        <v>Service Cloud</v>
      </c>
      <c r="S1070" t="str">
        <f>IFERROR(VLOOKUP(F1070,Lookups!$D$5:$F$10,3,FALSE),"Unknown")</f>
        <v>Customer Service</v>
      </c>
      <c r="T1070" t="str">
        <f t="shared" si="176"/>
        <v>Mid-Market</v>
      </c>
      <c r="U1070" t="str">
        <f t="shared" si="177"/>
        <v>Lost</v>
      </c>
      <c r="V1070" s="3">
        <f t="shared" si="178"/>
        <v>0</v>
      </c>
      <c r="W1070" s="3">
        <f t="shared" si="179"/>
        <v>0</v>
      </c>
      <c r="X1070" s="5">
        <f t="shared" si="180"/>
        <v>63</v>
      </c>
      <c r="Y1070" s="5">
        <f>IF(U1070="Open",Lookups!$B$2-B1070,X1070)</f>
        <v>63</v>
      </c>
      <c r="Z1070" t="str">
        <f t="shared" si="181"/>
        <v>OK</v>
      </c>
      <c r="AA1070" t="str">
        <f t="shared" si="182"/>
        <v>2026-06</v>
      </c>
      <c r="AB1070" t="str">
        <f t="shared" si="183"/>
        <v>2026-08</v>
      </c>
      <c r="AC1070" t="str">
        <f t="shared" si="184"/>
        <v>Q2-2026</v>
      </c>
      <c r="AD1070" s="5">
        <f t="shared" si="185"/>
        <v>59</v>
      </c>
      <c r="AE1070" t="str">
        <f t="shared" si="186"/>
        <v>Lost</v>
      </c>
    </row>
    <row r="1071" spans="1:31">
      <c r="A1071" t="s">
        <v>1173</v>
      </c>
      <c r="B1071" s="1">
        <v>45989</v>
      </c>
      <c r="C1071" t="s">
        <v>56</v>
      </c>
      <c r="D1071" t="s">
        <v>57</v>
      </c>
      <c r="E1071" t="s">
        <v>83</v>
      </c>
      <c r="F1071" t="s">
        <v>59</v>
      </c>
      <c r="G1071" t="s">
        <v>76</v>
      </c>
      <c r="H1071" t="s">
        <v>47</v>
      </c>
      <c r="I1071" t="s">
        <v>61</v>
      </c>
      <c r="J1071" s="1">
        <v>46024</v>
      </c>
      <c r="K1071" s="1">
        <v>46024</v>
      </c>
      <c r="L1071" s="3">
        <v>21300</v>
      </c>
      <c r="M1071" s="4">
        <v>0</v>
      </c>
      <c r="N1071" s="4">
        <v>0</v>
      </c>
      <c r="O1071" t="s">
        <v>79</v>
      </c>
      <c r="P1071">
        <v>2</v>
      </c>
      <c r="Q1071" t="str">
        <f>IFERROR(VLOOKUP(E1071,Lookups!$A$5:$B$24,2,FALSE),"Other")</f>
        <v>Organic Search</v>
      </c>
      <c r="R1071" t="str">
        <f>IFERROR(VLOOKUP(F1071,Lookups!$D$5:$F$10,2,FALSE),"Unknown Product")</f>
        <v>NexaCRM Pro</v>
      </c>
      <c r="S1071" t="str">
        <f>IFERROR(VLOOKUP(F1071,Lookups!$D$5:$F$10,3,FALSE),"Unknown")</f>
        <v>CRM</v>
      </c>
      <c r="T1071" t="str">
        <f t="shared" si="176"/>
        <v>Mid-Market</v>
      </c>
      <c r="U1071" t="str">
        <f t="shared" si="177"/>
        <v>Lost</v>
      </c>
      <c r="V1071" s="3">
        <f t="shared" si="178"/>
        <v>0</v>
      </c>
      <c r="W1071" s="3">
        <f t="shared" si="179"/>
        <v>0</v>
      </c>
      <c r="X1071" s="5">
        <f t="shared" si="180"/>
        <v>35</v>
      </c>
      <c r="Y1071" s="5">
        <f>IF(U1071="Open",Lookups!$B$2-B1071,X1071)</f>
        <v>35</v>
      </c>
      <c r="Z1071" t="str">
        <f t="shared" si="181"/>
        <v>OK</v>
      </c>
      <c r="AA1071" t="str">
        <f t="shared" si="182"/>
        <v>2025-11</v>
      </c>
      <c r="AB1071" t="str">
        <f t="shared" si="183"/>
        <v>2026-01</v>
      </c>
      <c r="AC1071" t="str">
        <f t="shared" si="184"/>
        <v>Q4-2025</v>
      </c>
      <c r="AD1071" s="5">
        <f t="shared" si="185"/>
        <v>57</v>
      </c>
      <c r="AE1071" t="str">
        <f t="shared" si="186"/>
        <v>Lost</v>
      </c>
    </row>
    <row r="1072" spans="1:31">
      <c r="A1072" t="s">
        <v>1174</v>
      </c>
      <c r="B1072" s="1">
        <v>45817</v>
      </c>
      <c r="C1072" t="s">
        <v>90</v>
      </c>
      <c r="D1072" t="s">
        <v>57</v>
      </c>
      <c r="E1072" t="s">
        <v>127</v>
      </c>
      <c r="F1072" t="s">
        <v>71</v>
      </c>
      <c r="G1072" t="s">
        <v>60</v>
      </c>
      <c r="H1072" t="s">
        <v>53</v>
      </c>
      <c r="I1072" t="s">
        <v>61</v>
      </c>
      <c r="J1072" s="1">
        <v>45848</v>
      </c>
      <c r="K1072" s="1">
        <v>45848</v>
      </c>
      <c r="L1072" s="3">
        <v>24200</v>
      </c>
      <c r="M1072" s="4">
        <v>0</v>
      </c>
      <c r="N1072" s="4">
        <v>0</v>
      </c>
      <c r="O1072" t="s">
        <v>116</v>
      </c>
      <c r="P1072">
        <v>3</v>
      </c>
      <c r="Q1072" t="str">
        <f>IFERROR(VLOOKUP(E1072,Lookups!$A$5:$B$24,2,FALSE),"Other")</f>
        <v>Paid Search</v>
      </c>
      <c r="R1072" t="str">
        <f>IFERROR(VLOOKUP(F1072,Lookups!$D$5:$F$10,2,FALSE),"Unknown Product")</f>
        <v>Marketing Automation</v>
      </c>
      <c r="S1072" t="str">
        <f>IFERROR(VLOOKUP(F1072,Lookups!$D$5:$F$10,3,FALSE),"Unknown")</f>
        <v>Marketing</v>
      </c>
      <c r="T1072" t="str">
        <f t="shared" si="176"/>
        <v>Mid-Market</v>
      </c>
      <c r="U1072" t="str">
        <f t="shared" si="177"/>
        <v>Lost</v>
      </c>
      <c r="V1072" s="3">
        <f t="shared" si="178"/>
        <v>0</v>
      </c>
      <c r="W1072" s="3">
        <f t="shared" si="179"/>
        <v>0</v>
      </c>
      <c r="X1072" s="5">
        <f t="shared" si="180"/>
        <v>31</v>
      </c>
      <c r="Y1072" s="5">
        <f>IF(U1072="Open",Lookups!$B$2-B1072,X1072)</f>
        <v>31</v>
      </c>
      <c r="Z1072" t="str">
        <f t="shared" si="181"/>
        <v>OK</v>
      </c>
      <c r="AA1072" t="str">
        <f t="shared" si="182"/>
        <v>2025-06</v>
      </c>
      <c r="AB1072" t="str">
        <f t="shared" si="183"/>
        <v>2025-07</v>
      </c>
      <c r="AC1072" t="str">
        <f t="shared" si="184"/>
        <v>Q2-2025</v>
      </c>
      <c r="AD1072" s="5">
        <f t="shared" si="185"/>
        <v>59</v>
      </c>
      <c r="AE1072" t="str">
        <f t="shared" si="186"/>
        <v>Lost</v>
      </c>
    </row>
    <row r="1073" spans="1:31">
      <c r="A1073" t="s">
        <v>1175</v>
      </c>
      <c r="B1073" s="1">
        <v>46167</v>
      </c>
      <c r="C1073" t="s">
        <v>90</v>
      </c>
      <c r="D1073" t="s">
        <v>57</v>
      </c>
      <c r="E1073" t="s">
        <v>119</v>
      </c>
      <c r="F1073" t="s">
        <v>45</v>
      </c>
      <c r="G1073" t="s">
        <v>72</v>
      </c>
      <c r="H1073" t="s">
        <v>84</v>
      </c>
      <c r="I1073" t="s">
        <v>61</v>
      </c>
      <c r="J1073" s="1">
        <v>46183</v>
      </c>
      <c r="K1073" s="1">
        <v>46183</v>
      </c>
      <c r="L1073" s="3">
        <v>44300</v>
      </c>
      <c r="M1073" s="4">
        <v>0</v>
      </c>
      <c r="N1073" s="4">
        <v>0</v>
      </c>
      <c r="O1073" t="s">
        <v>81</v>
      </c>
      <c r="P1073">
        <v>2</v>
      </c>
      <c r="Q1073" t="str">
        <f>IFERROR(VLOOKUP(E1073,Lookups!$A$5:$B$24,2,FALSE),"Other")</f>
        <v>Referral</v>
      </c>
      <c r="R1073" t="str">
        <f>IFERROR(VLOOKUP(F1073,Lookups!$D$5:$F$10,2,FALSE),"Unknown Product")</f>
        <v>Service Cloud</v>
      </c>
      <c r="S1073" t="str">
        <f>IFERROR(VLOOKUP(F1073,Lookups!$D$5:$F$10,3,FALSE),"Unknown")</f>
        <v>Customer Service</v>
      </c>
      <c r="T1073" t="str">
        <f t="shared" si="176"/>
        <v>Mid-Market</v>
      </c>
      <c r="U1073" t="str">
        <f t="shared" si="177"/>
        <v>Lost</v>
      </c>
      <c r="V1073" s="3">
        <f t="shared" si="178"/>
        <v>0</v>
      </c>
      <c r="W1073" s="3">
        <f t="shared" si="179"/>
        <v>0</v>
      </c>
      <c r="X1073" s="5">
        <f t="shared" si="180"/>
        <v>16</v>
      </c>
      <c r="Y1073" s="5">
        <f>IF(U1073="Open",Lookups!$B$2-B1073,X1073)</f>
        <v>16</v>
      </c>
      <c r="Z1073" t="str">
        <f t="shared" si="181"/>
        <v>OK</v>
      </c>
      <c r="AA1073" t="str">
        <f t="shared" si="182"/>
        <v>2026-05</v>
      </c>
      <c r="AB1073" t="str">
        <f t="shared" si="183"/>
        <v>2026-06</v>
      </c>
      <c r="AC1073" t="str">
        <f t="shared" si="184"/>
        <v>Q2-2026</v>
      </c>
      <c r="AD1073" s="5">
        <f t="shared" si="185"/>
        <v>78</v>
      </c>
      <c r="AE1073" t="str">
        <f t="shared" si="186"/>
        <v>Lost</v>
      </c>
    </row>
    <row r="1074" spans="1:31">
      <c r="A1074" t="s">
        <v>1176</v>
      </c>
      <c r="B1074" s="1">
        <v>45958</v>
      </c>
      <c r="C1074" t="s">
        <v>90</v>
      </c>
      <c r="D1074" t="s">
        <v>57</v>
      </c>
      <c r="E1074" t="s">
        <v>123</v>
      </c>
      <c r="F1074" t="s">
        <v>45</v>
      </c>
      <c r="G1074" t="s">
        <v>46</v>
      </c>
      <c r="H1074" t="s">
        <v>84</v>
      </c>
      <c r="I1074" t="s">
        <v>77</v>
      </c>
      <c r="J1074" s="1">
        <v>45995</v>
      </c>
      <c r="K1074" s="1">
        <v>45995</v>
      </c>
      <c r="L1074" s="3">
        <v>86400</v>
      </c>
      <c r="M1074" s="4">
        <v>0.08</v>
      </c>
      <c r="N1074" s="4">
        <v>1</v>
      </c>
      <c r="P1074">
        <v>6</v>
      </c>
      <c r="Q1074" t="str">
        <f>IFERROR(VLOOKUP(E1074,Lookups!$A$5:$B$24,2,FALSE),"Other")</f>
        <v>Email</v>
      </c>
      <c r="R1074" t="str">
        <f>IFERROR(VLOOKUP(F1074,Lookups!$D$5:$F$10,2,FALSE),"Unknown Product")</f>
        <v>Service Cloud</v>
      </c>
      <c r="S1074" t="str">
        <f>IFERROR(VLOOKUP(F1074,Lookups!$D$5:$F$10,3,FALSE),"Unknown")</f>
        <v>Customer Service</v>
      </c>
      <c r="T1074" t="str">
        <f t="shared" si="176"/>
        <v>Enterprise</v>
      </c>
      <c r="U1074" t="str">
        <f t="shared" si="177"/>
        <v>Won</v>
      </c>
      <c r="V1074" s="3">
        <f t="shared" si="178"/>
        <v>79488</v>
      </c>
      <c r="W1074" s="3">
        <f t="shared" si="179"/>
        <v>0</v>
      </c>
      <c r="X1074" s="5">
        <f t="shared" si="180"/>
        <v>37</v>
      </c>
      <c r="Y1074" s="5">
        <f>IF(U1074="Open",Lookups!$B$2-B1074,X1074)</f>
        <v>37</v>
      </c>
      <c r="Z1074" t="str">
        <f t="shared" si="181"/>
        <v>OK</v>
      </c>
      <c r="AA1074" t="str">
        <f t="shared" si="182"/>
        <v>2025-10</v>
      </c>
      <c r="AB1074" t="str">
        <f t="shared" si="183"/>
        <v>2025-12</v>
      </c>
      <c r="AC1074" t="str">
        <f t="shared" si="184"/>
        <v>Q4-2025</v>
      </c>
      <c r="AD1074" s="5">
        <f t="shared" si="185"/>
        <v>78</v>
      </c>
      <c r="AE1074" t="str">
        <f t="shared" si="186"/>
        <v>Won</v>
      </c>
    </row>
    <row r="1075" spans="1:31">
      <c r="A1075" t="s">
        <v>1177</v>
      </c>
      <c r="B1075" s="1">
        <v>46003</v>
      </c>
      <c r="C1075" t="s">
        <v>86</v>
      </c>
      <c r="D1075" t="s">
        <v>87</v>
      </c>
      <c r="E1075" t="s">
        <v>115</v>
      </c>
      <c r="F1075" t="s">
        <v>59</v>
      </c>
      <c r="G1075" t="s">
        <v>112</v>
      </c>
      <c r="H1075" t="s">
        <v>47</v>
      </c>
      <c r="I1075" t="s">
        <v>61</v>
      </c>
      <c r="J1075" s="1">
        <v>46054</v>
      </c>
      <c r="K1075" s="1">
        <v>46054</v>
      </c>
      <c r="L1075" s="3">
        <v>18700</v>
      </c>
      <c r="M1075" s="4">
        <v>0</v>
      </c>
      <c r="N1075" s="4">
        <v>0</v>
      </c>
      <c r="O1075" t="s">
        <v>81</v>
      </c>
      <c r="P1075">
        <v>4</v>
      </c>
      <c r="Q1075" t="str">
        <f>IFERROR(VLOOKUP(E1075,Lookups!$A$5:$B$24,2,FALSE),"Other")</f>
        <v>Outbound</v>
      </c>
      <c r="R1075" t="str">
        <f>IFERROR(VLOOKUP(F1075,Lookups!$D$5:$F$10,2,FALSE),"Unknown Product")</f>
        <v>NexaCRM Pro</v>
      </c>
      <c r="S1075" t="str">
        <f>IFERROR(VLOOKUP(F1075,Lookups!$D$5:$F$10,3,FALSE),"Unknown")</f>
        <v>CRM</v>
      </c>
      <c r="T1075" t="str">
        <f t="shared" si="176"/>
        <v>SMB</v>
      </c>
      <c r="U1075" t="str">
        <f t="shared" si="177"/>
        <v>Lost</v>
      </c>
      <c r="V1075" s="3">
        <f t="shared" si="178"/>
        <v>0</v>
      </c>
      <c r="W1075" s="3">
        <f t="shared" si="179"/>
        <v>0</v>
      </c>
      <c r="X1075" s="5">
        <f t="shared" si="180"/>
        <v>51</v>
      </c>
      <c r="Y1075" s="5">
        <f>IF(U1075="Open",Lookups!$B$2-B1075,X1075)</f>
        <v>51</v>
      </c>
      <c r="Z1075" t="str">
        <f t="shared" si="181"/>
        <v>OK</v>
      </c>
      <c r="AA1075" t="str">
        <f t="shared" si="182"/>
        <v>2025-12</v>
      </c>
      <c r="AB1075" t="str">
        <f t="shared" si="183"/>
        <v>2026-02</v>
      </c>
      <c r="AC1075" t="str">
        <f t="shared" si="184"/>
        <v>Q4-2025</v>
      </c>
      <c r="AD1075" s="5">
        <f t="shared" si="185"/>
        <v>48</v>
      </c>
      <c r="AE1075" t="str">
        <f t="shared" si="186"/>
        <v>Lost</v>
      </c>
    </row>
    <row r="1076" spans="1:31">
      <c r="A1076" t="s">
        <v>1178</v>
      </c>
      <c r="B1076" s="1">
        <v>46154</v>
      </c>
      <c r="C1076" t="s">
        <v>69</v>
      </c>
      <c r="D1076" t="s">
        <v>57</v>
      </c>
      <c r="E1076" t="s">
        <v>109</v>
      </c>
      <c r="F1076" t="s">
        <v>45</v>
      </c>
      <c r="G1076" t="s">
        <v>76</v>
      </c>
      <c r="H1076" t="s">
        <v>53</v>
      </c>
      <c r="I1076" t="s">
        <v>61</v>
      </c>
      <c r="J1076" s="1">
        <v>46198</v>
      </c>
      <c r="K1076" s="1">
        <v>46198</v>
      </c>
      <c r="L1076" s="3">
        <v>24100</v>
      </c>
      <c r="M1076" s="4">
        <v>0</v>
      </c>
      <c r="N1076" s="4">
        <v>0</v>
      </c>
      <c r="O1076" t="s">
        <v>102</v>
      </c>
      <c r="P1076">
        <v>2</v>
      </c>
      <c r="Q1076" t="str">
        <f>IFERROR(VLOOKUP(E1076,Lookups!$A$5:$B$24,2,FALSE),"Other")</f>
        <v>Outbound</v>
      </c>
      <c r="R1076" t="str">
        <f>IFERROR(VLOOKUP(F1076,Lookups!$D$5:$F$10,2,FALSE),"Unknown Product")</f>
        <v>Service Cloud</v>
      </c>
      <c r="S1076" t="str">
        <f>IFERROR(VLOOKUP(F1076,Lookups!$D$5:$F$10,3,FALSE),"Unknown")</f>
        <v>Customer Service</v>
      </c>
      <c r="T1076" t="str">
        <f t="shared" si="176"/>
        <v>Mid-Market</v>
      </c>
      <c r="U1076" t="str">
        <f t="shared" si="177"/>
        <v>Lost</v>
      </c>
      <c r="V1076" s="3">
        <f t="shared" si="178"/>
        <v>0</v>
      </c>
      <c r="W1076" s="3">
        <f t="shared" si="179"/>
        <v>0</v>
      </c>
      <c r="X1076" s="5">
        <f t="shared" si="180"/>
        <v>44</v>
      </c>
      <c r="Y1076" s="5">
        <f>IF(U1076="Open",Lookups!$B$2-B1076,X1076)</f>
        <v>44</v>
      </c>
      <c r="Z1076" t="str">
        <f t="shared" si="181"/>
        <v>OK</v>
      </c>
      <c r="AA1076" t="str">
        <f t="shared" si="182"/>
        <v>2026-05</v>
      </c>
      <c r="AB1076" t="str">
        <f t="shared" si="183"/>
        <v>2026-06</v>
      </c>
      <c r="AC1076" t="str">
        <f t="shared" si="184"/>
        <v>Q2-2026</v>
      </c>
      <c r="AD1076" s="5">
        <f t="shared" si="185"/>
        <v>59</v>
      </c>
      <c r="AE1076" t="str">
        <f t="shared" si="186"/>
        <v>Lost</v>
      </c>
    </row>
    <row r="1077" spans="1:31">
      <c r="A1077" t="s">
        <v>1179</v>
      </c>
      <c r="B1077" s="1">
        <v>46123</v>
      </c>
      <c r="C1077" t="s">
        <v>50</v>
      </c>
      <c r="D1077" t="s">
        <v>43</v>
      </c>
      <c r="E1077" t="s">
        <v>160</v>
      </c>
      <c r="F1077" t="s">
        <v>59</v>
      </c>
      <c r="G1077" t="s">
        <v>46</v>
      </c>
      <c r="H1077" t="s">
        <v>47</v>
      </c>
      <c r="I1077" t="s">
        <v>77</v>
      </c>
      <c r="J1077" s="1">
        <v>46204</v>
      </c>
      <c r="K1077" s="1">
        <v>46204</v>
      </c>
      <c r="L1077" s="3">
        <v>13100</v>
      </c>
      <c r="M1077" s="4">
        <v>0.03</v>
      </c>
      <c r="N1077" s="4">
        <v>1</v>
      </c>
      <c r="P1077">
        <v>6</v>
      </c>
      <c r="Q1077" t="str">
        <f>IFERROR(VLOOKUP(E1077,Lookups!$A$5:$B$24,2,FALSE),"Other")</f>
        <v>Email</v>
      </c>
      <c r="R1077" t="str">
        <f>IFERROR(VLOOKUP(F1077,Lookups!$D$5:$F$10,2,FALSE),"Unknown Product")</f>
        <v>NexaCRM Pro</v>
      </c>
      <c r="S1077" t="str">
        <f>IFERROR(VLOOKUP(F1077,Lookups!$D$5:$F$10,3,FALSE),"Unknown")</f>
        <v>CRM</v>
      </c>
      <c r="T1077" t="str">
        <f t="shared" si="176"/>
        <v>SMB</v>
      </c>
      <c r="U1077" t="str">
        <f t="shared" si="177"/>
        <v>Won</v>
      </c>
      <c r="V1077" s="3">
        <f t="shared" si="178"/>
        <v>12707</v>
      </c>
      <c r="W1077" s="3">
        <f t="shared" si="179"/>
        <v>0</v>
      </c>
      <c r="X1077" s="5">
        <f t="shared" si="180"/>
        <v>81</v>
      </c>
      <c r="Y1077" s="5">
        <f>IF(U1077="Open",Lookups!$B$2-B1077,X1077)</f>
        <v>81</v>
      </c>
      <c r="Z1077" t="str">
        <f t="shared" si="181"/>
        <v>OK</v>
      </c>
      <c r="AA1077" t="str">
        <f t="shared" si="182"/>
        <v>2026-04</v>
      </c>
      <c r="AB1077" t="str">
        <f t="shared" si="183"/>
        <v>2026-07</v>
      </c>
      <c r="AC1077" t="str">
        <f t="shared" si="184"/>
        <v>Q2-2026</v>
      </c>
      <c r="AD1077" s="5">
        <f t="shared" si="185"/>
        <v>47</v>
      </c>
      <c r="AE1077" t="str">
        <f t="shared" si="186"/>
        <v>Won</v>
      </c>
    </row>
    <row r="1078" spans="1:31">
      <c r="A1078" t="s">
        <v>1180</v>
      </c>
      <c r="B1078" s="1">
        <v>46235</v>
      </c>
      <c r="C1078" t="s">
        <v>148</v>
      </c>
      <c r="D1078" t="s">
        <v>43</v>
      </c>
      <c r="E1078" t="s">
        <v>166</v>
      </c>
      <c r="F1078" t="s">
        <v>71</v>
      </c>
      <c r="G1078" t="s">
        <v>72</v>
      </c>
      <c r="H1078" t="s">
        <v>47</v>
      </c>
      <c r="I1078" t="s">
        <v>73</v>
      </c>
      <c r="J1078" s="1">
        <v>46247</v>
      </c>
      <c r="K1078" s="1"/>
      <c r="L1078" s="3">
        <v>19800</v>
      </c>
      <c r="M1078" s="4">
        <v>0</v>
      </c>
      <c r="N1078" s="4">
        <v>0.2</v>
      </c>
      <c r="P1078">
        <v>2</v>
      </c>
      <c r="Q1078" t="str">
        <f>IFERROR(VLOOKUP(E1078,Lookups!$A$5:$B$24,2,FALSE),"Other")</f>
        <v>Referral</v>
      </c>
      <c r="R1078" t="str">
        <f>IFERROR(VLOOKUP(F1078,Lookups!$D$5:$F$10,2,FALSE),"Unknown Product")</f>
        <v>Marketing Automation</v>
      </c>
      <c r="S1078" t="str">
        <f>IFERROR(VLOOKUP(F1078,Lookups!$D$5:$F$10,3,FALSE),"Unknown")</f>
        <v>Marketing</v>
      </c>
      <c r="T1078" t="str">
        <f t="shared" si="176"/>
        <v>SMB</v>
      </c>
      <c r="U1078" t="str">
        <f t="shared" si="177"/>
        <v>Open</v>
      </c>
      <c r="V1078" s="3">
        <f t="shared" si="178"/>
        <v>0</v>
      </c>
      <c r="W1078" s="3">
        <f t="shared" si="179"/>
        <v>3960</v>
      </c>
      <c r="X1078" s="5" t="str">
        <f t="shared" si="180"/>
        <v/>
      </c>
      <c r="Y1078" s="5">
        <f>IF(U1078="Open",Lookups!$B$2-B1078,X1078)</f>
        <v>31</v>
      </c>
      <c r="Z1078" t="str">
        <f t="shared" si="181"/>
        <v>STALE</v>
      </c>
      <c r="AA1078" t="str">
        <f t="shared" si="182"/>
        <v>2026-08</v>
      </c>
      <c r="AB1078" t="str">
        <f t="shared" si="183"/>
        <v/>
      </c>
      <c r="AC1078" t="str">
        <f t="shared" si="184"/>
        <v>Q3-2026</v>
      </c>
      <c r="AD1078" s="5">
        <f t="shared" si="185"/>
        <v>54</v>
      </c>
      <c r="AE1078" t="str">
        <f t="shared" si="186"/>
        <v>Pipeline</v>
      </c>
    </row>
    <row r="1079" spans="1:31">
      <c r="A1079" t="s">
        <v>1181</v>
      </c>
      <c r="B1079" s="1">
        <v>46187</v>
      </c>
      <c r="C1079" t="s">
        <v>42</v>
      </c>
      <c r="D1079" t="s">
        <v>43</v>
      </c>
      <c r="E1079" t="s">
        <v>132</v>
      </c>
      <c r="F1079" t="s">
        <v>59</v>
      </c>
      <c r="G1079" t="s">
        <v>76</v>
      </c>
      <c r="H1079" t="s">
        <v>47</v>
      </c>
      <c r="I1079" t="s">
        <v>105</v>
      </c>
      <c r="J1079" s="1">
        <v>46221</v>
      </c>
      <c r="K1079" s="1"/>
      <c r="L1079" s="3">
        <v>13100</v>
      </c>
      <c r="M1079" s="4">
        <v>0.05</v>
      </c>
      <c r="N1079" s="4">
        <v>0.4</v>
      </c>
      <c r="P1079">
        <v>3</v>
      </c>
      <c r="Q1079" t="str">
        <f>IFERROR(VLOOKUP(E1079,Lookups!$A$5:$B$24,2,FALSE),"Other")</f>
        <v>Other</v>
      </c>
      <c r="R1079" t="str">
        <f>IFERROR(VLOOKUP(F1079,Lookups!$D$5:$F$10,2,FALSE),"Unknown Product")</f>
        <v>NexaCRM Pro</v>
      </c>
      <c r="S1079" t="str">
        <f>IFERROR(VLOOKUP(F1079,Lookups!$D$5:$F$10,3,FALSE),"Unknown")</f>
        <v>CRM</v>
      </c>
      <c r="T1079" t="str">
        <f t="shared" si="176"/>
        <v>SMB</v>
      </c>
      <c r="U1079" t="str">
        <f t="shared" si="177"/>
        <v>Open</v>
      </c>
      <c r="V1079" s="3">
        <f t="shared" si="178"/>
        <v>0</v>
      </c>
      <c r="W1079" s="3">
        <f t="shared" si="179"/>
        <v>5240</v>
      </c>
      <c r="X1079" s="5" t="str">
        <f t="shared" si="180"/>
        <v/>
      </c>
      <c r="Y1079" s="5">
        <f>IF(U1079="Open",Lookups!$B$2-B1079,X1079)</f>
        <v>79</v>
      </c>
      <c r="Z1079" t="str">
        <f t="shared" si="181"/>
        <v>STALE</v>
      </c>
      <c r="AA1079" t="str">
        <f t="shared" si="182"/>
        <v>2026-06</v>
      </c>
      <c r="AB1079" t="str">
        <f t="shared" si="183"/>
        <v/>
      </c>
      <c r="AC1079" t="str">
        <f t="shared" si="184"/>
        <v>Q2-2026</v>
      </c>
      <c r="AD1079" s="5">
        <f t="shared" si="185"/>
        <v>43</v>
      </c>
      <c r="AE1079" t="str">
        <f t="shared" si="186"/>
        <v>Pipeline</v>
      </c>
    </row>
    <row r="1080" spans="1:31">
      <c r="A1080" t="s">
        <v>1182</v>
      </c>
      <c r="B1080" s="1">
        <v>45887</v>
      </c>
      <c r="C1080" t="s">
        <v>64</v>
      </c>
      <c r="D1080" t="s">
        <v>57</v>
      </c>
      <c r="E1080" t="s">
        <v>107</v>
      </c>
      <c r="F1080" t="s">
        <v>52</v>
      </c>
      <c r="G1080" t="s">
        <v>94</v>
      </c>
      <c r="H1080" t="s">
        <v>47</v>
      </c>
      <c r="I1080" t="s">
        <v>61</v>
      </c>
      <c r="J1080" s="1">
        <v>45913</v>
      </c>
      <c r="K1080" s="1">
        <v>45913</v>
      </c>
      <c r="L1080" s="3">
        <v>8500</v>
      </c>
      <c r="M1080" s="4">
        <v>0</v>
      </c>
      <c r="N1080" s="4">
        <v>0</v>
      </c>
      <c r="O1080" t="s">
        <v>62</v>
      </c>
      <c r="P1080">
        <v>4</v>
      </c>
      <c r="Q1080" t="str">
        <f>IFERROR(VLOOKUP(E1080,Lookups!$A$5:$B$24,2,FALSE),"Other")</f>
        <v>Referral</v>
      </c>
      <c r="R1080" t="str">
        <f>IFERROR(VLOOKUP(F1080,Lookups!$D$5:$F$10,2,FALSE),"Unknown Product")</f>
        <v>NexaCRM Core</v>
      </c>
      <c r="S1080" t="str">
        <f>IFERROR(VLOOKUP(F1080,Lookups!$D$5:$F$10,3,FALSE),"Unknown")</f>
        <v>CRM</v>
      </c>
      <c r="T1080" t="str">
        <f t="shared" si="176"/>
        <v>SMB</v>
      </c>
      <c r="U1080" t="str">
        <f t="shared" si="177"/>
        <v>Lost</v>
      </c>
      <c r="V1080" s="3">
        <f t="shared" si="178"/>
        <v>0</v>
      </c>
      <c r="W1080" s="3">
        <f t="shared" si="179"/>
        <v>0</v>
      </c>
      <c r="X1080" s="5">
        <f t="shared" si="180"/>
        <v>26</v>
      </c>
      <c r="Y1080" s="5">
        <f>IF(U1080="Open",Lookups!$B$2-B1080,X1080)</f>
        <v>26</v>
      </c>
      <c r="Z1080" t="str">
        <f t="shared" si="181"/>
        <v>OK</v>
      </c>
      <c r="AA1080" t="str">
        <f t="shared" si="182"/>
        <v>2025-08</v>
      </c>
      <c r="AB1080" t="str">
        <f t="shared" si="183"/>
        <v>2025-09</v>
      </c>
      <c r="AC1080" t="str">
        <f t="shared" si="184"/>
        <v>Q3-2025</v>
      </c>
      <c r="AD1080" s="5">
        <f t="shared" si="185"/>
        <v>54</v>
      </c>
      <c r="AE1080" t="str">
        <f t="shared" si="186"/>
        <v>Lost</v>
      </c>
    </row>
    <row r="1081" spans="1:31">
      <c r="A1081" t="s">
        <v>1183</v>
      </c>
      <c r="B1081" s="1">
        <v>46149</v>
      </c>
      <c r="C1081" t="s">
        <v>42</v>
      </c>
      <c r="D1081" t="s">
        <v>43</v>
      </c>
      <c r="E1081" t="s">
        <v>65</v>
      </c>
      <c r="F1081" t="s">
        <v>59</v>
      </c>
      <c r="G1081" t="s">
        <v>76</v>
      </c>
      <c r="H1081" t="s">
        <v>53</v>
      </c>
      <c r="I1081" t="s">
        <v>77</v>
      </c>
      <c r="J1081" s="1">
        <v>46181</v>
      </c>
      <c r="K1081" s="1">
        <v>46181</v>
      </c>
      <c r="L1081" s="3">
        <v>26700</v>
      </c>
      <c r="M1081" s="4">
        <v>0.03</v>
      </c>
      <c r="N1081" s="4">
        <v>1</v>
      </c>
      <c r="P1081">
        <v>6</v>
      </c>
      <c r="Q1081" t="str">
        <f>IFERROR(VLOOKUP(E1081,Lookups!$A$5:$B$24,2,FALSE),"Other")</f>
        <v>Paid Search</v>
      </c>
      <c r="R1081" t="str">
        <f>IFERROR(VLOOKUP(F1081,Lookups!$D$5:$F$10,2,FALSE),"Unknown Product")</f>
        <v>NexaCRM Pro</v>
      </c>
      <c r="S1081" t="str">
        <f>IFERROR(VLOOKUP(F1081,Lookups!$D$5:$F$10,3,FALSE),"Unknown")</f>
        <v>CRM</v>
      </c>
      <c r="T1081" t="str">
        <f t="shared" si="176"/>
        <v>Mid-Market</v>
      </c>
      <c r="U1081" t="str">
        <f t="shared" si="177"/>
        <v>Won</v>
      </c>
      <c r="V1081" s="3">
        <f t="shared" si="178"/>
        <v>25899</v>
      </c>
      <c r="W1081" s="3">
        <f t="shared" si="179"/>
        <v>0</v>
      </c>
      <c r="X1081" s="5">
        <f t="shared" si="180"/>
        <v>32</v>
      </c>
      <c r="Y1081" s="5">
        <f>IF(U1081="Open",Lookups!$B$2-B1081,X1081)</f>
        <v>32</v>
      </c>
      <c r="Z1081" t="str">
        <f t="shared" si="181"/>
        <v>OK</v>
      </c>
      <c r="AA1081" t="str">
        <f t="shared" si="182"/>
        <v>2026-05</v>
      </c>
      <c r="AB1081" t="str">
        <f t="shared" si="183"/>
        <v>2026-06</v>
      </c>
      <c r="AC1081" t="str">
        <f t="shared" si="184"/>
        <v>Q2-2026</v>
      </c>
      <c r="AD1081" s="5">
        <f t="shared" si="185"/>
        <v>59</v>
      </c>
      <c r="AE1081" t="str">
        <f t="shared" si="186"/>
        <v>Won</v>
      </c>
    </row>
    <row r="1082" spans="1:31">
      <c r="A1082" t="s">
        <v>1184</v>
      </c>
      <c r="B1082" s="1">
        <v>45982</v>
      </c>
      <c r="C1082" t="s">
        <v>90</v>
      </c>
      <c r="D1082" t="s">
        <v>57</v>
      </c>
      <c r="E1082" t="s">
        <v>58</v>
      </c>
      <c r="F1082" t="s">
        <v>52</v>
      </c>
      <c r="G1082" t="s">
        <v>99</v>
      </c>
      <c r="H1082" t="s">
        <v>47</v>
      </c>
      <c r="I1082" t="s">
        <v>77</v>
      </c>
      <c r="J1082" s="1">
        <v>46022</v>
      </c>
      <c r="K1082" s="1">
        <v>46022</v>
      </c>
      <c r="L1082" s="3">
        <v>7700</v>
      </c>
      <c r="M1082" s="4">
        <v>0.05</v>
      </c>
      <c r="N1082" s="4">
        <v>1</v>
      </c>
      <c r="P1082">
        <v>6</v>
      </c>
      <c r="Q1082" t="str">
        <f>IFERROR(VLOOKUP(E1082,Lookups!$A$5:$B$24,2,FALSE),"Other")</f>
        <v>Email</v>
      </c>
      <c r="R1082" t="str">
        <f>IFERROR(VLOOKUP(F1082,Lookups!$D$5:$F$10,2,FALSE),"Unknown Product")</f>
        <v>NexaCRM Core</v>
      </c>
      <c r="S1082" t="str">
        <f>IFERROR(VLOOKUP(F1082,Lookups!$D$5:$F$10,3,FALSE),"Unknown")</f>
        <v>CRM</v>
      </c>
      <c r="T1082" t="str">
        <f t="shared" si="176"/>
        <v>SMB</v>
      </c>
      <c r="U1082" t="str">
        <f t="shared" si="177"/>
        <v>Won</v>
      </c>
      <c r="V1082" s="3">
        <f t="shared" si="178"/>
        <v>7315</v>
      </c>
      <c r="W1082" s="3">
        <f t="shared" si="179"/>
        <v>0</v>
      </c>
      <c r="X1082" s="5">
        <f t="shared" si="180"/>
        <v>40</v>
      </c>
      <c r="Y1082" s="5">
        <f>IF(U1082="Open",Lookups!$B$2-B1082,X1082)</f>
        <v>40</v>
      </c>
      <c r="Z1082" t="str">
        <f t="shared" si="181"/>
        <v>OK</v>
      </c>
      <c r="AA1082" t="str">
        <f t="shared" si="182"/>
        <v>2025-11</v>
      </c>
      <c r="AB1082" t="str">
        <f t="shared" si="183"/>
        <v>2025-12</v>
      </c>
      <c r="AC1082" t="str">
        <f t="shared" si="184"/>
        <v>Q4-2025</v>
      </c>
      <c r="AD1082" s="5">
        <f t="shared" si="185"/>
        <v>47</v>
      </c>
      <c r="AE1082" t="str">
        <f t="shared" si="186"/>
        <v>Won</v>
      </c>
    </row>
    <row r="1083" spans="1:31">
      <c r="A1083" t="s">
        <v>1185</v>
      </c>
      <c r="B1083" s="1">
        <v>45848</v>
      </c>
      <c r="C1083" t="s">
        <v>50</v>
      </c>
      <c r="D1083" t="s">
        <v>43</v>
      </c>
      <c r="E1083" t="s">
        <v>146</v>
      </c>
      <c r="F1083" t="s">
        <v>71</v>
      </c>
      <c r="G1083" t="s">
        <v>46</v>
      </c>
      <c r="H1083" t="s">
        <v>47</v>
      </c>
      <c r="I1083" t="s">
        <v>77</v>
      </c>
      <c r="J1083" s="1">
        <v>45927</v>
      </c>
      <c r="K1083" s="1">
        <v>45927</v>
      </c>
      <c r="L1083" s="3">
        <v>18500</v>
      </c>
      <c r="M1083" s="4">
        <v>0.03</v>
      </c>
      <c r="N1083" s="4">
        <v>1</v>
      </c>
      <c r="P1083">
        <v>6</v>
      </c>
      <c r="Q1083" t="str">
        <f>IFERROR(VLOOKUP(E1083,Lookups!$A$5:$B$24,2,FALSE),"Other")</f>
        <v>LinkedIn</v>
      </c>
      <c r="R1083" t="str">
        <f>IFERROR(VLOOKUP(F1083,Lookups!$D$5:$F$10,2,FALSE),"Unknown Product")</f>
        <v>Marketing Automation</v>
      </c>
      <c r="S1083" t="str">
        <f>IFERROR(VLOOKUP(F1083,Lookups!$D$5:$F$10,3,FALSE),"Unknown")</f>
        <v>Marketing</v>
      </c>
      <c r="T1083" t="str">
        <f t="shared" si="176"/>
        <v>SMB</v>
      </c>
      <c r="U1083" t="str">
        <f t="shared" si="177"/>
        <v>Won</v>
      </c>
      <c r="V1083" s="3">
        <f t="shared" si="178"/>
        <v>17945</v>
      </c>
      <c r="W1083" s="3">
        <f t="shared" si="179"/>
        <v>0</v>
      </c>
      <c r="X1083" s="5">
        <f t="shared" si="180"/>
        <v>79</v>
      </c>
      <c r="Y1083" s="5">
        <f>IF(U1083="Open",Lookups!$B$2-B1083,X1083)</f>
        <v>79</v>
      </c>
      <c r="Z1083" t="str">
        <f t="shared" si="181"/>
        <v>OK</v>
      </c>
      <c r="AA1083" t="str">
        <f t="shared" si="182"/>
        <v>2025-07</v>
      </c>
      <c r="AB1083" t="str">
        <f t="shared" si="183"/>
        <v>2025-09</v>
      </c>
      <c r="AC1083" t="str">
        <f t="shared" si="184"/>
        <v>Q3-2025</v>
      </c>
      <c r="AD1083" s="5">
        <f t="shared" si="185"/>
        <v>43</v>
      </c>
      <c r="AE1083" t="str">
        <f t="shared" si="186"/>
        <v>Won</v>
      </c>
    </row>
    <row r="1084" spans="1:31">
      <c r="A1084" t="s">
        <v>1186</v>
      </c>
      <c r="B1084" s="1">
        <v>45718</v>
      </c>
      <c r="C1084" t="s">
        <v>69</v>
      </c>
      <c r="D1084" t="s">
        <v>57</v>
      </c>
      <c r="E1084" t="s">
        <v>51</v>
      </c>
      <c r="F1084" t="s">
        <v>71</v>
      </c>
      <c r="G1084" t="s">
        <v>99</v>
      </c>
      <c r="H1084" t="s">
        <v>53</v>
      </c>
      <c r="I1084" t="s">
        <v>61</v>
      </c>
      <c r="J1084" s="1">
        <v>45780</v>
      </c>
      <c r="K1084" s="1">
        <v>45780</v>
      </c>
      <c r="L1084" s="3">
        <v>26000</v>
      </c>
      <c r="M1084" s="4">
        <v>0</v>
      </c>
      <c r="N1084" s="4">
        <v>0</v>
      </c>
      <c r="O1084" t="s">
        <v>116</v>
      </c>
      <c r="P1084">
        <v>3</v>
      </c>
      <c r="Q1084" t="str">
        <f>IFERROR(VLOOKUP(E1084,Lookups!$A$5:$B$24,2,FALSE),"Other")</f>
        <v>Paid Search</v>
      </c>
      <c r="R1084" t="str">
        <f>IFERROR(VLOOKUP(F1084,Lookups!$D$5:$F$10,2,FALSE),"Unknown Product")</f>
        <v>Marketing Automation</v>
      </c>
      <c r="S1084" t="str">
        <f>IFERROR(VLOOKUP(F1084,Lookups!$D$5:$F$10,3,FALSE),"Unknown")</f>
        <v>Marketing</v>
      </c>
      <c r="T1084" t="str">
        <f t="shared" si="176"/>
        <v>Mid-Market</v>
      </c>
      <c r="U1084" t="str">
        <f t="shared" si="177"/>
        <v>Lost</v>
      </c>
      <c r="V1084" s="3">
        <f t="shared" si="178"/>
        <v>0</v>
      </c>
      <c r="W1084" s="3">
        <f t="shared" si="179"/>
        <v>0</v>
      </c>
      <c r="X1084" s="5">
        <f t="shared" si="180"/>
        <v>62</v>
      </c>
      <c r="Y1084" s="5">
        <f>IF(U1084="Open",Lookups!$B$2-B1084,X1084)</f>
        <v>62</v>
      </c>
      <c r="Z1084" t="str">
        <f t="shared" si="181"/>
        <v>OK</v>
      </c>
      <c r="AA1084" t="str">
        <f t="shared" si="182"/>
        <v>2025-03</v>
      </c>
      <c r="AB1084" t="str">
        <f t="shared" si="183"/>
        <v>2025-05</v>
      </c>
      <c r="AC1084" t="str">
        <f t="shared" si="184"/>
        <v>Q1-2025</v>
      </c>
      <c r="AD1084" s="5">
        <f t="shared" si="185"/>
        <v>59</v>
      </c>
      <c r="AE1084" t="str">
        <f t="shared" si="186"/>
        <v>Lost</v>
      </c>
    </row>
    <row r="1085" spans="1:31">
      <c r="A1085" t="s">
        <v>1187</v>
      </c>
      <c r="B1085" s="1">
        <v>46227</v>
      </c>
      <c r="C1085" t="s">
        <v>56</v>
      </c>
      <c r="D1085" t="s">
        <v>57</v>
      </c>
      <c r="E1085" t="s">
        <v>70</v>
      </c>
      <c r="F1085" t="s">
        <v>45</v>
      </c>
      <c r="G1085" t="s">
        <v>94</v>
      </c>
      <c r="H1085" t="s">
        <v>84</v>
      </c>
      <c r="I1085" t="s">
        <v>73</v>
      </c>
      <c r="J1085" s="1">
        <v>46245</v>
      </c>
      <c r="K1085" s="1"/>
      <c r="L1085" s="3">
        <v>68500</v>
      </c>
      <c r="M1085" s="4">
        <v>0.03</v>
      </c>
      <c r="N1085" s="4">
        <v>0.2</v>
      </c>
      <c r="P1085">
        <v>2</v>
      </c>
      <c r="Q1085" t="str">
        <f>IFERROR(VLOOKUP(E1085,Lookups!$A$5:$B$24,2,FALSE),"Other")</f>
        <v>LinkedIn</v>
      </c>
      <c r="R1085" t="str">
        <f>IFERROR(VLOOKUP(F1085,Lookups!$D$5:$F$10,2,FALSE),"Unknown Product")</f>
        <v>Service Cloud</v>
      </c>
      <c r="S1085" t="str">
        <f>IFERROR(VLOOKUP(F1085,Lookups!$D$5:$F$10,3,FALSE),"Unknown")</f>
        <v>Customer Service</v>
      </c>
      <c r="T1085" t="str">
        <f t="shared" si="176"/>
        <v>Enterprise</v>
      </c>
      <c r="U1085" t="str">
        <f t="shared" si="177"/>
        <v>Open</v>
      </c>
      <c r="V1085" s="3">
        <f t="shared" si="178"/>
        <v>0</v>
      </c>
      <c r="W1085" s="3">
        <f t="shared" si="179"/>
        <v>13700</v>
      </c>
      <c r="X1085" s="5" t="str">
        <f t="shared" si="180"/>
        <v/>
      </c>
      <c r="Y1085" s="5">
        <f>IF(U1085="Open",Lookups!$B$2-B1085,X1085)</f>
        <v>39</v>
      </c>
      <c r="Z1085" t="str">
        <f t="shared" si="181"/>
        <v>STALE</v>
      </c>
      <c r="AA1085" t="str">
        <f t="shared" si="182"/>
        <v>2026-07</v>
      </c>
      <c r="AB1085" t="str">
        <f t="shared" si="183"/>
        <v/>
      </c>
      <c r="AC1085" t="str">
        <f t="shared" si="184"/>
        <v>Q3-2026</v>
      </c>
      <c r="AD1085" s="5">
        <f t="shared" si="185"/>
        <v>74</v>
      </c>
      <c r="AE1085" t="str">
        <f t="shared" si="186"/>
        <v>Pipeline</v>
      </c>
    </row>
    <row r="1086" spans="1:31">
      <c r="A1086" t="s">
        <v>1188</v>
      </c>
      <c r="B1086" s="1">
        <v>45982</v>
      </c>
      <c r="C1086" t="s">
        <v>50</v>
      </c>
      <c r="D1086" t="s">
        <v>43</v>
      </c>
      <c r="E1086" t="s">
        <v>123</v>
      </c>
      <c r="F1086" t="s">
        <v>59</v>
      </c>
      <c r="G1086" t="s">
        <v>76</v>
      </c>
      <c r="H1086" t="s">
        <v>53</v>
      </c>
      <c r="I1086" t="s">
        <v>77</v>
      </c>
      <c r="J1086" s="1">
        <v>46035</v>
      </c>
      <c r="K1086" s="1">
        <v>46035</v>
      </c>
      <c r="L1086" s="3">
        <v>41200</v>
      </c>
      <c r="M1086" s="4">
        <v>0.03</v>
      </c>
      <c r="N1086" s="4">
        <v>1</v>
      </c>
      <c r="P1086">
        <v>6</v>
      </c>
      <c r="Q1086" t="str">
        <f>IFERROR(VLOOKUP(E1086,Lookups!$A$5:$B$24,2,FALSE),"Other")</f>
        <v>Email</v>
      </c>
      <c r="R1086" t="str">
        <f>IFERROR(VLOOKUP(F1086,Lookups!$D$5:$F$10,2,FALSE),"Unknown Product")</f>
        <v>NexaCRM Pro</v>
      </c>
      <c r="S1086" t="str">
        <f>IFERROR(VLOOKUP(F1086,Lookups!$D$5:$F$10,3,FALSE),"Unknown")</f>
        <v>CRM</v>
      </c>
      <c r="T1086" t="str">
        <f t="shared" si="176"/>
        <v>Mid-Market</v>
      </c>
      <c r="U1086" t="str">
        <f t="shared" si="177"/>
        <v>Won</v>
      </c>
      <c r="V1086" s="3">
        <f t="shared" si="178"/>
        <v>39964</v>
      </c>
      <c r="W1086" s="3">
        <f t="shared" si="179"/>
        <v>0</v>
      </c>
      <c r="X1086" s="5">
        <f t="shared" si="180"/>
        <v>53</v>
      </c>
      <c r="Y1086" s="5">
        <f>IF(U1086="Open",Lookups!$B$2-B1086,X1086)</f>
        <v>53</v>
      </c>
      <c r="Z1086" t="str">
        <f t="shared" si="181"/>
        <v>OK</v>
      </c>
      <c r="AA1086" t="str">
        <f t="shared" si="182"/>
        <v>2025-11</v>
      </c>
      <c r="AB1086" t="str">
        <f t="shared" si="183"/>
        <v>2026-01</v>
      </c>
      <c r="AC1086" t="str">
        <f t="shared" si="184"/>
        <v>Q4-2025</v>
      </c>
      <c r="AD1086" s="5">
        <f t="shared" si="185"/>
        <v>63</v>
      </c>
      <c r="AE1086" t="str">
        <f t="shared" si="186"/>
        <v>Won</v>
      </c>
    </row>
    <row r="1087" spans="1:31">
      <c r="A1087" t="s">
        <v>1189</v>
      </c>
      <c r="B1087" s="1">
        <v>46144</v>
      </c>
      <c r="C1087" t="s">
        <v>50</v>
      </c>
      <c r="D1087" t="s">
        <v>43</v>
      </c>
      <c r="E1087" t="s">
        <v>119</v>
      </c>
      <c r="F1087" t="s">
        <v>71</v>
      </c>
      <c r="G1087" t="s">
        <v>72</v>
      </c>
      <c r="H1087" t="s">
        <v>53</v>
      </c>
      <c r="I1087" t="s">
        <v>61</v>
      </c>
      <c r="J1087" s="1">
        <v>46199</v>
      </c>
      <c r="K1087" s="1">
        <v>46199</v>
      </c>
      <c r="L1087" s="3">
        <v>35200</v>
      </c>
      <c r="M1087" s="4">
        <v>0</v>
      </c>
      <c r="N1087" s="4">
        <v>0</v>
      </c>
      <c r="O1087" t="s">
        <v>81</v>
      </c>
      <c r="P1087">
        <v>3</v>
      </c>
      <c r="Q1087" t="str">
        <f>IFERROR(VLOOKUP(E1087,Lookups!$A$5:$B$24,2,FALSE),"Other")</f>
        <v>Referral</v>
      </c>
      <c r="R1087" t="str">
        <f>IFERROR(VLOOKUP(F1087,Lookups!$D$5:$F$10,2,FALSE),"Unknown Product")</f>
        <v>Marketing Automation</v>
      </c>
      <c r="S1087" t="str">
        <f>IFERROR(VLOOKUP(F1087,Lookups!$D$5:$F$10,3,FALSE),"Unknown")</f>
        <v>Marketing</v>
      </c>
      <c r="T1087" t="str">
        <f t="shared" si="176"/>
        <v>Mid-Market</v>
      </c>
      <c r="U1087" t="str">
        <f t="shared" si="177"/>
        <v>Lost</v>
      </c>
      <c r="V1087" s="3">
        <f t="shared" si="178"/>
        <v>0</v>
      </c>
      <c r="W1087" s="3">
        <f t="shared" si="179"/>
        <v>0</v>
      </c>
      <c r="X1087" s="5">
        <f t="shared" si="180"/>
        <v>55</v>
      </c>
      <c r="Y1087" s="5">
        <f>IF(U1087="Open",Lookups!$B$2-B1087,X1087)</f>
        <v>55</v>
      </c>
      <c r="Z1087" t="str">
        <f t="shared" si="181"/>
        <v>OK</v>
      </c>
      <c r="AA1087" t="str">
        <f t="shared" si="182"/>
        <v>2026-05</v>
      </c>
      <c r="AB1087" t="str">
        <f t="shared" si="183"/>
        <v>2026-06</v>
      </c>
      <c r="AC1087" t="str">
        <f t="shared" si="184"/>
        <v>Q2-2026</v>
      </c>
      <c r="AD1087" s="5">
        <f t="shared" si="185"/>
        <v>70</v>
      </c>
      <c r="AE1087" t="str">
        <f t="shared" si="186"/>
        <v>Lost</v>
      </c>
    </row>
    <row r="1088" spans="1:31">
      <c r="A1088" t="s">
        <v>1190</v>
      </c>
      <c r="B1088" s="1">
        <v>46242</v>
      </c>
      <c r="C1088" t="s">
        <v>86</v>
      </c>
      <c r="D1088" t="s">
        <v>87</v>
      </c>
      <c r="E1088" t="s">
        <v>138</v>
      </c>
      <c r="F1088" t="s">
        <v>71</v>
      </c>
      <c r="G1088" t="s">
        <v>72</v>
      </c>
      <c r="H1088" t="s">
        <v>53</v>
      </c>
      <c r="I1088" t="s">
        <v>61</v>
      </c>
      <c r="J1088" s="1">
        <v>46259</v>
      </c>
      <c r="K1088" s="1">
        <v>46259</v>
      </c>
      <c r="L1088" s="3">
        <v>19700</v>
      </c>
      <c r="M1088" s="4">
        <v>0</v>
      </c>
      <c r="N1088" s="4">
        <v>0</v>
      </c>
      <c r="O1088" t="s">
        <v>62</v>
      </c>
      <c r="P1088">
        <v>3</v>
      </c>
      <c r="Q1088" t="str">
        <f>IFERROR(VLOOKUP(E1088,Lookups!$A$5:$B$24,2,FALSE),"Other")</f>
        <v>Organic Search</v>
      </c>
      <c r="R1088" t="str">
        <f>IFERROR(VLOOKUP(F1088,Lookups!$D$5:$F$10,2,FALSE),"Unknown Product")</f>
        <v>Marketing Automation</v>
      </c>
      <c r="S1088" t="str">
        <f>IFERROR(VLOOKUP(F1088,Lookups!$D$5:$F$10,3,FALSE),"Unknown")</f>
        <v>Marketing</v>
      </c>
      <c r="T1088" t="str">
        <f t="shared" si="176"/>
        <v>SMB</v>
      </c>
      <c r="U1088" t="str">
        <f t="shared" si="177"/>
        <v>Lost</v>
      </c>
      <c r="V1088" s="3">
        <f t="shared" si="178"/>
        <v>0</v>
      </c>
      <c r="W1088" s="3">
        <f t="shared" si="179"/>
        <v>0</v>
      </c>
      <c r="X1088" s="5">
        <f t="shared" si="180"/>
        <v>17</v>
      </c>
      <c r="Y1088" s="5">
        <f>IF(U1088="Open",Lookups!$B$2-B1088,X1088)</f>
        <v>17</v>
      </c>
      <c r="Z1088" t="str">
        <f t="shared" si="181"/>
        <v>OK</v>
      </c>
      <c r="AA1088" t="str">
        <f t="shared" si="182"/>
        <v>2026-08</v>
      </c>
      <c r="AB1088" t="str">
        <f t="shared" si="183"/>
        <v>2026-08</v>
      </c>
      <c r="AC1088" t="str">
        <f t="shared" si="184"/>
        <v>Q3-2026</v>
      </c>
      <c r="AD1088" s="5">
        <f t="shared" si="185"/>
        <v>57</v>
      </c>
      <c r="AE1088" t="str">
        <f t="shared" si="186"/>
        <v>Lost</v>
      </c>
    </row>
    <row r="1089" spans="1:31">
      <c r="A1089" t="s">
        <v>1191</v>
      </c>
      <c r="B1089" s="1">
        <v>46115</v>
      </c>
      <c r="C1089" t="s">
        <v>90</v>
      </c>
      <c r="D1089" t="s">
        <v>57</v>
      </c>
      <c r="E1089" t="s">
        <v>98</v>
      </c>
      <c r="F1089" t="s">
        <v>45</v>
      </c>
      <c r="G1089" t="s">
        <v>46</v>
      </c>
      <c r="H1089" t="s">
        <v>53</v>
      </c>
      <c r="I1089" t="s">
        <v>77</v>
      </c>
      <c r="J1089" s="1">
        <v>46189</v>
      </c>
      <c r="K1089" s="1">
        <v>46189</v>
      </c>
      <c r="L1089" s="3">
        <v>34600</v>
      </c>
      <c r="M1089" s="4">
        <v>0.08</v>
      </c>
      <c r="N1089" s="4">
        <v>1</v>
      </c>
      <c r="P1089">
        <v>6</v>
      </c>
      <c r="Q1089" t="str">
        <f>IFERROR(VLOOKUP(E1089,Lookups!$A$5:$B$24,2,FALSE),"Other")</f>
        <v>Outbound</v>
      </c>
      <c r="R1089" t="str">
        <f>IFERROR(VLOOKUP(F1089,Lookups!$D$5:$F$10,2,FALSE),"Unknown Product")</f>
        <v>Service Cloud</v>
      </c>
      <c r="S1089" t="str">
        <f>IFERROR(VLOOKUP(F1089,Lookups!$D$5:$F$10,3,FALSE),"Unknown")</f>
        <v>Customer Service</v>
      </c>
      <c r="T1089" t="str">
        <f t="shared" si="176"/>
        <v>Mid-Market</v>
      </c>
      <c r="U1089" t="str">
        <f t="shared" si="177"/>
        <v>Won</v>
      </c>
      <c r="V1089" s="3">
        <f t="shared" si="178"/>
        <v>31832</v>
      </c>
      <c r="W1089" s="3">
        <f t="shared" si="179"/>
        <v>0</v>
      </c>
      <c r="X1089" s="5">
        <f t="shared" si="180"/>
        <v>74</v>
      </c>
      <c r="Y1089" s="5">
        <f>IF(U1089="Open",Lookups!$B$2-B1089,X1089)</f>
        <v>74</v>
      </c>
      <c r="Z1089" t="str">
        <f t="shared" si="181"/>
        <v>OK</v>
      </c>
      <c r="AA1089" t="str">
        <f t="shared" si="182"/>
        <v>2026-04</v>
      </c>
      <c r="AB1089" t="str">
        <f t="shared" si="183"/>
        <v>2026-06</v>
      </c>
      <c r="AC1089" t="str">
        <f t="shared" si="184"/>
        <v>Q2-2026</v>
      </c>
      <c r="AD1089" s="5">
        <f t="shared" si="185"/>
        <v>59</v>
      </c>
      <c r="AE1089" t="str">
        <f t="shared" si="186"/>
        <v>Won</v>
      </c>
    </row>
    <row r="1090" spans="1:31">
      <c r="A1090" t="s">
        <v>1192</v>
      </c>
      <c r="B1090" s="1">
        <v>45807</v>
      </c>
      <c r="C1090" t="s">
        <v>42</v>
      </c>
      <c r="D1090" t="s">
        <v>43</v>
      </c>
      <c r="E1090" t="s">
        <v>58</v>
      </c>
      <c r="F1090" t="s">
        <v>52</v>
      </c>
      <c r="G1090" t="s">
        <v>94</v>
      </c>
      <c r="H1090" t="s">
        <v>53</v>
      </c>
      <c r="I1090" t="s">
        <v>77</v>
      </c>
      <c r="J1090" s="1">
        <v>45859</v>
      </c>
      <c r="K1090" s="1">
        <v>45859</v>
      </c>
      <c r="L1090" s="3">
        <v>11400</v>
      </c>
      <c r="M1090" s="4">
        <v>0.1</v>
      </c>
      <c r="N1090" s="4">
        <v>1</v>
      </c>
      <c r="P1090">
        <v>6</v>
      </c>
      <c r="Q1090" t="str">
        <f>IFERROR(VLOOKUP(E1090,Lookups!$A$5:$B$24,2,FALSE),"Other")</f>
        <v>Email</v>
      </c>
      <c r="R1090" t="str">
        <f>IFERROR(VLOOKUP(F1090,Lookups!$D$5:$F$10,2,FALSE),"Unknown Product")</f>
        <v>NexaCRM Core</v>
      </c>
      <c r="S1090" t="str">
        <f>IFERROR(VLOOKUP(F1090,Lookups!$D$5:$F$10,3,FALSE),"Unknown")</f>
        <v>CRM</v>
      </c>
      <c r="T1090" t="str">
        <f t="shared" ref="T1090:T1153" si="187">IF(L1090&gt;=50000,"Enterprise",IF(L1090&gt;=20000,"Mid-Market","SMB"))</f>
        <v>SMB</v>
      </c>
      <c r="U1090" t="str">
        <f t="shared" ref="U1090:U1153" si="188">IF(I1090="Closed Won","Won",IF(I1090="Closed Lost","Lost","Open"))</f>
        <v>Won</v>
      </c>
      <c r="V1090" s="3">
        <f t="shared" ref="V1090:V1153" si="189">IF(U1090="Won",L1090*(1-M1090),0)</f>
        <v>10260</v>
      </c>
      <c r="W1090" s="3">
        <f t="shared" ref="W1090:W1153" si="190">IF(U1090="Open",L1090*N1090,0)</f>
        <v>0</v>
      </c>
      <c r="X1090" s="5">
        <f t="shared" ref="X1090:X1153" si="191">IF(U1090="Open","",IFERROR(K1090-B1090,""))</f>
        <v>52</v>
      </c>
      <c r="Y1090" s="5">
        <f>IF(U1090="Open",Lookups!$B$2-B1090,X1090)</f>
        <v>52</v>
      </c>
      <c r="Z1090" t="str">
        <f t="shared" ref="Z1090:Z1153" si="192">IF(AND(U1090="Open",Y1090&gt;30),"STALE","OK")</f>
        <v>OK</v>
      </c>
      <c r="AA1090" t="str">
        <f t="shared" ref="AA1090:AA1153" si="193">TEXT(B1090,"yyyy-mm")</f>
        <v>2025-05</v>
      </c>
      <c r="AB1090" t="str">
        <f t="shared" ref="AB1090:AB1153" si="194">IF(K1090="","",TEXT(K1090,"yyyy-mm"))</f>
        <v>2025-07</v>
      </c>
      <c r="AC1090" t="str">
        <f t="shared" ref="AC1090:AC1153" si="195">"Q"&amp;ROUNDUP(MONTH(B1090)/3,0)&amp;"-"&amp;YEAR(B1090)</f>
        <v>Q2-2025</v>
      </c>
      <c r="AD1090" s="5">
        <f t="shared" ref="AD1090:AD1153" si="196">MIN(100,IF(H1090="Enterprise",30,IF(H1090="Mid-Market",22,14))+IF(T1090="Enterprise",25,IF(T1090="Mid-Market",18,10))+IF(Q1090="Referral",25,IF(Q1090="Organic Search",20,IF(Q1090="Email",18,14)))+IF(G1090="Technology",10,5))</f>
        <v>55</v>
      </c>
      <c r="AE1090" t="str">
        <f t="shared" ref="AE1090:AE1153" si="197">IF(U1090&lt;&gt;"Open",U1090,IF(N1090&gt;=0.8,"Commit",IF(N1090&gt;=0.5,"Best Case","Pipeline")))</f>
        <v>Won</v>
      </c>
    </row>
    <row r="1091" spans="1:31">
      <c r="A1091" t="s">
        <v>1193</v>
      </c>
      <c r="B1091" s="1">
        <v>46212</v>
      </c>
      <c r="C1091" t="s">
        <v>42</v>
      </c>
      <c r="D1091" t="s">
        <v>43</v>
      </c>
      <c r="E1091" t="s">
        <v>44</v>
      </c>
      <c r="F1091" t="s">
        <v>45</v>
      </c>
      <c r="G1091" t="s">
        <v>72</v>
      </c>
      <c r="H1091" t="s">
        <v>47</v>
      </c>
      <c r="I1091" t="s">
        <v>61</v>
      </c>
      <c r="J1091" s="1">
        <v>46266</v>
      </c>
      <c r="K1091" s="1">
        <v>46266</v>
      </c>
      <c r="L1091" s="3">
        <v>17700</v>
      </c>
      <c r="M1091" s="4">
        <v>0</v>
      </c>
      <c r="N1091" s="4">
        <v>0</v>
      </c>
      <c r="O1091" t="s">
        <v>79</v>
      </c>
      <c r="P1091">
        <v>5</v>
      </c>
      <c r="Q1091" t="str">
        <f>IFERROR(VLOOKUP(E1091,Lookups!$A$5:$B$24,2,FALSE),"Other")</f>
        <v>Organic Search</v>
      </c>
      <c r="R1091" t="str">
        <f>IFERROR(VLOOKUP(F1091,Lookups!$D$5:$F$10,2,FALSE),"Unknown Product")</f>
        <v>Service Cloud</v>
      </c>
      <c r="S1091" t="str">
        <f>IFERROR(VLOOKUP(F1091,Lookups!$D$5:$F$10,3,FALSE),"Unknown")</f>
        <v>Customer Service</v>
      </c>
      <c r="T1091" t="str">
        <f t="shared" si="187"/>
        <v>SMB</v>
      </c>
      <c r="U1091" t="str">
        <f t="shared" si="188"/>
        <v>Lost</v>
      </c>
      <c r="V1091" s="3">
        <f t="shared" si="189"/>
        <v>0</v>
      </c>
      <c r="W1091" s="3">
        <f t="shared" si="190"/>
        <v>0</v>
      </c>
      <c r="X1091" s="5">
        <f t="shared" si="191"/>
        <v>54</v>
      </c>
      <c r="Y1091" s="5">
        <f>IF(U1091="Open",Lookups!$B$2-B1091,X1091)</f>
        <v>54</v>
      </c>
      <c r="Z1091" t="str">
        <f t="shared" si="192"/>
        <v>OK</v>
      </c>
      <c r="AA1091" t="str">
        <f t="shared" si="193"/>
        <v>2026-07</v>
      </c>
      <c r="AB1091" t="str">
        <f t="shared" si="194"/>
        <v>2026-09</v>
      </c>
      <c r="AC1091" t="str">
        <f t="shared" si="195"/>
        <v>Q3-2026</v>
      </c>
      <c r="AD1091" s="5">
        <f t="shared" si="196"/>
        <v>49</v>
      </c>
      <c r="AE1091" t="str">
        <f t="shared" si="197"/>
        <v>Lost</v>
      </c>
    </row>
    <row r="1092" spans="1:31">
      <c r="A1092" t="s">
        <v>1194</v>
      </c>
      <c r="B1092" s="1">
        <v>45687</v>
      </c>
      <c r="C1092" t="s">
        <v>90</v>
      </c>
      <c r="D1092" t="s">
        <v>57</v>
      </c>
      <c r="E1092" t="s">
        <v>96</v>
      </c>
      <c r="F1092" t="s">
        <v>67</v>
      </c>
      <c r="G1092" t="s">
        <v>76</v>
      </c>
      <c r="H1092" t="s">
        <v>53</v>
      </c>
      <c r="I1092" t="s">
        <v>61</v>
      </c>
      <c r="J1092" s="1">
        <v>45749</v>
      </c>
      <c r="K1092" s="1">
        <v>45749</v>
      </c>
      <c r="L1092" s="3">
        <v>71600</v>
      </c>
      <c r="M1092" s="4">
        <v>0</v>
      </c>
      <c r="N1092" s="4">
        <v>0</v>
      </c>
      <c r="O1092" t="s">
        <v>110</v>
      </c>
      <c r="P1092">
        <v>5</v>
      </c>
      <c r="Q1092" t="str">
        <f>IFERROR(VLOOKUP(E1092,Lookups!$A$5:$B$24,2,FALSE),"Other")</f>
        <v>LinkedIn</v>
      </c>
      <c r="R1092" t="str">
        <f>IFERROR(VLOOKUP(F1092,Lookups!$D$5:$F$10,2,FALSE),"Unknown Product")</f>
        <v>Revenue Operations Suite</v>
      </c>
      <c r="S1092" t="str">
        <f>IFERROR(VLOOKUP(F1092,Lookups!$D$5:$F$10,3,FALSE),"Unknown")</f>
        <v>Revenue Ops</v>
      </c>
      <c r="T1092" t="str">
        <f t="shared" si="187"/>
        <v>Enterprise</v>
      </c>
      <c r="U1092" t="str">
        <f t="shared" si="188"/>
        <v>Lost</v>
      </c>
      <c r="V1092" s="3">
        <f t="shared" si="189"/>
        <v>0</v>
      </c>
      <c r="W1092" s="3">
        <f t="shared" si="190"/>
        <v>0</v>
      </c>
      <c r="X1092" s="5">
        <f t="shared" si="191"/>
        <v>62</v>
      </c>
      <c r="Y1092" s="5">
        <f>IF(U1092="Open",Lookups!$B$2-B1092,X1092)</f>
        <v>62</v>
      </c>
      <c r="Z1092" t="str">
        <f t="shared" si="192"/>
        <v>OK</v>
      </c>
      <c r="AA1092" t="str">
        <f t="shared" si="193"/>
        <v>2025-01</v>
      </c>
      <c r="AB1092" t="str">
        <f t="shared" si="194"/>
        <v>2025-04</v>
      </c>
      <c r="AC1092" t="str">
        <f t="shared" si="195"/>
        <v>Q1-2025</v>
      </c>
      <c r="AD1092" s="5">
        <f t="shared" si="196"/>
        <v>66</v>
      </c>
      <c r="AE1092" t="str">
        <f t="shared" si="197"/>
        <v>Lost</v>
      </c>
    </row>
    <row r="1093" spans="1:31">
      <c r="A1093" t="s">
        <v>1195</v>
      </c>
      <c r="B1093" s="1">
        <v>45761</v>
      </c>
      <c r="C1093" t="s">
        <v>90</v>
      </c>
      <c r="D1093" t="s">
        <v>57</v>
      </c>
      <c r="E1093" t="s">
        <v>51</v>
      </c>
      <c r="F1093" t="s">
        <v>52</v>
      </c>
      <c r="G1093" t="s">
        <v>99</v>
      </c>
      <c r="H1093" t="s">
        <v>47</v>
      </c>
      <c r="I1093" t="s">
        <v>61</v>
      </c>
      <c r="J1093" s="1">
        <v>45853</v>
      </c>
      <c r="K1093" s="1">
        <v>45853</v>
      </c>
      <c r="L1093" s="3">
        <v>5400</v>
      </c>
      <c r="M1093" s="4">
        <v>0</v>
      </c>
      <c r="N1093" s="4">
        <v>0</v>
      </c>
      <c r="O1093" t="s">
        <v>79</v>
      </c>
      <c r="P1093">
        <v>3</v>
      </c>
      <c r="Q1093" t="str">
        <f>IFERROR(VLOOKUP(E1093,Lookups!$A$5:$B$24,2,FALSE),"Other")</f>
        <v>Paid Search</v>
      </c>
      <c r="R1093" t="str">
        <f>IFERROR(VLOOKUP(F1093,Lookups!$D$5:$F$10,2,FALSE),"Unknown Product")</f>
        <v>NexaCRM Core</v>
      </c>
      <c r="S1093" t="str">
        <f>IFERROR(VLOOKUP(F1093,Lookups!$D$5:$F$10,3,FALSE),"Unknown")</f>
        <v>CRM</v>
      </c>
      <c r="T1093" t="str">
        <f t="shared" si="187"/>
        <v>SMB</v>
      </c>
      <c r="U1093" t="str">
        <f t="shared" si="188"/>
        <v>Lost</v>
      </c>
      <c r="V1093" s="3">
        <f t="shared" si="189"/>
        <v>0</v>
      </c>
      <c r="W1093" s="3">
        <f t="shared" si="190"/>
        <v>0</v>
      </c>
      <c r="X1093" s="5">
        <f t="shared" si="191"/>
        <v>92</v>
      </c>
      <c r="Y1093" s="5">
        <f>IF(U1093="Open",Lookups!$B$2-B1093,X1093)</f>
        <v>92</v>
      </c>
      <c r="Z1093" t="str">
        <f t="shared" si="192"/>
        <v>OK</v>
      </c>
      <c r="AA1093" t="str">
        <f t="shared" si="193"/>
        <v>2025-04</v>
      </c>
      <c r="AB1093" t="str">
        <f t="shared" si="194"/>
        <v>2025-07</v>
      </c>
      <c r="AC1093" t="str">
        <f t="shared" si="195"/>
        <v>Q2-2025</v>
      </c>
      <c r="AD1093" s="5">
        <f t="shared" si="196"/>
        <v>43</v>
      </c>
      <c r="AE1093" t="str">
        <f t="shared" si="197"/>
        <v>Lost</v>
      </c>
    </row>
    <row r="1094" spans="1:31">
      <c r="A1094" t="s">
        <v>1196</v>
      </c>
      <c r="B1094" s="1">
        <v>46162</v>
      </c>
      <c r="C1094" t="s">
        <v>69</v>
      </c>
      <c r="D1094" t="s">
        <v>57</v>
      </c>
      <c r="E1094" t="s">
        <v>96</v>
      </c>
      <c r="F1094" t="s">
        <v>133</v>
      </c>
      <c r="G1094" t="s">
        <v>46</v>
      </c>
      <c r="H1094" t="s">
        <v>53</v>
      </c>
      <c r="I1094" t="s">
        <v>105</v>
      </c>
      <c r="J1094" s="1">
        <v>46237</v>
      </c>
      <c r="K1094" s="1"/>
      <c r="L1094" s="3">
        <v>33600</v>
      </c>
      <c r="M1094" s="4">
        <v>0</v>
      </c>
      <c r="N1094" s="4">
        <v>0.4</v>
      </c>
      <c r="P1094">
        <v>3</v>
      </c>
      <c r="Q1094" t="str">
        <f>IFERROR(VLOOKUP(E1094,Lookups!$A$5:$B$24,2,FALSE),"Other")</f>
        <v>LinkedIn</v>
      </c>
      <c r="R1094" t="str">
        <f>IFERROR(VLOOKUP(F1094,Lookups!$D$5:$F$10,2,FALSE),"Unknown Product")</f>
        <v>Analytics Plus</v>
      </c>
      <c r="S1094" t="str">
        <f>IFERROR(VLOOKUP(F1094,Lookups!$D$5:$F$10,3,FALSE),"Unknown")</f>
        <v>Analytics</v>
      </c>
      <c r="T1094" t="str">
        <f t="shared" si="187"/>
        <v>Mid-Market</v>
      </c>
      <c r="U1094" t="str">
        <f t="shared" si="188"/>
        <v>Open</v>
      </c>
      <c r="V1094" s="3">
        <f t="shared" si="189"/>
        <v>0</v>
      </c>
      <c r="W1094" s="3">
        <f t="shared" si="190"/>
        <v>13440</v>
      </c>
      <c r="X1094" s="5" t="str">
        <f t="shared" si="191"/>
        <v/>
      </c>
      <c r="Y1094" s="5">
        <f>IF(U1094="Open",Lookups!$B$2-B1094,X1094)</f>
        <v>104</v>
      </c>
      <c r="Z1094" t="str">
        <f t="shared" si="192"/>
        <v>STALE</v>
      </c>
      <c r="AA1094" t="str">
        <f t="shared" si="193"/>
        <v>2026-05</v>
      </c>
      <c r="AB1094" t="str">
        <f t="shared" si="194"/>
        <v/>
      </c>
      <c r="AC1094" t="str">
        <f t="shared" si="195"/>
        <v>Q2-2026</v>
      </c>
      <c r="AD1094" s="5">
        <f t="shared" si="196"/>
        <v>59</v>
      </c>
      <c r="AE1094" t="str">
        <f t="shared" si="197"/>
        <v>Pipeline</v>
      </c>
    </row>
    <row r="1095" spans="1:31">
      <c r="A1095" t="s">
        <v>1197</v>
      </c>
      <c r="B1095" s="1">
        <v>45944</v>
      </c>
      <c r="C1095" t="s">
        <v>148</v>
      </c>
      <c r="D1095" t="s">
        <v>43</v>
      </c>
      <c r="E1095" t="s">
        <v>138</v>
      </c>
      <c r="F1095" t="s">
        <v>59</v>
      </c>
      <c r="G1095" t="s">
        <v>112</v>
      </c>
      <c r="H1095" t="s">
        <v>53</v>
      </c>
      <c r="I1095" t="s">
        <v>61</v>
      </c>
      <c r="J1095" s="1">
        <v>45997</v>
      </c>
      <c r="K1095" s="1">
        <v>45997</v>
      </c>
      <c r="L1095" s="3">
        <v>33400</v>
      </c>
      <c r="M1095" s="4">
        <v>0</v>
      </c>
      <c r="N1095" s="4">
        <v>0</v>
      </c>
      <c r="O1095" t="s">
        <v>81</v>
      </c>
      <c r="P1095">
        <v>3</v>
      </c>
      <c r="Q1095" t="str">
        <f>IFERROR(VLOOKUP(E1095,Lookups!$A$5:$B$24,2,FALSE),"Other")</f>
        <v>Organic Search</v>
      </c>
      <c r="R1095" t="str">
        <f>IFERROR(VLOOKUP(F1095,Lookups!$D$5:$F$10,2,FALSE),"Unknown Product")</f>
        <v>NexaCRM Pro</v>
      </c>
      <c r="S1095" t="str">
        <f>IFERROR(VLOOKUP(F1095,Lookups!$D$5:$F$10,3,FALSE),"Unknown")</f>
        <v>CRM</v>
      </c>
      <c r="T1095" t="str">
        <f t="shared" si="187"/>
        <v>Mid-Market</v>
      </c>
      <c r="U1095" t="str">
        <f t="shared" si="188"/>
        <v>Lost</v>
      </c>
      <c r="V1095" s="3">
        <f t="shared" si="189"/>
        <v>0</v>
      </c>
      <c r="W1095" s="3">
        <f t="shared" si="190"/>
        <v>0</v>
      </c>
      <c r="X1095" s="5">
        <f t="shared" si="191"/>
        <v>53</v>
      </c>
      <c r="Y1095" s="5">
        <f>IF(U1095="Open",Lookups!$B$2-B1095,X1095)</f>
        <v>53</v>
      </c>
      <c r="Z1095" t="str">
        <f t="shared" si="192"/>
        <v>OK</v>
      </c>
      <c r="AA1095" t="str">
        <f t="shared" si="193"/>
        <v>2025-10</v>
      </c>
      <c r="AB1095" t="str">
        <f t="shared" si="194"/>
        <v>2025-12</v>
      </c>
      <c r="AC1095" t="str">
        <f t="shared" si="195"/>
        <v>Q4-2025</v>
      </c>
      <c r="AD1095" s="5">
        <f t="shared" si="196"/>
        <v>70</v>
      </c>
      <c r="AE1095" t="str">
        <f t="shared" si="197"/>
        <v>Lost</v>
      </c>
    </row>
    <row r="1096" spans="1:31">
      <c r="A1096" t="s">
        <v>1198</v>
      </c>
      <c r="B1096" s="1">
        <v>45923</v>
      </c>
      <c r="C1096" t="s">
        <v>69</v>
      </c>
      <c r="D1096" t="s">
        <v>57</v>
      </c>
      <c r="E1096" t="s">
        <v>109</v>
      </c>
      <c r="F1096" t="s">
        <v>67</v>
      </c>
      <c r="G1096" t="s">
        <v>99</v>
      </c>
      <c r="H1096" t="s">
        <v>84</v>
      </c>
      <c r="I1096" t="s">
        <v>61</v>
      </c>
      <c r="J1096" s="1">
        <v>45970</v>
      </c>
      <c r="K1096" s="1">
        <v>45970</v>
      </c>
      <c r="L1096" s="3">
        <v>88400</v>
      </c>
      <c r="M1096" s="4">
        <v>0</v>
      </c>
      <c r="N1096" s="4">
        <v>0</v>
      </c>
      <c r="O1096" t="s">
        <v>116</v>
      </c>
      <c r="P1096">
        <v>4</v>
      </c>
      <c r="Q1096" t="str">
        <f>IFERROR(VLOOKUP(E1096,Lookups!$A$5:$B$24,2,FALSE),"Other")</f>
        <v>Outbound</v>
      </c>
      <c r="R1096" t="str">
        <f>IFERROR(VLOOKUP(F1096,Lookups!$D$5:$F$10,2,FALSE),"Unknown Product")</f>
        <v>Revenue Operations Suite</v>
      </c>
      <c r="S1096" t="str">
        <f>IFERROR(VLOOKUP(F1096,Lookups!$D$5:$F$10,3,FALSE),"Unknown")</f>
        <v>Revenue Ops</v>
      </c>
      <c r="T1096" t="str">
        <f t="shared" si="187"/>
        <v>Enterprise</v>
      </c>
      <c r="U1096" t="str">
        <f t="shared" si="188"/>
        <v>Lost</v>
      </c>
      <c r="V1096" s="3">
        <f t="shared" si="189"/>
        <v>0</v>
      </c>
      <c r="W1096" s="3">
        <f t="shared" si="190"/>
        <v>0</v>
      </c>
      <c r="X1096" s="5">
        <f t="shared" si="191"/>
        <v>47</v>
      </c>
      <c r="Y1096" s="5">
        <f>IF(U1096="Open",Lookups!$B$2-B1096,X1096)</f>
        <v>47</v>
      </c>
      <c r="Z1096" t="str">
        <f t="shared" si="192"/>
        <v>OK</v>
      </c>
      <c r="AA1096" t="str">
        <f t="shared" si="193"/>
        <v>2025-09</v>
      </c>
      <c r="AB1096" t="str">
        <f t="shared" si="194"/>
        <v>2025-11</v>
      </c>
      <c r="AC1096" t="str">
        <f t="shared" si="195"/>
        <v>Q3-2025</v>
      </c>
      <c r="AD1096" s="5">
        <f t="shared" si="196"/>
        <v>74</v>
      </c>
      <c r="AE1096" t="str">
        <f t="shared" si="197"/>
        <v>Lost</v>
      </c>
    </row>
    <row r="1097" spans="1:31">
      <c r="A1097" t="s">
        <v>1199</v>
      </c>
      <c r="B1097" s="1">
        <v>46092</v>
      </c>
      <c r="C1097" t="s">
        <v>86</v>
      </c>
      <c r="D1097" t="s">
        <v>87</v>
      </c>
      <c r="E1097" t="s">
        <v>65</v>
      </c>
      <c r="F1097" t="s">
        <v>71</v>
      </c>
      <c r="G1097" t="s">
        <v>76</v>
      </c>
      <c r="H1097" t="s">
        <v>47</v>
      </c>
      <c r="I1097" t="s">
        <v>77</v>
      </c>
      <c r="J1097" s="1">
        <v>46120</v>
      </c>
      <c r="K1097" s="1">
        <v>46120</v>
      </c>
      <c r="L1097" s="3">
        <v>19500</v>
      </c>
      <c r="M1097" s="4">
        <v>0</v>
      </c>
      <c r="N1097" s="4">
        <v>1</v>
      </c>
      <c r="P1097">
        <v>6</v>
      </c>
      <c r="Q1097" t="str">
        <f>IFERROR(VLOOKUP(E1097,Lookups!$A$5:$B$24,2,FALSE),"Other")</f>
        <v>Paid Search</v>
      </c>
      <c r="R1097" t="str">
        <f>IFERROR(VLOOKUP(F1097,Lookups!$D$5:$F$10,2,FALSE),"Unknown Product")</f>
        <v>Marketing Automation</v>
      </c>
      <c r="S1097" t="str">
        <f>IFERROR(VLOOKUP(F1097,Lookups!$D$5:$F$10,3,FALSE),"Unknown")</f>
        <v>Marketing</v>
      </c>
      <c r="T1097" t="str">
        <f t="shared" si="187"/>
        <v>SMB</v>
      </c>
      <c r="U1097" t="str">
        <f t="shared" si="188"/>
        <v>Won</v>
      </c>
      <c r="V1097" s="3">
        <f t="shared" si="189"/>
        <v>19500</v>
      </c>
      <c r="W1097" s="3">
        <f t="shared" si="190"/>
        <v>0</v>
      </c>
      <c r="X1097" s="5">
        <f t="shared" si="191"/>
        <v>28</v>
      </c>
      <c r="Y1097" s="5">
        <f>IF(U1097="Open",Lookups!$B$2-B1097,X1097)</f>
        <v>28</v>
      </c>
      <c r="Z1097" t="str">
        <f t="shared" si="192"/>
        <v>OK</v>
      </c>
      <c r="AA1097" t="str">
        <f t="shared" si="193"/>
        <v>2026-03</v>
      </c>
      <c r="AB1097" t="str">
        <f t="shared" si="194"/>
        <v>2026-04</v>
      </c>
      <c r="AC1097" t="str">
        <f t="shared" si="195"/>
        <v>Q1-2026</v>
      </c>
      <c r="AD1097" s="5">
        <f t="shared" si="196"/>
        <v>43</v>
      </c>
      <c r="AE1097" t="str">
        <f t="shared" si="197"/>
        <v>Won</v>
      </c>
    </row>
    <row r="1098" spans="1:31">
      <c r="A1098" t="s">
        <v>1200</v>
      </c>
      <c r="B1098" s="1">
        <v>46134</v>
      </c>
      <c r="C1098" t="s">
        <v>42</v>
      </c>
      <c r="D1098" t="s">
        <v>43</v>
      </c>
      <c r="E1098" t="s">
        <v>127</v>
      </c>
      <c r="F1098" t="s">
        <v>133</v>
      </c>
      <c r="G1098" t="s">
        <v>72</v>
      </c>
      <c r="H1098" t="s">
        <v>47</v>
      </c>
      <c r="I1098" t="s">
        <v>61</v>
      </c>
      <c r="J1098" s="1">
        <v>46201</v>
      </c>
      <c r="K1098" s="1">
        <v>46201</v>
      </c>
      <c r="L1098" s="3">
        <v>28000</v>
      </c>
      <c r="M1098" s="4">
        <v>0</v>
      </c>
      <c r="N1098" s="4">
        <v>0</v>
      </c>
      <c r="O1098" t="s">
        <v>102</v>
      </c>
      <c r="P1098">
        <v>3</v>
      </c>
      <c r="Q1098" t="str">
        <f>IFERROR(VLOOKUP(E1098,Lookups!$A$5:$B$24,2,FALSE),"Other")</f>
        <v>Paid Search</v>
      </c>
      <c r="R1098" t="str">
        <f>IFERROR(VLOOKUP(F1098,Lookups!$D$5:$F$10,2,FALSE),"Unknown Product")</f>
        <v>Analytics Plus</v>
      </c>
      <c r="S1098" t="str">
        <f>IFERROR(VLOOKUP(F1098,Lookups!$D$5:$F$10,3,FALSE),"Unknown")</f>
        <v>Analytics</v>
      </c>
      <c r="T1098" t="str">
        <f t="shared" si="187"/>
        <v>Mid-Market</v>
      </c>
      <c r="U1098" t="str">
        <f t="shared" si="188"/>
        <v>Lost</v>
      </c>
      <c r="V1098" s="3">
        <f t="shared" si="189"/>
        <v>0</v>
      </c>
      <c r="W1098" s="3">
        <f t="shared" si="190"/>
        <v>0</v>
      </c>
      <c r="X1098" s="5">
        <f t="shared" si="191"/>
        <v>67</v>
      </c>
      <c r="Y1098" s="5">
        <f>IF(U1098="Open",Lookups!$B$2-B1098,X1098)</f>
        <v>67</v>
      </c>
      <c r="Z1098" t="str">
        <f t="shared" si="192"/>
        <v>OK</v>
      </c>
      <c r="AA1098" t="str">
        <f t="shared" si="193"/>
        <v>2026-04</v>
      </c>
      <c r="AB1098" t="str">
        <f t="shared" si="194"/>
        <v>2026-06</v>
      </c>
      <c r="AC1098" t="str">
        <f t="shared" si="195"/>
        <v>Q2-2026</v>
      </c>
      <c r="AD1098" s="5">
        <f t="shared" si="196"/>
        <v>51</v>
      </c>
      <c r="AE1098" t="str">
        <f t="shared" si="197"/>
        <v>Lost</v>
      </c>
    </row>
    <row r="1099" spans="1:31">
      <c r="A1099" t="s">
        <v>1201</v>
      </c>
      <c r="B1099" s="1">
        <v>45862</v>
      </c>
      <c r="C1099" t="s">
        <v>50</v>
      </c>
      <c r="D1099" t="s">
        <v>43</v>
      </c>
      <c r="E1099" t="s">
        <v>160</v>
      </c>
      <c r="F1099" t="s">
        <v>133</v>
      </c>
      <c r="G1099" t="s">
        <v>76</v>
      </c>
      <c r="H1099" t="s">
        <v>53</v>
      </c>
      <c r="I1099" t="s">
        <v>61</v>
      </c>
      <c r="J1099" s="1">
        <v>45872</v>
      </c>
      <c r="K1099" s="1">
        <v>45872</v>
      </c>
      <c r="L1099" s="3">
        <v>26900</v>
      </c>
      <c r="M1099" s="4">
        <v>0</v>
      </c>
      <c r="N1099" s="4">
        <v>0</v>
      </c>
      <c r="O1099" t="s">
        <v>116</v>
      </c>
      <c r="P1099">
        <v>2</v>
      </c>
      <c r="Q1099" t="str">
        <f>IFERROR(VLOOKUP(E1099,Lookups!$A$5:$B$24,2,FALSE),"Other")</f>
        <v>Email</v>
      </c>
      <c r="R1099" t="str">
        <f>IFERROR(VLOOKUP(F1099,Lookups!$D$5:$F$10,2,FALSE),"Unknown Product")</f>
        <v>Analytics Plus</v>
      </c>
      <c r="S1099" t="str">
        <f>IFERROR(VLOOKUP(F1099,Lookups!$D$5:$F$10,3,FALSE),"Unknown")</f>
        <v>Analytics</v>
      </c>
      <c r="T1099" t="str">
        <f t="shared" si="187"/>
        <v>Mid-Market</v>
      </c>
      <c r="U1099" t="str">
        <f t="shared" si="188"/>
        <v>Lost</v>
      </c>
      <c r="V1099" s="3">
        <f t="shared" si="189"/>
        <v>0</v>
      </c>
      <c r="W1099" s="3">
        <f t="shared" si="190"/>
        <v>0</v>
      </c>
      <c r="X1099" s="5">
        <f t="shared" si="191"/>
        <v>10</v>
      </c>
      <c r="Y1099" s="5">
        <f>IF(U1099="Open",Lookups!$B$2-B1099,X1099)</f>
        <v>10</v>
      </c>
      <c r="Z1099" t="str">
        <f t="shared" si="192"/>
        <v>OK</v>
      </c>
      <c r="AA1099" t="str">
        <f t="shared" si="193"/>
        <v>2025-07</v>
      </c>
      <c r="AB1099" t="str">
        <f t="shared" si="194"/>
        <v>2025-08</v>
      </c>
      <c r="AC1099" t="str">
        <f t="shared" si="195"/>
        <v>Q3-2025</v>
      </c>
      <c r="AD1099" s="5">
        <f t="shared" si="196"/>
        <v>63</v>
      </c>
      <c r="AE1099" t="str">
        <f t="shared" si="197"/>
        <v>Lost</v>
      </c>
    </row>
    <row r="1100" spans="1:31">
      <c r="A1100" t="s">
        <v>1202</v>
      </c>
      <c r="B1100" s="1">
        <v>46204</v>
      </c>
      <c r="C1100" t="s">
        <v>56</v>
      </c>
      <c r="D1100" t="s">
        <v>57</v>
      </c>
      <c r="E1100" t="s">
        <v>70</v>
      </c>
      <c r="F1100" t="s">
        <v>59</v>
      </c>
      <c r="G1100" t="s">
        <v>76</v>
      </c>
      <c r="H1100" t="s">
        <v>53</v>
      </c>
      <c r="I1100" t="s">
        <v>77</v>
      </c>
      <c r="J1100" s="1">
        <v>46265</v>
      </c>
      <c r="K1100" s="1">
        <v>46265</v>
      </c>
      <c r="L1100" s="3">
        <v>44000</v>
      </c>
      <c r="M1100" s="4">
        <v>0</v>
      </c>
      <c r="N1100" s="4">
        <v>1</v>
      </c>
      <c r="P1100">
        <v>6</v>
      </c>
      <c r="Q1100" t="str">
        <f>IFERROR(VLOOKUP(E1100,Lookups!$A$5:$B$24,2,FALSE),"Other")</f>
        <v>LinkedIn</v>
      </c>
      <c r="R1100" t="str">
        <f>IFERROR(VLOOKUP(F1100,Lookups!$D$5:$F$10,2,FALSE),"Unknown Product")</f>
        <v>NexaCRM Pro</v>
      </c>
      <c r="S1100" t="str">
        <f>IFERROR(VLOOKUP(F1100,Lookups!$D$5:$F$10,3,FALSE),"Unknown")</f>
        <v>CRM</v>
      </c>
      <c r="T1100" t="str">
        <f t="shared" si="187"/>
        <v>Mid-Market</v>
      </c>
      <c r="U1100" t="str">
        <f t="shared" si="188"/>
        <v>Won</v>
      </c>
      <c r="V1100" s="3">
        <f t="shared" si="189"/>
        <v>44000</v>
      </c>
      <c r="W1100" s="3">
        <f t="shared" si="190"/>
        <v>0</v>
      </c>
      <c r="X1100" s="5">
        <f t="shared" si="191"/>
        <v>61</v>
      </c>
      <c r="Y1100" s="5">
        <f>IF(U1100="Open",Lookups!$B$2-B1100,X1100)</f>
        <v>61</v>
      </c>
      <c r="Z1100" t="str">
        <f t="shared" si="192"/>
        <v>OK</v>
      </c>
      <c r="AA1100" t="str">
        <f t="shared" si="193"/>
        <v>2026-07</v>
      </c>
      <c r="AB1100" t="str">
        <f t="shared" si="194"/>
        <v>2026-08</v>
      </c>
      <c r="AC1100" t="str">
        <f t="shared" si="195"/>
        <v>Q3-2026</v>
      </c>
      <c r="AD1100" s="5">
        <f t="shared" si="196"/>
        <v>59</v>
      </c>
      <c r="AE1100" t="str">
        <f t="shared" si="197"/>
        <v>Won</v>
      </c>
    </row>
    <row r="1101" spans="1:31">
      <c r="A1101" t="s">
        <v>1203</v>
      </c>
      <c r="B1101" s="1">
        <v>46224</v>
      </c>
      <c r="C1101" t="s">
        <v>50</v>
      </c>
      <c r="D1101" t="s">
        <v>43</v>
      </c>
      <c r="E1101" t="s">
        <v>119</v>
      </c>
      <c r="F1101" t="s">
        <v>133</v>
      </c>
      <c r="G1101" t="s">
        <v>72</v>
      </c>
      <c r="H1101" t="s">
        <v>53</v>
      </c>
      <c r="I1101" t="s">
        <v>61</v>
      </c>
      <c r="J1101" s="1">
        <v>46232</v>
      </c>
      <c r="K1101" s="1">
        <v>46232</v>
      </c>
      <c r="L1101" s="3">
        <v>36200</v>
      </c>
      <c r="M1101" s="4">
        <v>0</v>
      </c>
      <c r="N1101" s="4">
        <v>0</v>
      </c>
      <c r="O1101" t="s">
        <v>102</v>
      </c>
      <c r="P1101">
        <v>4</v>
      </c>
      <c r="Q1101" t="str">
        <f>IFERROR(VLOOKUP(E1101,Lookups!$A$5:$B$24,2,FALSE),"Other")</f>
        <v>Referral</v>
      </c>
      <c r="R1101" t="str">
        <f>IFERROR(VLOOKUP(F1101,Lookups!$D$5:$F$10,2,FALSE),"Unknown Product")</f>
        <v>Analytics Plus</v>
      </c>
      <c r="S1101" t="str">
        <f>IFERROR(VLOOKUP(F1101,Lookups!$D$5:$F$10,3,FALSE),"Unknown")</f>
        <v>Analytics</v>
      </c>
      <c r="T1101" t="str">
        <f t="shared" si="187"/>
        <v>Mid-Market</v>
      </c>
      <c r="U1101" t="str">
        <f t="shared" si="188"/>
        <v>Lost</v>
      </c>
      <c r="V1101" s="3">
        <f t="shared" si="189"/>
        <v>0</v>
      </c>
      <c r="W1101" s="3">
        <f t="shared" si="190"/>
        <v>0</v>
      </c>
      <c r="X1101" s="5">
        <f t="shared" si="191"/>
        <v>8</v>
      </c>
      <c r="Y1101" s="5">
        <f>IF(U1101="Open",Lookups!$B$2-B1101,X1101)</f>
        <v>8</v>
      </c>
      <c r="Z1101" t="str">
        <f t="shared" si="192"/>
        <v>OK</v>
      </c>
      <c r="AA1101" t="str">
        <f t="shared" si="193"/>
        <v>2026-07</v>
      </c>
      <c r="AB1101" t="str">
        <f t="shared" si="194"/>
        <v>2026-07</v>
      </c>
      <c r="AC1101" t="str">
        <f t="shared" si="195"/>
        <v>Q3-2026</v>
      </c>
      <c r="AD1101" s="5">
        <f t="shared" si="196"/>
        <v>70</v>
      </c>
      <c r="AE1101" t="str">
        <f t="shared" si="197"/>
        <v>Lost</v>
      </c>
    </row>
    <row r="1102" spans="1:31">
      <c r="A1102" t="s">
        <v>1204</v>
      </c>
      <c r="B1102" s="1">
        <v>45803</v>
      </c>
      <c r="C1102" t="s">
        <v>86</v>
      </c>
      <c r="D1102" t="s">
        <v>87</v>
      </c>
      <c r="E1102" t="s">
        <v>138</v>
      </c>
      <c r="F1102" t="s">
        <v>71</v>
      </c>
      <c r="G1102" t="s">
        <v>60</v>
      </c>
      <c r="H1102" t="s">
        <v>84</v>
      </c>
      <c r="I1102" t="s">
        <v>77</v>
      </c>
      <c r="J1102" s="1">
        <v>45909</v>
      </c>
      <c r="K1102" s="1">
        <v>45909</v>
      </c>
      <c r="L1102" s="3">
        <v>39200</v>
      </c>
      <c r="M1102" s="4">
        <v>0.12</v>
      </c>
      <c r="N1102" s="4">
        <v>1</v>
      </c>
      <c r="P1102">
        <v>6</v>
      </c>
      <c r="Q1102" t="str">
        <f>IFERROR(VLOOKUP(E1102,Lookups!$A$5:$B$24,2,FALSE),"Other")</f>
        <v>Organic Search</v>
      </c>
      <c r="R1102" t="str">
        <f>IFERROR(VLOOKUP(F1102,Lookups!$D$5:$F$10,2,FALSE),"Unknown Product")</f>
        <v>Marketing Automation</v>
      </c>
      <c r="S1102" t="str">
        <f>IFERROR(VLOOKUP(F1102,Lookups!$D$5:$F$10,3,FALSE),"Unknown")</f>
        <v>Marketing</v>
      </c>
      <c r="T1102" t="str">
        <f t="shared" si="187"/>
        <v>Mid-Market</v>
      </c>
      <c r="U1102" t="str">
        <f t="shared" si="188"/>
        <v>Won</v>
      </c>
      <c r="V1102" s="3">
        <f t="shared" si="189"/>
        <v>34496</v>
      </c>
      <c r="W1102" s="3">
        <f t="shared" si="190"/>
        <v>0</v>
      </c>
      <c r="X1102" s="5">
        <f t="shared" si="191"/>
        <v>106</v>
      </c>
      <c r="Y1102" s="5">
        <f>IF(U1102="Open",Lookups!$B$2-B1102,X1102)</f>
        <v>106</v>
      </c>
      <c r="Z1102" t="str">
        <f t="shared" si="192"/>
        <v>OK</v>
      </c>
      <c r="AA1102" t="str">
        <f t="shared" si="193"/>
        <v>2025-05</v>
      </c>
      <c r="AB1102" t="str">
        <f t="shared" si="194"/>
        <v>2025-09</v>
      </c>
      <c r="AC1102" t="str">
        <f t="shared" si="195"/>
        <v>Q2-2025</v>
      </c>
      <c r="AD1102" s="5">
        <f t="shared" si="196"/>
        <v>73</v>
      </c>
      <c r="AE1102" t="str">
        <f t="shared" si="197"/>
        <v>Won</v>
      </c>
    </row>
    <row r="1103" spans="1:31">
      <c r="A1103" t="s">
        <v>1205</v>
      </c>
      <c r="B1103" s="1">
        <v>45958</v>
      </c>
      <c r="C1103" t="s">
        <v>42</v>
      </c>
      <c r="D1103" t="s">
        <v>43</v>
      </c>
      <c r="E1103" t="s">
        <v>115</v>
      </c>
      <c r="F1103" t="s">
        <v>45</v>
      </c>
      <c r="G1103" t="s">
        <v>94</v>
      </c>
      <c r="H1103" t="s">
        <v>84</v>
      </c>
      <c r="I1103" t="s">
        <v>61</v>
      </c>
      <c r="J1103" s="1">
        <v>46014</v>
      </c>
      <c r="K1103" s="1">
        <v>46014</v>
      </c>
      <c r="L1103" s="3">
        <v>81200</v>
      </c>
      <c r="M1103" s="4">
        <v>0</v>
      </c>
      <c r="N1103" s="4">
        <v>0</v>
      </c>
      <c r="O1103" t="s">
        <v>79</v>
      </c>
      <c r="P1103">
        <v>2</v>
      </c>
      <c r="Q1103" t="str">
        <f>IFERROR(VLOOKUP(E1103,Lookups!$A$5:$B$24,2,FALSE),"Other")</f>
        <v>Outbound</v>
      </c>
      <c r="R1103" t="str">
        <f>IFERROR(VLOOKUP(F1103,Lookups!$D$5:$F$10,2,FALSE),"Unknown Product")</f>
        <v>Service Cloud</v>
      </c>
      <c r="S1103" t="str">
        <f>IFERROR(VLOOKUP(F1103,Lookups!$D$5:$F$10,3,FALSE),"Unknown")</f>
        <v>Customer Service</v>
      </c>
      <c r="T1103" t="str">
        <f t="shared" si="187"/>
        <v>Enterprise</v>
      </c>
      <c r="U1103" t="str">
        <f t="shared" si="188"/>
        <v>Lost</v>
      </c>
      <c r="V1103" s="3">
        <f t="shared" si="189"/>
        <v>0</v>
      </c>
      <c r="W1103" s="3">
        <f t="shared" si="190"/>
        <v>0</v>
      </c>
      <c r="X1103" s="5">
        <f t="shared" si="191"/>
        <v>56</v>
      </c>
      <c r="Y1103" s="5">
        <f>IF(U1103="Open",Lookups!$B$2-B1103,X1103)</f>
        <v>56</v>
      </c>
      <c r="Z1103" t="str">
        <f t="shared" si="192"/>
        <v>OK</v>
      </c>
      <c r="AA1103" t="str">
        <f t="shared" si="193"/>
        <v>2025-10</v>
      </c>
      <c r="AB1103" t="str">
        <f t="shared" si="194"/>
        <v>2025-12</v>
      </c>
      <c r="AC1103" t="str">
        <f t="shared" si="195"/>
        <v>Q4-2025</v>
      </c>
      <c r="AD1103" s="5">
        <f t="shared" si="196"/>
        <v>74</v>
      </c>
      <c r="AE1103" t="str">
        <f t="shared" si="197"/>
        <v>Lost</v>
      </c>
    </row>
    <row r="1104" spans="1:31">
      <c r="A1104" t="s">
        <v>1206</v>
      </c>
      <c r="B1104" s="1">
        <v>45723</v>
      </c>
      <c r="C1104" t="s">
        <v>56</v>
      </c>
      <c r="D1104" t="s">
        <v>57</v>
      </c>
      <c r="E1104" t="s">
        <v>51</v>
      </c>
      <c r="F1104" t="s">
        <v>67</v>
      </c>
      <c r="G1104" t="s">
        <v>76</v>
      </c>
      <c r="H1104" t="s">
        <v>47</v>
      </c>
      <c r="I1104" t="s">
        <v>77</v>
      </c>
      <c r="J1104" s="1">
        <v>45770</v>
      </c>
      <c r="K1104" s="1">
        <v>45770</v>
      </c>
      <c r="L1104" s="3">
        <v>45100</v>
      </c>
      <c r="M1104" s="4">
        <v>0</v>
      </c>
      <c r="N1104" s="4">
        <v>1</v>
      </c>
      <c r="P1104">
        <v>6</v>
      </c>
      <c r="Q1104" t="str">
        <f>IFERROR(VLOOKUP(E1104,Lookups!$A$5:$B$24,2,FALSE),"Other")</f>
        <v>Paid Search</v>
      </c>
      <c r="R1104" t="str">
        <f>IFERROR(VLOOKUP(F1104,Lookups!$D$5:$F$10,2,FALSE),"Unknown Product")</f>
        <v>Revenue Operations Suite</v>
      </c>
      <c r="S1104" t="str">
        <f>IFERROR(VLOOKUP(F1104,Lookups!$D$5:$F$10,3,FALSE),"Unknown")</f>
        <v>Revenue Ops</v>
      </c>
      <c r="T1104" t="str">
        <f t="shared" si="187"/>
        <v>Mid-Market</v>
      </c>
      <c r="U1104" t="str">
        <f t="shared" si="188"/>
        <v>Won</v>
      </c>
      <c r="V1104" s="3">
        <f t="shared" si="189"/>
        <v>45100</v>
      </c>
      <c r="W1104" s="3">
        <f t="shared" si="190"/>
        <v>0</v>
      </c>
      <c r="X1104" s="5">
        <f t="shared" si="191"/>
        <v>47</v>
      </c>
      <c r="Y1104" s="5">
        <f>IF(U1104="Open",Lookups!$B$2-B1104,X1104)</f>
        <v>47</v>
      </c>
      <c r="Z1104" t="str">
        <f t="shared" si="192"/>
        <v>OK</v>
      </c>
      <c r="AA1104" t="str">
        <f t="shared" si="193"/>
        <v>2025-03</v>
      </c>
      <c r="AB1104" t="str">
        <f t="shared" si="194"/>
        <v>2025-04</v>
      </c>
      <c r="AC1104" t="str">
        <f t="shared" si="195"/>
        <v>Q1-2025</v>
      </c>
      <c r="AD1104" s="5">
        <f t="shared" si="196"/>
        <v>51</v>
      </c>
      <c r="AE1104" t="str">
        <f t="shared" si="197"/>
        <v>Won</v>
      </c>
    </row>
    <row r="1105" spans="1:31">
      <c r="A1105" t="s">
        <v>1207</v>
      </c>
      <c r="B1105" s="1">
        <v>46092</v>
      </c>
      <c r="C1105" t="s">
        <v>69</v>
      </c>
      <c r="D1105" t="s">
        <v>57</v>
      </c>
      <c r="E1105" t="s">
        <v>123</v>
      </c>
      <c r="F1105" t="s">
        <v>52</v>
      </c>
      <c r="G1105" t="s">
        <v>112</v>
      </c>
      <c r="H1105" t="s">
        <v>53</v>
      </c>
      <c r="I1105" t="s">
        <v>61</v>
      </c>
      <c r="J1105" s="1">
        <v>46187</v>
      </c>
      <c r="K1105" s="1">
        <v>46187</v>
      </c>
      <c r="L1105" s="3">
        <v>18600</v>
      </c>
      <c r="M1105" s="4">
        <v>0</v>
      </c>
      <c r="N1105" s="4">
        <v>0</v>
      </c>
      <c r="O1105" t="s">
        <v>62</v>
      </c>
      <c r="P1105">
        <v>4</v>
      </c>
      <c r="Q1105" t="str">
        <f>IFERROR(VLOOKUP(E1105,Lookups!$A$5:$B$24,2,FALSE),"Other")</f>
        <v>Email</v>
      </c>
      <c r="R1105" t="str">
        <f>IFERROR(VLOOKUP(F1105,Lookups!$D$5:$F$10,2,FALSE),"Unknown Product")</f>
        <v>NexaCRM Core</v>
      </c>
      <c r="S1105" t="str">
        <f>IFERROR(VLOOKUP(F1105,Lookups!$D$5:$F$10,3,FALSE),"Unknown")</f>
        <v>CRM</v>
      </c>
      <c r="T1105" t="str">
        <f t="shared" si="187"/>
        <v>SMB</v>
      </c>
      <c r="U1105" t="str">
        <f t="shared" si="188"/>
        <v>Lost</v>
      </c>
      <c r="V1105" s="3">
        <f t="shared" si="189"/>
        <v>0</v>
      </c>
      <c r="W1105" s="3">
        <f t="shared" si="190"/>
        <v>0</v>
      </c>
      <c r="X1105" s="5">
        <f t="shared" si="191"/>
        <v>95</v>
      </c>
      <c r="Y1105" s="5">
        <f>IF(U1105="Open",Lookups!$B$2-B1105,X1105)</f>
        <v>95</v>
      </c>
      <c r="Z1105" t="str">
        <f t="shared" si="192"/>
        <v>OK</v>
      </c>
      <c r="AA1105" t="str">
        <f t="shared" si="193"/>
        <v>2026-03</v>
      </c>
      <c r="AB1105" t="str">
        <f t="shared" si="194"/>
        <v>2026-06</v>
      </c>
      <c r="AC1105" t="str">
        <f t="shared" si="195"/>
        <v>Q1-2026</v>
      </c>
      <c r="AD1105" s="5">
        <f t="shared" si="196"/>
        <v>60</v>
      </c>
      <c r="AE1105" t="str">
        <f t="shared" si="197"/>
        <v>Lost</v>
      </c>
    </row>
    <row r="1106" spans="1:31">
      <c r="A1106" t="s">
        <v>1208</v>
      </c>
      <c r="B1106" s="1">
        <v>45874</v>
      </c>
      <c r="C1106" t="s">
        <v>42</v>
      </c>
      <c r="D1106" t="s">
        <v>43</v>
      </c>
      <c r="E1106" t="s">
        <v>138</v>
      </c>
      <c r="F1106" t="s">
        <v>71</v>
      </c>
      <c r="G1106" t="s">
        <v>60</v>
      </c>
      <c r="H1106" t="s">
        <v>47</v>
      </c>
      <c r="I1106" t="s">
        <v>61</v>
      </c>
      <c r="J1106" s="1">
        <v>45913</v>
      </c>
      <c r="K1106" s="1">
        <v>45913</v>
      </c>
      <c r="L1106" s="3">
        <v>18100</v>
      </c>
      <c r="M1106" s="4">
        <v>0</v>
      </c>
      <c r="N1106" s="4">
        <v>0</v>
      </c>
      <c r="O1106" t="s">
        <v>81</v>
      </c>
      <c r="P1106">
        <v>4</v>
      </c>
      <c r="Q1106" t="str">
        <f>IFERROR(VLOOKUP(E1106,Lookups!$A$5:$B$24,2,FALSE),"Other")</f>
        <v>Organic Search</v>
      </c>
      <c r="R1106" t="str">
        <f>IFERROR(VLOOKUP(F1106,Lookups!$D$5:$F$10,2,FALSE),"Unknown Product")</f>
        <v>Marketing Automation</v>
      </c>
      <c r="S1106" t="str">
        <f>IFERROR(VLOOKUP(F1106,Lookups!$D$5:$F$10,3,FALSE),"Unknown")</f>
        <v>Marketing</v>
      </c>
      <c r="T1106" t="str">
        <f t="shared" si="187"/>
        <v>SMB</v>
      </c>
      <c r="U1106" t="str">
        <f t="shared" si="188"/>
        <v>Lost</v>
      </c>
      <c r="V1106" s="3">
        <f t="shared" si="189"/>
        <v>0</v>
      </c>
      <c r="W1106" s="3">
        <f t="shared" si="190"/>
        <v>0</v>
      </c>
      <c r="X1106" s="5">
        <f t="shared" si="191"/>
        <v>39</v>
      </c>
      <c r="Y1106" s="5">
        <f>IF(U1106="Open",Lookups!$B$2-B1106,X1106)</f>
        <v>39</v>
      </c>
      <c r="Z1106" t="str">
        <f t="shared" si="192"/>
        <v>OK</v>
      </c>
      <c r="AA1106" t="str">
        <f t="shared" si="193"/>
        <v>2025-08</v>
      </c>
      <c r="AB1106" t="str">
        <f t="shared" si="194"/>
        <v>2025-09</v>
      </c>
      <c r="AC1106" t="str">
        <f t="shared" si="195"/>
        <v>Q3-2025</v>
      </c>
      <c r="AD1106" s="5">
        <f t="shared" si="196"/>
        <v>49</v>
      </c>
      <c r="AE1106" t="str">
        <f t="shared" si="197"/>
        <v>Lost</v>
      </c>
    </row>
    <row r="1107" spans="1:31">
      <c r="A1107" t="s">
        <v>1209</v>
      </c>
      <c r="B1107" s="1">
        <v>46217</v>
      </c>
      <c r="C1107" t="s">
        <v>42</v>
      </c>
      <c r="D1107" t="s">
        <v>43</v>
      </c>
      <c r="E1107" t="s">
        <v>166</v>
      </c>
      <c r="F1107" t="s">
        <v>133</v>
      </c>
      <c r="G1107" t="s">
        <v>76</v>
      </c>
      <c r="H1107" t="s">
        <v>53</v>
      </c>
      <c r="I1107" t="s">
        <v>61</v>
      </c>
      <c r="J1107" s="1">
        <v>46266</v>
      </c>
      <c r="K1107" s="1">
        <v>46266</v>
      </c>
      <c r="L1107" s="3">
        <v>24600</v>
      </c>
      <c r="M1107" s="4">
        <v>0</v>
      </c>
      <c r="N1107" s="4">
        <v>0</v>
      </c>
      <c r="O1107" t="s">
        <v>110</v>
      </c>
      <c r="P1107">
        <v>2</v>
      </c>
      <c r="Q1107" t="str">
        <f>IFERROR(VLOOKUP(E1107,Lookups!$A$5:$B$24,2,FALSE),"Other")</f>
        <v>Referral</v>
      </c>
      <c r="R1107" t="str">
        <f>IFERROR(VLOOKUP(F1107,Lookups!$D$5:$F$10,2,FALSE),"Unknown Product")</f>
        <v>Analytics Plus</v>
      </c>
      <c r="S1107" t="str">
        <f>IFERROR(VLOOKUP(F1107,Lookups!$D$5:$F$10,3,FALSE),"Unknown")</f>
        <v>Analytics</v>
      </c>
      <c r="T1107" t="str">
        <f t="shared" si="187"/>
        <v>Mid-Market</v>
      </c>
      <c r="U1107" t="str">
        <f t="shared" si="188"/>
        <v>Lost</v>
      </c>
      <c r="V1107" s="3">
        <f t="shared" si="189"/>
        <v>0</v>
      </c>
      <c r="W1107" s="3">
        <f t="shared" si="190"/>
        <v>0</v>
      </c>
      <c r="X1107" s="5">
        <f t="shared" si="191"/>
        <v>49</v>
      </c>
      <c r="Y1107" s="5">
        <f>IF(U1107="Open",Lookups!$B$2-B1107,X1107)</f>
        <v>49</v>
      </c>
      <c r="Z1107" t="str">
        <f t="shared" si="192"/>
        <v>OK</v>
      </c>
      <c r="AA1107" t="str">
        <f t="shared" si="193"/>
        <v>2026-07</v>
      </c>
      <c r="AB1107" t="str">
        <f t="shared" si="194"/>
        <v>2026-09</v>
      </c>
      <c r="AC1107" t="str">
        <f t="shared" si="195"/>
        <v>Q3-2026</v>
      </c>
      <c r="AD1107" s="5">
        <f t="shared" si="196"/>
        <v>70</v>
      </c>
      <c r="AE1107" t="str">
        <f t="shared" si="197"/>
        <v>Lost</v>
      </c>
    </row>
    <row r="1108" spans="1:31">
      <c r="A1108" t="s">
        <v>1210</v>
      </c>
      <c r="B1108" s="1">
        <v>46114</v>
      </c>
      <c r="C1108" t="s">
        <v>64</v>
      </c>
      <c r="D1108" t="s">
        <v>57</v>
      </c>
      <c r="E1108" t="s">
        <v>119</v>
      </c>
      <c r="F1108" t="s">
        <v>59</v>
      </c>
      <c r="G1108" t="s">
        <v>76</v>
      </c>
      <c r="H1108" t="s">
        <v>47</v>
      </c>
      <c r="I1108" t="s">
        <v>61</v>
      </c>
      <c r="J1108" s="1">
        <v>46182</v>
      </c>
      <c r="K1108" s="1">
        <v>46182</v>
      </c>
      <c r="L1108" s="3">
        <v>14600</v>
      </c>
      <c r="M1108" s="4">
        <v>0</v>
      </c>
      <c r="N1108" s="4">
        <v>0</v>
      </c>
      <c r="O1108" t="s">
        <v>116</v>
      </c>
      <c r="P1108">
        <v>3</v>
      </c>
      <c r="Q1108" t="str">
        <f>IFERROR(VLOOKUP(E1108,Lookups!$A$5:$B$24,2,FALSE),"Other")</f>
        <v>Referral</v>
      </c>
      <c r="R1108" t="str">
        <f>IFERROR(VLOOKUP(F1108,Lookups!$D$5:$F$10,2,FALSE),"Unknown Product")</f>
        <v>NexaCRM Pro</v>
      </c>
      <c r="S1108" t="str">
        <f>IFERROR(VLOOKUP(F1108,Lookups!$D$5:$F$10,3,FALSE),"Unknown")</f>
        <v>CRM</v>
      </c>
      <c r="T1108" t="str">
        <f t="shared" si="187"/>
        <v>SMB</v>
      </c>
      <c r="U1108" t="str">
        <f t="shared" si="188"/>
        <v>Lost</v>
      </c>
      <c r="V1108" s="3">
        <f t="shared" si="189"/>
        <v>0</v>
      </c>
      <c r="W1108" s="3">
        <f t="shared" si="190"/>
        <v>0</v>
      </c>
      <c r="X1108" s="5">
        <f t="shared" si="191"/>
        <v>68</v>
      </c>
      <c r="Y1108" s="5">
        <f>IF(U1108="Open",Lookups!$B$2-B1108,X1108)</f>
        <v>68</v>
      </c>
      <c r="Z1108" t="str">
        <f t="shared" si="192"/>
        <v>OK</v>
      </c>
      <c r="AA1108" t="str">
        <f t="shared" si="193"/>
        <v>2026-04</v>
      </c>
      <c r="AB1108" t="str">
        <f t="shared" si="194"/>
        <v>2026-06</v>
      </c>
      <c r="AC1108" t="str">
        <f t="shared" si="195"/>
        <v>Q2-2026</v>
      </c>
      <c r="AD1108" s="5">
        <f t="shared" si="196"/>
        <v>54</v>
      </c>
      <c r="AE1108" t="str">
        <f t="shared" si="197"/>
        <v>Lost</v>
      </c>
    </row>
    <row r="1109" spans="1:31">
      <c r="A1109" t="s">
        <v>1211</v>
      </c>
      <c r="B1109" s="1">
        <v>45672</v>
      </c>
      <c r="C1109" t="s">
        <v>148</v>
      </c>
      <c r="D1109" t="s">
        <v>43</v>
      </c>
      <c r="E1109" t="s">
        <v>65</v>
      </c>
      <c r="F1109" t="s">
        <v>59</v>
      </c>
      <c r="G1109" t="s">
        <v>112</v>
      </c>
      <c r="H1109" t="s">
        <v>84</v>
      </c>
      <c r="I1109" t="s">
        <v>77</v>
      </c>
      <c r="J1109" s="1">
        <v>45767</v>
      </c>
      <c r="K1109" s="1">
        <v>45767</v>
      </c>
      <c r="L1109" s="3">
        <v>88600</v>
      </c>
      <c r="M1109" s="4">
        <v>0.1</v>
      </c>
      <c r="N1109" s="4">
        <v>1</v>
      </c>
      <c r="P1109">
        <v>6</v>
      </c>
      <c r="Q1109" t="str">
        <f>IFERROR(VLOOKUP(E1109,Lookups!$A$5:$B$24,2,FALSE),"Other")</f>
        <v>Paid Search</v>
      </c>
      <c r="R1109" t="str">
        <f>IFERROR(VLOOKUP(F1109,Lookups!$D$5:$F$10,2,FALSE),"Unknown Product")</f>
        <v>NexaCRM Pro</v>
      </c>
      <c r="S1109" t="str">
        <f>IFERROR(VLOOKUP(F1109,Lookups!$D$5:$F$10,3,FALSE),"Unknown")</f>
        <v>CRM</v>
      </c>
      <c r="T1109" t="str">
        <f t="shared" si="187"/>
        <v>Enterprise</v>
      </c>
      <c r="U1109" t="str">
        <f t="shared" si="188"/>
        <v>Won</v>
      </c>
      <c r="V1109" s="3">
        <f t="shared" si="189"/>
        <v>79740</v>
      </c>
      <c r="W1109" s="3">
        <f t="shared" si="190"/>
        <v>0</v>
      </c>
      <c r="X1109" s="5">
        <f t="shared" si="191"/>
        <v>95</v>
      </c>
      <c r="Y1109" s="5">
        <f>IF(U1109="Open",Lookups!$B$2-B1109,X1109)</f>
        <v>95</v>
      </c>
      <c r="Z1109" t="str">
        <f t="shared" si="192"/>
        <v>OK</v>
      </c>
      <c r="AA1109" t="str">
        <f t="shared" si="193"/>
        <v>2025-01</v>
      </c>
      <c r="AB1109" t="str">
        <f t="shared" si="194"/>
        <v>2025-04</v>
      </c>
      <c r="AC1109" t="str">
        <f t="shared" si="195"/>
        <v>Q1-2025</v>
      </c>
      <c r="AD1109" s="5">
        <f t="shared" si="196"/>
        <v>79</v>
      </c>
      <c r="AE1109" t="str">
        <f t="shared" si="197"/>
        <v>Won</v>
      </c>
    </row>
    <row r="1110" spans="1:31">
      <c r="A1110" t="s">
        <v>1212</v>
      </c>
      <c r="B1110" s="1">
        <v>46247</v>
      </c>
      <c r="C1110" t="s">
        <v>50</v>
      </c>
      <c r="D1110" t="s">
        <v>43</v>
      </c>
      <c r="E1110" t="s">
        <v>166</v>
      </c>
      <c r="F1110" t="s">
        <v>71</v>
      </c>
      <c r="G1110" t="s">
        <v>99</v>
      </c>
      <c r="H1110" t="s">
        <v>47</v>
      </c>
      <c r="I1110" t="s">
        <v>73</v>
      </c>
      <c r="J1110" s="1">
        <v>46257</v>
      </c>
      <c r="K1110" s="1"/>
      <c r="L1110" s="3">
        <v>9700</v>
      </c>
      <c r="M1110" s="4">
        <v>0.05</v>
      </c>
      <c r="N1110" s="4">
        <v>0.2</v>
      </c>
      <c r="P1110">
        <v>2</v>
      </c>
      <c r="Q1110" t="str">
        <f>IFERROR(VLOOKUP(E1110,Lookups!$A$5:$B$24,2,FALSE),"Other")</f>
        <v>Referral</v>
      </c>
      <c r="R1110" t="str">
        <f>IFERROR(VLOOKUP(F1110,Lookups!$D$5:$F$10,2,FALSE),"Unknown Product")</f>
        <v>Marketing Automation</v>
      </c>
      <c r="S1110" t="str">
        <f>IFERROR(VLOOKUP(F1110,Lookups!$D$5:$F$10,3,FALSE),"Unknown")</f>
        <v>Marketing</v>
      </c>
      <c r="T1110" t="str">
        <f t="shared" si="187"/>
        <v>SMB</v>
      </c>
      <c r="U1110" t="str">
        <f t="shared" si="188"/>
        <v>Open</v>
      </c>
      <c r="V1110" s="3">
        <f t="shared" si="189"/>
        <v>0</v>
      </c>
      <c r="W1110" s="3">
        <f t="shared" si="190"/>
        <v>1940</v>
      </c>
      <c r="X1110" s="5" t="str">
        <f t="shared" si="191"/>
        <v/>
      </c>
      <c r="Y1110" s="5">
        <f>IF(U1110="Open",Lookups!$B$2-B1110,X1110)</f>
        <v>19</v>
      </c>
      <c r="Z1110" t="str">
        <f t="shared" si="192"/>
        <v>OK</v>
      </c>
      <c r="AA1110" t="str">
        <f t="shared" si="193"/>
        <v>2026-08</v>
      </c>
      <c r="AB1110" t="str">
        <f t="shared" si="194"/>
        <v/>
      </c>
      <c r="AC1110" t="str">
        <f t="shared" si="195"/>
        <v>Q3-2026</v>
      </c>
      <c r="AD1110" s="5">
        <f t="shared" si="196"/>
        <v>54</v>
      </c>
      <c r="AE1110" t="str">
        <f t="shared" si="197"/>
        <v>Pipeline</v>
      </c>
    </row>
    <row r="1111" spans="1:31">
      <c r="A1111" t="s">
        <v>1213</v>
      </c>
      <c r="B1111" s="1">
        <v>45900</v>
      </c>
      <c r="C1111" t="s">
        <v>42</v>
      </c>
      <c r="D1111" t="s">
        <v>43</v>
      </c>
      <c r="E1111" t="s">
        <v>51</v>
      </c>
      <c r="F1111" t="s">
        <v>52</v>
      </c>
      <c r="G1111" t="s">
        <v>76</v>
      </c>
      <c r="H1111" t="s">
        <v>84</v>
      </c>
      <c r="I1111" t="s">
        <v>48</v>
      </c>
      <c r="J1111" s="1">
        <v>46107</v>
      </c>
      <c r="K1111" s="1"/>
      <c r="L1111" s="3">
        <v>25700</v>
      </c>
      <c r="M1111" s="4">
        <v>0</v>
      </c>
      <c r="N1111" s="4">
        <v>0.85</v>
      </c>
      <c r="P1111">
        <v>5</v>
      </c>
      <c r="Q1111" t="str">
        <f>IFERROR(VLOOKUP(E1111,Lookups!$A$5:$B$24,2,FALSE),"Other")</f>
        <v>Paid Search</v>
      </c>
      <c r="R1111" t="str">
        <f>IFERROR(VLOOKUP(F1111,Lookups!$D$5:$F$10,2,FALSE),"Unknown Product")</f>
        <v>NexaCRM Core</v>
      </c>
      <c r="S1111" t="str">
        <f>IFERROR(VLOOKUP(F1111,Lookups!$D$5:$F$10,3,FALSE),"Unknown")</f>
        <v>CRM</v>
      </c>
      <c r="T1111" t="str">
        <f t="shared" si="187"/>
        <v>Mid-Market</v>
      </c>
      <c r="U1111" t="str">
        <f t="shared" si="188"/>
        <v>Open</v>
      </c>
      <c r="V1111" s="3">
        <f t="shared" si="189"/>
        <v>0</v>
      </c>
      <c r="W1111" s="3">
        <f t="shared" si="190"/>
        <v>21845</v>
      </c>
      <c r="X1111" s="5" t="str">
        <f t="shared" si="191"/>
        <v/>
      </c>
      <c r="Y1111" s="5">
        <f>IF(U1111="Open",Lookups!$B$2-B1111,X1111)</f>
        <v>366</v>
      </c>
      <c r="Z1111" t="str">
        <f t="shared" si="192"/>
        <v>STALE</v>
      </c>
      <c r="AA1111" t="str">
        <f t="shared" si="193"/>
        <v>2025-08</v>
      </c>
      <c r="AB1111" t="str">
        <f t="shared" si="194"/>
        <v/>
      </c>
      <c r="AC1111" t="str">
        <f t="shared" si="195"/>
        <v>Q3-2025</v>
      </c>
      <c r="AD1111" s="5">
        <f t="shared" si="196"/>
        <v>67</v>
      </c>
      <c r="AE1111" t="str">
        <f t="shared" si="197"/>
        <v>Commit</v>
      </c>
    </row>
    <row r="1112" spans="1:31">
      <c r="A1112" t="s">
        <v>1214</v>
      </c>
      <c r="B1112" s="1">
        <v>45756</v>
      </c>
      <c r="C1112" t="s">
        <v>64</v>
      </c>
      <c r="D1112" t="s">
        <v>57</v>
      </c>
      <c r="E1112" t="s">
        <v>138</v>
      </c>
      <c r="F1112" t="s">
        <v>67</v>
      </c>
      <c r="G1112" t="s">
        <v>46</v>
      </c>
      <c r="H1112" t="s">
        <v>53</v>
      </c>
      <c r="I1112" t="s">
        <v>77</v>
      </c>
      <c r="J1112" s="1">
        <v>45831</v>
      </c>
      <c r="K1112" s="1">
        <v>45831</v>
      </c>
      <c r="L1112" s="3">
        <v>73900</v>
      </c>
      <c r="M1112" s="4">
        <v>0</v>
      </c>
      <c r="N1112" s="4">
        <v>1</v>
      </c>
      <c r="P1112">
        <v>6</v>
      </c>
      <c r="Q1112" t="str">
        <f>IFERROR(VLOOKUP(E1112,Lookups!$A$5:$B$24,2,FALSE),"Other")</f>
        <v>Organic Search</v>
      </c>
      <c r="R1112" t="str">
        <f>IFERROR(VLOOKUP(F1112,Lookups!$D$5:$F$10,2,FALSE),"Unknown Product")</f>
        <v>Revenue Operations Suite</v>
      </c>
      <c r="S1112" t="str">
        <f>IFERROR(VLOOKUP(F1112,Lookups!$D$5:$F$10,3,FALSE),"Unknown")</f>
        <v>Revenue Ops</v>
      </c>
      <c r="T1112" t="str">
        <f t="shared" si="187"/>
        <v>Enterprise</v>
      </c>
      <c r="U1112" t="str">
        <f t="shared" si="188"/>
        <v>Won</v>
      </c>
      <c r="V1112" s="3">
        <f t="shared" si="189"/>
        <v>73900</v>
      </c>
      <c r="W1112" s="3">
        <f t="shared" si="190"/>
        <v>0</v>
      </c>
      <c r="X1112" s="5">
        <f t="shared" si="191"/>
        <v>75</v>
      </c>
      <c r="Y1112" s="5">
        <f>IF(U1112="Open",Lookups!$B$2-B1112,X1112)</f>
        <v>75</v>
      </c>
      <c r="Z1112" t="str">
        <f t="shared" si="192"/>
        <v>OK</v>
      </c>
      <c r="AA1112" t="str">
        <f t="shared" si="193"/>
        <v>2025-04</v>
      </c>
      <c r="AB1112" t="str">
        <f t="shared" si="194"/>
        <v>2025-06</v>
      </c>
      <c r="AC1112" t="str">
        <f t="shared" si="195"/>
        <v>Q2-2025</v>
      </c>
      <c r="AD1112" s="5">
        <f t="shared" si="196"/>
        <v>72</v>
      </c>
      <c r="AE1112" t="str">
        <f t="shared" si="197"/>
        <v>Won</v>
      </c>
    </row>
    <row r="1113" spans="1:31">
      <c r="A1113" t="s">
        <v>1215</v>
      </c>
      <c r="B1113" s="1">
        <v>46094</v>
      </c>
      <c r="C1113" t="s">
        <v>86</v>
      </c>
      <c r="D1113" t="s">
        <v>87</v>
      </c>
      <c r="E1113" t="s">
        <v>107</v>
      </c>
      <c r="F1113" t="s">
        <v>45</v>
      </c>
      <c r="G1113" t="s">
        <v>99</v>
      </c>
      <c r="H1113" t="s">
        <v>47</v>
      </c>
      <c r="I1113" t="s">
        <v>61</v>
      </c>
      <c r="J1113" s="1">
        <v>46102</v>
      </c>
      <c r="K1113" s="1">
        <v>46102</v>
      </c>
      <c r="L1113" s="3">
        <v>19000</v>
      </c>
      <c r="M1113" s="4">
        <v>0</v>
      </c>
      <c r="N1113" s="4">
        <v>0</v>
      </c>
      <c r="O1113" t="s">
        <v>116</v>
      </c>
      <c r="P1113">
        <v>4</v>
      </c>
      <c r="Q1113" t="str">
        <f>IFERROR(VLOOKUP(E1113,Lookups!$A$5:$B$24,2,FALSE),"Other")</f>
        <v>Referral</v>
      </c>
      <c r="R1113" t="str">
        <f>IFERROR(VLOOKUP(F1113,Lookups!$D$5:$F$10,2,FALSE),"Unknown Product")</f>
        <v>Service Cloud</v>
      </c>
      <c r="S1113" t="str">
        <f>IFERROR(VLOOKUP(F1113,Lookups!$D$5:$F$10,3,FALSE),"Unknown")</f>
        <v>Customer Service</v>
      </c>
      <c r="T1113" t="str">
        <f t="shared" si="187"/>
        <v>SMB</v>
      </c>
      <c r="U1113" t="str">
        <f t="shared" si="188"/>
        <v>Lost</v>
      </c>
      <c r="V1113" s="3">
        <f t="shared" si="189"/>
        <v>0</v>
      </c>
      <c r="W1113" s="3">
        <f t="shared" si="190"/>
        <v>0</v>
      </c>
      <c r="X1113" s="5">
        <f t="shared" si="191"/>
        <v>8</v>
      </c>
      <c r="Y1113" s="5">
        <f>IF(U1113="Open",Lookups!$B$2-B1113,X1113)</f>
        <v>8</v>
      </c>
      <c r="Z1113" t="str">
        <f t="shared" si="192"/>
        <v>OK</v>
      </c>
      <c r="AA1113" t="str">
        <f t="shared" si="193"/>
        <v>2026-03</v>
      </c>
      <c r="AB1113" t="str">
        <f t="shared" si="194"/>
        <v>2026-03</v>
      </c>
      <c r="AC1113" t="str">
        <f t="shared" si="195"/>
        <v>Q1-2026</v>
      </c>
      <c r="AD1113" s="5">
        <f t="shared" si="196"/>
        <v>54</v>
      </c>
      <c r="AE1113" t="str">
        <f t="shared" si="197"/>
        <v>Lost</v>
      </c>
    </row>
    <row r="1114" spans="1:31">
      <c r="A1114" t="s">
        <v>1216</v>
      </c>
      <c r="B1114" s="1">
        <v>45682</v>
      </c>
      <c r="C1114" t="s">
        <v>86</v>
      </c>
      <c r="D1114" t="s">
        <v>87</v>
      </c>
      <c r="E1114" t="s">
        <v>44</v>
      </c>
      <c r="F1114" t="s">
        <v>59</v>
      </c>
      <c r="G1114" t="s">
        <v>46</v>
      </c>
      <c r="H1114" t="s">
        <v>53</v>
      </c>
      <c r="I1114" t="s">
        <v>77</v>
      </c>
      <c r="J1114" s="1">
        <v>45739</v>
      </c>
      <c r="K1114" s="1">
        <v>45739</v>
      </c>
      <c r="L1114" s="3">
        <v>38900</v>
      </c>
      <c r="M1114" s="4">
        <v>0.05</v>
      </c>
      <c r="N1114" s="4">
        <v>1</v>
      </c>
      <c r="P1114">
        <v>6</v>
      </c>
      <c r="Q1114" t="str">
        <f>IFERROR(VLOOKUP(E1114,Lookups!$A$5:$B$24,2,FALSE),"Other")</f>
        <v>Organic Search</v>
      </c>
      <c r="R1114" t="str">
        <f>IFERROR(VLOOKUP(F1114,Lookups!$D$5:$F$10,2,FALSE),"Unknown Product")</f>
        <v>NexaCRM Pro</v>
      </c>
      <c r="S1114" t="str">
        <f>IFERROR(VLOOKUP(F1114,Lookups!$D$5:$F$10,3,FALSE),"Unknown")</f>
        <v>CRM</v>
      </c>
      <c r="T1114" t="str">
        <f t="shared" si="187"/>
        <v>Mid-Market</v>
      </c>
      <c r="U1114" t="str">
        <f t="shared" si="188"/>
        <v>Won</v>
      </c>
      <c r="V1114" s="3">
        <f t="shared" si="189"/>
        <v>36955</v>
      </c>
      <c r="W1114" s="3">
        <f t="shared" si="190"/>
        <v>0</v>
      </c>
      <c r="X1114" s="5">
        <f t="shared" si="191"/>
        <v>57</v>
      </c>
      <c r="Y1114" s="5">
        <f>IF(U1114="Open",Lookups!$B$2-B1114,X1114)</f>
        <v>57</v>
      </c>
      <c r="Z1114" t="str">
        <f t="shared" si="192"/>
        <v>OK</v>
      </c>
      <c r="AA1114" t="str">
        <f t="shared" si="193"/>
        <v>2025-01</v>
      </c>
      <c r="AB1114" t="str">
        <f t="shared" si="194"/>
        <v>2025-03</v>
      </c>
      <c r="AC1114" t="str">
        <f t="shared" si="195"/>
        <v>Q1-2025</v>
      </c>
      <c r="AD1114" s="5">
        <f t="shared" si="196"/>
        <v>65</v>
      </c>
      <c r="AE1114" t="str">
        <f t="shared" si="197"/>
        <v>Won</v>
      </c>
    </row>
    <row r="1115" spans="1:31">
      <c r="A1115" t="s">
        <v>1217</v>
      </c>
      <c r="B1115" s="1">
        <v>46217</v>
      </c>
      <c r="C1115" t="s">
        <v>86</v>
      </c>
      <c r="D1115" t="s">
        <v>87</v>
      </c>
      <c r="E1115" t="s">
        <v>160</v>
      </c>
      <c r="F1115" t="s">
        <v>133</v>
      </c>
      <c r="G1115" t="s">
        <v>99</v>
      </c>
      <c r="H1115" t="s">
        <v>53</v>
      </c>
      <c r="I1115" t="s">
        <v>61</v>
      </c>
      <c r="J1115" s="1">
        <v>46260</v>
      </c>
      <c r="K1115" s="1">
        <v>46260</v>
      </c>
      <c r="L1115" s="3">
        <v>42400</v>
      </c>
      <c r="M1115" s="4">
        <v>0</v>
      </c>
      <c r="N1115" s="4">
        <v>0</v>
      </c>
      <c r="O1115" t="s">
        <v>110</v>
      </c>
      <c r="P1115">
        <v>3</v>
      </c>
      <c r="Q1115" t="str">
        <f>IFERROR(VLOOKUP(E1115,Lookups!$A$5:$B$24,2,FALSE),"Other")</f>
        <v>Email</v>
      </c>
      <c r="R1115" t="str">
        <f>IFERROR(VLOOKUP(F1115,Lookups!$D$5:$F$10,2,FALSE),"Unknown Product")</f>
        <v>Analytics Plus</v>
      </c>
      <c r="S1115" t="str">
        <f>IFERROR(VLOOKUP(F1115,Lookups!$D$5:$F$10,3,FALSE),"Unknown")</f>
        <v>Analytics</v>
      </c>
      <c r="T1115" t="str">
        <f t="shared" si="187"/>
        <v>Mid-Market</v>
      </c>
      <c r="U1115" t="str">
        <f t="shared" si="188"/>
        <v>Lost</v>
      </c>
      <c r="V1115" s="3">
        <f t="shared" si="189"/>
        <v>0</v>
      </c>
      <c r="W1115" s="3">
        <f t="shared" si="190"/>
        <v>0</v>
      </c>
      <c r="X1115" s="5">
        <f t="shared" si="191"/>
        <v>43</v>
      </c>
      <c r="Y1115" s="5">
        <f>IF(U1115="Open",Lookups!$B$2-B1115,X1115)</f>
        <v>43</v>
      </c>
      <c r="Z1115" t="str">
        <f t="shared" si="192"/>
        <v>OK</v>
      </c>
      <c r="AA1115" t="str">
        <f t="shared" si="193"/>
        <v>2026-07</v>
      </c>
      <c r="AB1115" t="str">
        <f t="shared" si="194"/>
        <v>2026-08</v>
      </c>
      <c r="AC1115" t="str">
        <f t="shared" si="195"/>
        <v>Q3-2026</v>
      </c>
      <c r="AD1115" s="5">
        <f t="shared" si="196"/>
        <v>63</v>
      </c>
      <c r="AE1115" t="str">
        <f t="shared" si="197"/>
        <v>Lost</v>
      </c>
    </row>
    <row r="1116" spans="1:31">
      <c r="A1116" t="s">
        <v>1218</v>
      </c>
      <c r="B1116" s="1">
        <v>46012</v>
      </c>
      <c r="C1116" t="s">
        <v>42</v>
      </c>
      <c r="D1116" t="s">
        <v>43</v>
      </c>
      <c r="E1116" t="s">
        <v>51</v>
      </c>
      <c r="F1116" t="s">
        <v>45</v>
      </c>
      <c r="G1116" t="s">
        <v>94</v>
      </c>
      <c r="H1116" t="s">
        <v>53</v>
      </c>
      <c r="I1116" t="s">
        <v>61</v>
      </c>
      <c r="J1116" s="1">
        <v>46043</v>
      </c>
      <c r="K1116" s="1">
        <v>46043</v>
      </c>
      <c r="L1116" s="3">
        <v>33100</v>
      </c>
      <c r="M1116" s="4">
        <v>0</v>
      </c>
      <c r="N1116" s="4">
        <v>0</v>
      </c>
      <c r="O1116" t="s">
        <v>79</v>
      </c>
      <c r="P1116">
        <v>5</v>
      </c>
      <c r="Q1116" t="str">
        <f>IFERROR(VLOOKUP(E1116,Lookups!$A$5:$B$24,2,FALSE),"Other")</f>
        <v>Paid Search</v>
      </c>
      <c r="R1116" t="str">
        <f>IFERROR(VLOOKUP(F1116,Lookups!$D$5:$F$10,2,FALSE),"Unknown Product")</f>
        <v>Service Cloud</v>
      </c>
      <c r="S1116" t="str">
        <f>IFERROR(VLOOKUP(F1116,Lookups!$D$5:$F$10,3,FALSE),"Unknown")</f>
        <v>Customer Service</v>
      </c>
      <c r="T1116" t="str">
        <f t="shared" si="187"/>
        <v>Mid-Market</v>
      </c>
      <c r="U1116" t="str">
        <f t="shared" si="188"/>
        <v>Lost</v>
      </c>
      <c r="V1116" s="3">
        <f t="shared" si="189"/>
        <v>0</v>
      </c>
      <c r="W1116" s="3">
        <f t="shared" si="190"/>
        <v>0</v>
      </c>
      <c r="X1116" s="5">
        <f t="shared" si="191"/>
        <v>31</v>
      </c>
      <c r="Y1116" s="5">
        <f>IF(U1116="Open",Lookups!$B$2-B1116,X1116)</f>
        <v>31</v>
      </c>
      <c r="Z1116" t="str">
        <f t="shared" si="192"/>
        <v>OK</v>
      </c>
      <c r="AA1116" t="str">
        <f t="shared" si="193"/>
        <v>2025-12</v>
      </c>
      <c r="AB1116" t="str">
        <f t="shared" si="194"/>
        <v>2026-01</v>
      </c>
      <c r="AC1116" t="str">
        <f t="shared" si="195"/>
        <v>Q4-2025</v>
      </c>
      <c r="AD1116" s="5">
        <f t="shared" si="196"/>
        <v>59</v>
      </c>
      <c r="AE1116" t="str">
        <f t="shared" si="197"/>
        <v>Lost</v>
      </c>
    </row>
    <row r="1117" spans="1:31">
      <c r="A1117" t="s">
        <v>1219</v>
      </c>
      <c r="B1117" s="1">
        <v>45917</v>
      </c>
      <c r="C1117" t="s">
        <v>42</v>
      </c>
      <c r="D1117" t="s">
        <v>43</v>
      </c>
      <c r="E1117" t="s">
        <v>96</v>
      </c>
      <c r="F1117" t="s">
        <v>59</v>
      </c>
      <c r="G1117" t="s">
        <v>112</v>
      </c>
      <c r="H1117" t="s">
        <v>53</v>
      </c>
      <c r="I1117" t="s">
        <v>77</v>
      </c>
      <c r="J1117" s="1">
        <v>45987</v>
      </c>
      <c r="K1117" s="1">
        <v>45987</v>
      </c>
      <c r="L1117" s="3">
        <v>34300</v>
      </c>
      <c r="M1117" s="4">
        <v>0.05</v>
      </c>
      <c r="N1117" s="4">
        <v>1</v>
      </c>
      <c r="P1117">
        <v>6</v>
      </c>
      <c r="Q1117" t="str">
        <f>IFERROR(VLOOKUP(E1117,Lookups!$A$5:$B$24,2,FALSE),"Other")</f>
        <v>LinkedIn</v>
      </c>
      <c r="R1117" t="str">
        <f>IFERROR(VLOOKUP(F1117,Lookups!$D$5:$F$10,2,FALSE),"Unknown Product")</f>
        <v>NexaCRM Pro</v>
      </c>
      <c r="S1117" t="str">
        <f>IFERROR(VLOOKUP(F1117,Lookups!$D$5:$F$10,3,FALSE),"Unknown")</f>
        <v>CRM</v>
      </c>
      <c r="T1117" t="str">
        <f t="shared" si="187"/>
        <v>Mid-Market</v>
      </c>
      <c r="U1117" t="str">
        <f t="shared" si="188"/>
        <v>Won</v>
      </c>
      <c r="V1117" s="3">
        <f t="shared" si="189"/>
        <v>32585</v>
      </c>
      <c r="W1117" s="3">
        <f t="shared" si="190"/>
        <v>0</v>
      </c>
      <c r="X1117" s="5">
        <f t="shared" si="191"/>
        <v>70</v>
      </c>
      <c r="Y1117" s="5">
        <f>IF(U1117="Open",Lookups!$B$2-B1117,X1117)</f>
        <v>70</v>
      </c>
      <c r="Z1117" t="str">
        <f t="shared" si="192"/>
        <v>OK</v>
      </c>
      <c r="AA1117" t="str">
        <f t="shared" si="193"/>
        <v>2025-09</v>
      </c>
      <c r="AB1117" t="str">
        <f t="shared" si="194"/>
        <v>2025-11</v>
      </c>
      <c r="AC1117" t="str">
        <f t="shared" si="195"/>
        <v>Q3-2025</v>
      </c>
      <c r="AD1117" s="5">
        <f t="shared" si="196"/>
        <v>64</v>
      </c>
      <c r="AE1117" t="str">
        <f t="shared" si="197"/>
        <v>Won</v>
      </c>
    </row>
    <row r="1118" spans="1:31">
      <c r="A1118" t="s">
        <v>1220</v>
      </c>
      <c r="B1118" s="1">
        <v>45894</v>
      </c>
      <c r="C1118" t="s">
        <v>50</v>
      </c>
      <c r="D1118" t="s">
        <v>43</v>
      </c>
      <c r="E1118" t="s">
        <v>138</v>
      </c>
      <c r="F1118" t="s">
        <v>71</v>
      </c>
      <c r="G1118" t="s">
        <v>72</v>
      </c>
      <c r="H1118" t="s">
        <v>84</v>
      </c>
      <c r="I1118" t="s">
        <v>77</v>
      </c>
      <c r="J1118" s="1">
        <v>45960</v>
      </c>
      <c r="K1118" s="1">
        <v>45960</v>
      </c>
      <c r="L1118" s="3">
        <v>64400</v>
      </c>
      <c r="M1118" s="4">
        <v>0.03</v>
      </c>
      <c r="N1118" s="4">
        <v>1</v>
      </c>
      <c r="P1118">
        <v>6</v>
      </c>
      <c r="Q1118" t="str">
        <f>IFERROR(VLOOKUP(E1118,Lookups!$A$5:$B$24,2,FALSE),"Other")</f>
        <v>Organic Search</v>
      </c>
      <c r="R1118" t="str">
        <f>IFERROR(VLOOKUP(F1118,Lookups!$D$5:$F$10,2,FALSE),"Unknown Product")</f>
        <v>Marketing Automation</v>
      </c>
      <c r="S1118" t="str">
        <f>IFERROR(VLOOKUP(F1118,Lookups!$D$5:$F$10,3,FALSE),"Unknown")</f>
        <v>Marketing</v>
      </c>
      <c r="T1118" t="str">
        <f t="shared" si="187"/>
        <v>Enterprise</v>
      </c>
      <c r="U1118" t="str">
        <f t="shared" si="188"/>
        <v>Won</v>
      </c>
      <c r="V1118" s="3">
        <f t="shared" si="189"/>
        <v>62468</v>
      </c>
      <c r="W1118" s="3">
        <f t="shared" si="190"/>
        <v>0</v>
      </c>
      <c r="X1118" s="5">
        <f t="shared" si="191"/>
        <v>66</v>
      </c>
      <c r="Y1118" s="5">
        <f>IF(U1118="Open",Lookups!$B$2-B1118,X1118)</f>
        <v>66</v>
      </c>
      <c r="Z1118" t="str">
        <f t="shared" si="192"/>
        <v>OK</v>
      </c>
      <c r="AA1118" t="str">
        <f t="shared" si="193"/>
        <v>2025-08</v>
      </c>
      <c r="AB1118" t="str">
        <f t="shared" si="194"/>
        <v>2025-10</v>
      </c>
      <c r="AC1118" t="str">
        <f t="shared" si="195"/>
        <v>Q3-2025</v>
      </c>
      <c r="AD1118" s="5">
        <f t="shared" si="196"/>
        <v>80</v>
      </c>
      <c r="AE1118" t="str">
        <f t="shared" si="197"/>
        <v>Won</v>
      </c>
    </row>
    <row r="1119" spans="1:31">
      <c r="A1119" t="s">
        <v>1221</v>
      </c>
      <c r="B1119" s="1">
        <v>45784</v>
      </c>
      <c r="C1119" t="s">
        <v>42</v>
      </c>
      <c r="D1119" t="s">
        <v>43</v>
      </c>
      <c r="E1119" t="s">
        <v>138</v>
      </c>
      <c r="F1119" t="s">
        <v>45</v>
      </c>
      <c r="G1119" t="s">
        <v>46</v>
      </c>
      <c r="H1119" t="s">
        <v>53</v>
      </c>
      <c r="I1119" t="s">
        <v>77</v>
      </c>
      <c r="J1119" s="1">
        <v>45813</v>
      </c>
      <c r="K1119" s="1">
        <v>45813</v>
      </c>
      <c r="L1119" s="3">
        <v>37400</v>
      </c>
      <c r="M1119" s="4">
        <v>0.08</v>
      </c>
      <c r="N1119" s="4">
        <v>1</v>
      </c>
      <c r="P1119">
        <v>6</v>
      </c>
      <c r="Q1119" t="str">
        <f>IFERROR(VLOOKUP(E1119,Lookups!$A$5:$B$24,2,FALSE),"Other")</f>
        <v>Organic Search</v>
      </c>
      <c r="R1119" t="str">
        <f>IFERROR(VLOOKUP(F1119,Lookups!$D$5:$F$10,2,FALSE),"Unknown Product")</f>
        <v>Service Cloud</v>
      </c>
      <c r="S1119" t="str">
        <f>IFERROR(VLOOKUP(F1119,Lookups!$D$5:$F$10,3,FALSE),"Unknown")</f>
        <v>Customer Service</v>
      </c>
      <c r="T1119" t="str">
        <f t="shared" si="187"/>
        <v>Mid-Market</v>
      </c>
      <c r="U1119" t="str">
        <f t="shared" si="188"/>
        <v>Won</v>
      </c>
      <c r="V1119" s="3">
        <f t="shared" si="189"/>
        <v>34408</v>
      </c>
      <c r="W1119" s="3">
        <f t="shared" si="190"/>
        <v>0</v>
      </c>
      <c r="X1119" s="5">
        <f t="shared" si="191"/>
        <v>29</v>
      </c>
      <c r="Y1119" s="5">
        <f>IF(U1119="Open",Lookups!$B$2-B1119,X1119)</f>
        <v>29</v>
      </c>
      <c r="Z1119" t="str">
        <f t="shared" si="192"/>
        <v>OK</v>
      </c>
      <c r="AA1119" t="str">
        <f t="shared" si="193"/>
        <v>2025-05</v>
      </c>
      <c r="AB1119" t="str">
        <f t="shared" si="194"/>
        <v>2025-06</v>
      </c>
      <c r="AC1119" t="str">
        <f t="shared" si="195"/>
        <v>Q2-2025</v>
      </c>
      <c r="AD1119" s="5">
        <f t="shared" si="196"/>
        <v>65</v>
      </c>
      <c r="AE1119" t="str">
        <f t="shared" si="197"/>
        <v>Won</v>
      </c>
    </row>
    <row r="1120" spans="1:31">
      <c r="A1120" t="s">
        <v>1222</v>
      </c>
      <c r="B1120" s="1">
        <v>45909</v>
      </c>
      <c r="C1120" t="s">
        <v>42</v>
      </c>
      <c r="D1120" t="s">
        <v>43</v>
      </c>
      <c r="E1120" t="s">
        <v>107</v>
      </c>
      <c r="F1120" t="s">
        <v>67</v>
      </c>
      <c r="G1120" t="s">
        <v>60</v>
      </c>
      <c r="H1120" t="s">
        <v>53</v>
      </c>
      <c r="I1120" t="s">
        <v>61</v>
      </c>
      <c r="J1120" s="1">
        <v>45934</v>
      </c>
      <c r="K1120" s="1">
        <v>45934</v>
      </c>
      <c r="L1120" s="3">
        <v>84000</v>
      </c>
      <c r="M1120" s="4">
        <v>0</v>
      </c>
      <c r="N1120" s="4">
        <v>0</v>
      </c>
      <c r="O1120" t="s">
        <v>81</v>
      </c>
      <c r="P1120">
        <v>2</v>
      </c>
      <c r="Q1120" t="str">
        <f>IFERROR(VLOOKUP(E1120,Lookups!$A$5:$B$24,2,FALSE),"Other")</f>
        <v>Referral</v>
      </c>
      <c r="R1120" t="str">
        <f>IFERROR(VLOOKUP(F1120,Lookups!$D$5:$F$10,2,FALSE),"Unknown Product")</f>
        <v>Revenue Operations Suite</v>
      </c>
      <c r="S1120" t="str">
        <f>IFERROR(VLOOKUP(F1120,Lookups!$D$5:$F$10,3,FALSE),"Unknown")</f>
        <v>Revenue Ops</v>
      </c>
      <c r="T1120" t="str">
        <f t="shared" si="187"/>
        <v>Enterprise</v>
      </c>
      <c r="U1120" t="str">
        <f t="shared" si="188"/>
        <v>Lost</v>
      </c>
      <c r="V1120" s="3">
        <f t="shared" si="189"/>
        <v>0</v>
      </c>
      <c r="W1120" s="3">
        <f t="shared" si="190"/>
        <v>0</v>
      </c>
      <c r="X1120" s="5">
        <f t="shared" si="191"/>
        <v>25</v>
      </c>
      <c r="Y1120" s="5">
        <f>IF(U1120="Open",Lookups!$B$2-B1120,X1120)</f>
        <v>25</v>
      </c>
      <c r="Z1120" t="str">
        <f t="shared" si="192"/>
        <v>OK</v>
      </c>
      <c r="AA1120" t="str">
        <f t="shared" si="193"/>
        <v>2025-09</v>
      </c>
      <c r="AB1120" t="str">
        <f t="shared" si="194"/>
        <v>2025-10</v>
      </c>
      <c r="AC1120" t="str">
        <f t="shared" si="195"/>
        <v>Q3-2025</v>
      </c>
      <c r="AD1120" s="5">
        <f t="shared" si="196"/>
        <v>77</v>
      </c>
      <c r="AE1120" t="str">
        <f t="shared" si="197"/>
        <v>Lost</v>
      </c>
    </row>
    <row r="1121" spans="1:31">
      <c r="A1121" t="s">
        <v>1223</v>
      </c>
      <c r="B1121" s="1">
        <v>46078</v>
      </c>
      <c r="C1121" t="s">
        <v>42</v>
      </c>
      <c r="D1121" t="s">
        <v>43</v>
      </c>
      <c r="E1121" t="s">
        <v>119</v>
      </c>
      <c r="F1121" t="s">
        <v>45</v>
      </c>
      <c r="G1121" t="s">
        <v>46</v>
      </c>
      <c r="H1121" t="s">
        <v>84</v>
      </c>
      <c r="I1121" t="s">
        <v>48</v>
      </c>
      <c r="J1121" s="1">
        <v>46229</v>
      </c>
      <c r="K1121" s="1"/>
      <c r="L1121" s="3">
        <v>59600</v>
      </c>
      <c r="M1121" s="4">
        <v>0.05</v>
      </c>
      <c r="N1121" s="4">
        <v>0.85</v>
      </c>
      <c r="P1121">
        <v>5</v>
      </c>
      <c r="Q1121" t="str">
        <f>IFERROR(VLOOKUP(E1121,Lookups!$A$5:$B$24,2,FALSE),"Other")</f>
        <v>Referral</v>
      </c>
      <c r="R1121" t="str">
        <f>IFERROR(VLOOKUP(F1121,Lookups!$D$5:$F$10,2,FALSE),"Unknown Product")</f>
        <v>Service Cloud</v>
      </c>
      <c r="S1121" t="str">
        <f>IFERROR(VLOOKUP(F1121,Lookups!$D$5:$F$10,3,FALSE),"Unknown")</f>
        <v>Customer Service</v>
      </c>
      <c r="T1121" t="str">
        <f t="shared" si="187"/>
        <v>Enterprise</v>
      </c>
      <c r="U1121" t="str">
        <f t="shared" si="188"/>
        <v>Open</v>
      </c>
      <c r="V1121" s="3">
        <f t="shared" si="189"/>
        <v>0</v>
      </c>
      <c r="W1121" s="3">
        <f t="shared" si="190"/>
        <v>50660</v>
      </c>
      <c r="X1121" s="5" t="str">
        <f t="shared" si="191"/>
        <v/>
      </c>
      <c r="Y1121" s="5">
        <f>IF(U1121="Open",Lookups!$B$2-B1121,X1121)</f>
        <v>188</v>
      </c>
      <c r="Z1121" t="str">
        <f t="shared" si="192"/>
        <v>STALE</v>
      </c>
      <c r="AA1121" t="str">
        <f t="shared" si="193"/>
        <v>2026-02</v>
      </c>
      <c r="AB1121" t="str">
        <f t="shared" si="194"/>
        <v/>
      </c>
      <c r="AC1121" t="str">
        <f t="shared" si="195"/>
        <v>Q1-2026</v>
      </c>
      <c r="AD1121" s="5">
        <f t="shared" si="196"/>
        <v>85</v>
      </c>
      <c r="AE1121" t="str">
        <f t="shared" si="197"/>
        <v>Commit</v>
      </c>
    </row>
    <row r="1122" spans="1:31">
      <c r="A1122" t="s">
        <v>1224</v>
      </c>
      <c r="B1122" s="1">
        <v>45704</v>
      </c>
      <c r="C1122" t="s">
        <v>50</v>
      </c>
      <c r="D1122" t="s">
        <v>43</v>
      </c>
      <c r="E1122" t="s">
        <v>92</v>
      </c>
      <c r="F1122" t="s">
        <v>45</v>
      </c>
      <c r="G1122" t="s">
        <v>76</v>
      </c>
      <c r="H1122" t="s">
        <v>84</v>
      </c>
      <c r="I1122" t="s">
        <v>61</v>
      </c>
      <c r="J1122" s="1">
        <v>45759</v>
      </c>
      <c r="K1122" s="1">
        <v>45759</v>
      </c>
      <c r="L1122" s="3">
        <v>67200</v>
      </c>
      <c r="M1122" s="4">
        <v>0</v>
      </c>
      <c r="N1122" s="4">
        <v>0</v>
      </c>
      <c r="O1122" t="s">
        <v>79</v>
      </c>
      <c r="P1122">
        <v>5</v>
      </c>
      <c r="Q1122" t="str">
        <f>IFERROR(VLOOKUP(E1122,Lookups!$A$5:$B$24,2,FALSE),"Other")</f>
        <v>Webinar</v>
      </c>
      <c r="R1122" t="str">
        <f>IFERROR(VLOOKUP(F1122,Lookups!$D$5:$F$10,2,FALSE),"Unknown Product")</f>
        <v>Service Cloud</v>
      </c>
      <c r="S1122" t="str">
        <f>IFERROR(VLOOKUP(F1122,Lookups!$D$5:$F$10,3,FALSE),"Unknown")</f>
        <v>Customer Service</v>
      </c>
      <c r="T1122" t="str">
        <f t="shared" si="187"/>
        <v>Enterprise</v>
      </c>
      <c r="U1122" t="str">
        <f t="shared" si="188"/>
        <v>Lost</v>
      </c>
      <c r="V1122" s="3">
        <f t="shared" si="189"/>
        <v>0</v>
      </c>
      <c r="W1122" s="3">
        <f t="shared" si="190"/>
        <v>0</v>
      </c>
      <c r="X1122" s="5">
        <f t="shared" si="191"/>
        <v>55</v>
      </c>
      <c r="Y1122" s="5">
        <f>IF(U1122="Open",Lookups!$B$2-B1122,X1122)</f>
        <v>55</v>
      </c>
      <c r="Z1122" t="str">
        <f t="shared" si="192"/>
        <v>OK</v>
      </c>
      <c r="AA1122" t="str">
        <f t="shared" si="193"/>
        <v>2025-02</v>
      </c>
      <c r="AB1122" t="str">
        <f t="shared" si="194"/>
        <v>2025-04</v>
      </c>
      <c r="AC1122" t="str">
        <f t="shared" si="195"/>
        <v>Q1-2025</v>
      </c>
      <c r="AD1122" s="5">
        <f t="shared" si="196"/>
        <v>74</v>
      </c>
      <c r="AE1122" t="str">
        <f t="shared" si="197"/>
        <v>Lost</v>
      </c>
    </row>
    <row r="1123" spans="1:31">
      <c r="A1123" t="s">
        <v>1225</v>
      </c>
      <c r="B1123" s="1">
        <v>45913</v>
      </c>
      <c r="C1123" t="s">
        <v>148</v>
      </c>
      <c r="D1123" t="s">
        <v>43</v>
      </c>
      <c r="E1123" t="s">
        <v>83</v>
      </c>
      <c r="F1123" t="s">
        <v>45</v>
      </c>
      <c r="G1123" t="s">
        <v>99</v>
      </c>
      <c r="H1123" t="s">
        <v>53</v>
      </c>
      <c r="I1123" t="s">
        <v>61</v>
      </c>
      <c r="J1123" s="1">
        <v>45970</v>
      </c>
      <c r="K1123" s="1">
        <v>45970</v>
      </c>
      <c r="L1123" s="3">
        <v>32800</v>
      </c>
      <c r="M1123" s="4">
        <v>0</v>
      </c>
      <c r="N1123" s="4">
        <v>0</v>
      </c>
      <c r="O1123" t="s">
        <v>81</v>
      </c>
      <c r="P1123">
        <v>4</v>
      </c>
      <c r="Q1123" t="str">
        <f>IFERROR(VLOOKUP(E1123,Lookups!$A$5:$B$24,2,FALSE),"Other")</f>
        <v>Organic Search</v>
      </c>
      <c r="R1123" t="str">
        <f>IFERROR(VLOOKUP(F1123,Lookups!$D$5:$F$10,2,FALSE),"Unknown Product")</f>
        <v>Service Cloud</v>
      </c>
      <c r="S1123" t="str">
        <f>IFERROR(VLOOKUP(F1123,Lookups!$D$5:$F$10,3,FALSE),"Unknown")</f>
        <v>Customer Service</v>
      </c>
      <c r="T1123" t="str">
        <f t="shared" si="187"/>
        <v>Mid-Market</v>
      </c>
      <c r="U1123" t="str">
        <f t="shared" si="188"/>
        <v>Lost</v>
      </c>
      <c r="V1123" s="3">
        <f t="shared" si="189"/>
        <v>0</v>
      </c>
      <c r="W1123" s="3">
        <f t="shared" si="190"/>
        <v>0</v>
      </c>
      <c r="X1123" s="5">
        <f t="shared" si="191"/>
        <v>57</v>
      </c>
      <c r="Y1123" s="5">
        <f>IF(U1123="Open",Lookups!$B$2-B1123,X1123)</f>
        <v>57</v>
      </c>
      <c r="Z1123" t="str">
        <f t="shared" si="192"/>
        <v>OK</v>
      </c>
      <c r="AA1123" t="str">
        <f t="shared" si="193"/>
        <v>2025-09</v>
      </c>
      <c r="AB1123" t="str">
        <f t="shared" si="194"/>
        <v>2025-11</v>
      </c>
      <c r="AC1123" t="str">
        <f t="shared" si="195"/>
        <v>Q3-2025</v>
      </c>
      <c r="AD1123" s="5">
        <f t="shared" si="196"/>
        <v>65</v>
      </c>
      <c r="AE1123" t="str">
        <f t="shared" si="197"/>
        <v>Lost</v>
      </c>
    </row>
    <row r="1124" spans="1:31">
      <c r="A1124" t="s">
        <v>1226</v>
      </c>
      <c r="B1124" s="1">
        <v>45934</v>
      </c>
      <c r="C1124" t="s">
        <v>90</v>
      </c>
      <c r="D1124" t="s">
        <v>57</v>
      </c>
      <c r="E1124" t="s">
        <v>92</v>
      </c>
      <c r="F1124" t="s">
        <v>45</v>
      </c>
      <c r="G1124" t="s">
        <v>46</v>
      </c>
      <c r="H1124" t="s">
        <v>47</v>
      </c>
      <c r="I1124" t="s">
        <v>77</v>
      </c>
      <c r="J1124" s="1">
        <v>45994</v>
      </c>
      <c r="K1124" s="1">
        <v>45994</v>
      </c>
      <c r="L1124" s="3">
        <v>18500</v>
      </c>
      <c r="M1124" s="4">
        <v>0</v>
      </c>
      <c r="N1124" s="4">
        <v>1</v>
      </c>
      <c r="P1124">
        <v>6</v>
      </c>
      <c r="Q1124" t="str">
        <f>IFERROR(VLOOKUP(E1124,Lookups!$A$5:$B$24,2,FALSE),"Other")</f>
        <v>Webinar</v>
      </c>
      <c r="R1124" t="str">
        <f>IFERROR(VLOOKUP(F1124,Lookups!$D$5:$F$10,2,FALSE),"Unknown Product")</f>
        <v>Service Cloud</v>
      </c>
      <c r="S1124" t="str">
        <f>IFERROR(VLOOKUP(F1124,Lookups!$D$5:$F$10,3,FALSE),"Unknown")</f>
        <v>Customer Service</v>
      </c>
      <c r="T1124" t="str">
        <f t="shared" si="187"/>
        <v>SMB</v>
      </c>
      <c r="U1124" t="str">
        <f t="shared" si="188"/>
        <v>Won</v>
      </c>
      <c r="V1124" s="3">
        <f t="shared" si="189"/>
        <v>18500</v>
      </c>
      <c r="W1124" s="3">
        <f t="shared" si="190"/>
        <v>0</v>
      </c>
      <c r="X1124" s="5">
        <f t="shared" si="191"/>
        <v>60</v>
      </c>
      <c r="Y1124" s="5">
        <f>IF(U1124="Open",Lookups!$B$2-B1124,X1124)</f>
        <v>60</v>
      </c>
      <c r="Z1124" t="str">
        <f t="shared" si="192"/>
        <v>OK</v>
      </c>
      <c r="AA1124" t="str">
        <f t="shared" si="193"/>
        <v>2025-10</v>
      </c>
      <c r="AB1124" t="str">
        <f t="shared" si="194"/>
        <v>2025-12</v>
      </c>
      <c r="AC1124" t="str">
        <f t="shared" si="195"/>
        <v>Q4-2025</v>
      </c>
      <c r="AD1124" s="5">
        <f t="shared" si="196"/>
        <v>43</v>
      </c>
      <c r="AE1124" t="str">
        <f t="shared" si="197"/>
        <v>Won</v>
      </c>
    </row>
    <row r="1125" spans="1:31">
      <c r="A1125" t="s">
        <v>1227</v>
      </c>
      <c r="B1125" s="1">
        <v>46163</v>
      </c>
      <c r="C1125" t="s">
        <v>50</v>
      </c>
      <c r="D1125" t="s">
        <v>43</v>
      </c>
      <c r="E1125" t="s">
        <v>44</v>
      </c>
      <c r="F1125" t="s">
        <v>45</v>
      </c>
      <c r="G1125" t="s">
        <v>99</v>
      </c>
      <c r="H1125" t="s">
        <v>84</v>
      </c>
      <c r="I1125" t="s">
        <v>54</v>
      </c>
      <c r="J1125" s="1">
        <v>46224</v>
      </c>
      <c r="K1125" s="1"/>
      <c r="L1125" s="3">
        <v>42400</v>
      </c>
      <c r="M1125" s="4">
        <v>0.05</v>
      </c>
      <c r="N1125" s="4">
        <v>0.65</v>
      </c>
      <c r="P1125">
        <v>4</v>
      </c>
      <c r="Q1125" t="str">
        <f>IFERROR(VLOOKUP(E1125,Lookups!$A$5:$B$24,2,FALSE),"Other")</f>
        <v>Organic Search</v>
      </c>
      <c r="R1125" t="str">
        <f>IFERROR(VLOOKUP(F1125,Lookups!$D$5:$F$10,2,FALSE),"Unknown Product")</f>
        <v>Service Cloud</v>
      </c>
      <c r="S1125" t="str">
        <f>IFERROR(VLOOKUP(F1125,Lookups!$D$5:$F$10,3,FALSE),"Unknown")</f>
        <v>Customer Service</v>
      </c>
      <c r="T1125" t="str">
        <f t="shared" si="187"/>
        <v>Mid-Market</v>
      </c>
      <c r="U1125" t="str">
        <f t="shared" si="188"/>
        <v>Open</v>
      </c>
      <c r="V1125" s="3">
        <f t="shared" si="189"/>
        <v>0</v>
      </c>
      <c r="W1125" s="3">
        <f t="shared" si="190"/>
        <v>27560</v>
      </c>
      <c r="X1125" s="5" t="str">
        <f t="shared" si="191"/>
        <v/>
      </c>
      <c r="Y1125" s="5">
        <f>IF(U1125="Open",Lookups!$B$2-B1125,X1125)</f>
        <v>103</v>
      </c>
      <c r="Z1125" t="str">
        <f t="shared" si="192"/>
        <v>STALE</v>
      </c>
      <c r="AA1125" t="str">
        <f t="shared" si="193"/>
        <v>2026-05</v>
      </c>
      <c r="AB1125" t="str">
        <f t="shared" si="194"/>
        <v/>
      </c>
      <c r="AC1125" t="str">
        <f t="shared" si="195"/>
        <v>Q2-2026</v>
      </c>
      <c r="AD1125" s="5">
        <f t="shared" si="196"/>
        <v>73</v>
      </c>
      <c r="AE1125" t="str">
        <f t="shared" si="197"/>
        <v>Best Case</v>
      </c>
    </row>
    <row r="1126" spans="1:31">
      <c r="A1126" t="s">
        <v>1228</v>
      </c>
      <c r="B1126" s="1">
        <v>45970</v>
      </c>
      <c r="C1126" t="s">
        <v>148</v>
      </c>
      <c r="D1126" t="s">
        <v>43</v>
      </c>
      <c r="E1126" t="s">
        <v>70</v>
      </c>
      <c r="F1126" t="s">
        <v>52</v>
      </c>
      <c r="G1126" t="s">
        <v>46</v>
      </c>
      <c r="H1126" t="s">
        <v>53</v>
      </c>
      <c r="I1126" t="s">
        <v>61</v>
      </c>
      <c r="J1126" s="1">
        <v>45979</v>
      </c>
      <c r="K1126" s="1">
        <v>45979</v>
      </c>
      <c r="L1126" s="3">
        <v>14900</v>
      </c>
      <c r="M1126" s="4">
        <v>0</v>
      </c>
      <c r="N1126" s="4">
        <v>0</v>
      </c>
      <c r="O1126" t="s">
        <v>81</v>
      </c>
      <c r="P1126">
        <v>2</v>
      </c>
      <c r="Q1126" t="str">
        <f>IFERROR(VLOOKUP(E1126,Lookups!$A$5:$B$24,2,FALSE),"Other")</f>
        <v>LinkedIn</v>
      </c>
      <c r="R1126" t="str">
        <f>IFERROR(VLOOKUP(F1126,Lookups!$D$5:$F$10,2,FALSE),"Unknown Product")</f>
        <v>NexaCRM Core</v>
      </c>
      <c r="S1126" t="str">
        <f>IFERROR(VLOOKUP(F1126,Lookups!$D$5:$F$10,3,FALSE),"Unknown")</f>
        <v>CRM</v>
      </c>
      <c r="T1126" t="str">
        <f t="shared" si="187"/>
        <v>SMB</v>
      </c>
      <c r="U1126" t="str">
        <f t="shared" si="188"/>
        <v>Lost</v>
      </c>
      <c r="V1126" s="3">
        <f t="shared" si="189"/>
        <v>0</v>
      </c>
      <c r="W1126" s="3">
        <f t="shared" si="190"/>
        <v>0</v>
      </c>
      <c r="X1126" s="5">
        <f t="shared" si="191"/>
        <v>9</v>
      </c>
      <c r="Y1126" s="5">
        <f>IF(U1126="Open",Lookups!$B$2-B1126,X1126)</f>
        <v>9</v>
      </c>
      <c r="Z1126" t="str">
        <f t="shared" si="192"/>
        <v>OK</v>
      </c>
      <c r="AA1126" t="str">
        <f t="shared" si="193"/>
        <v>2025-11</v>
      </c>
      <c r="AB1126" t="str">
        <f t="shared" si="194"/>
        <v>2025-11</v>
      </c>
      <c r="AC1126" t="str">
        <f t="shared" si="195"/>
        <v>Q4-2025</v>
      </c>
      <c r="AD1126" s="5">
        <f t="shared" si="196"/>
        <v>51</v>
      </c>
      <c r="AE1126" t="str">
        <f t="shared" si="197"/>
        <v>Lost</v>
      </c>
    </row>
    <row r="1127" spans="1:31">
      <c r="A1127" t="s">
        <v>1229</v>
      </c>
      <c r="B1127" s="1">
        <v>46191</v>
      </c>
      <c r="C1127" t="s">
        <v>69</v>
      </c>
      <c r="D1127" t="s">
        <v>57</v>
      </c>
      <c r="E1127" t="s">
        <v>109</v>
      </c>
      <c r="F1127" t="s">
        <v>71</v>
      </c>
      <c r="G1127" t="s">
        <v>46</v>
      </c>
      <c r="H1127" t="s">
        <v>53</v>
      </c>
      <c r="I1127" t="s">
        <v>73</v>
      </c>
      <c r="J1127" s="1">
        <v>46247</v>
      </c>
      <c r="K1127" s="1"/>
      <c r="L1127" s="3">
        <v>25100</v>
      </c>
      <c r="M1127" s="4">
        <v>0.03</v>
      </c>
      <c r="N1127" s="4">
        <v>0.2</v>
      </c>
      <c r="P1127">
        <v>2</v>
      </c>
      <c r="Q1127" t="str">
        <f>IFERROR(VLOOKUP(E1127,Lookups!$A$5:$B$24,2,FALSE),"Other")</f>
        <v>Outbound</v>
      </c>
      <c r="R1127" t="str">
        <f>IFERROR(VLOOKUP(F1127,Lookups!$D$5:$F$10,2,FALSE),"Unknown Product")</f>
        <v>Marketing Automation</v>
      </c>
      <c r="S1127" t="str">
        <f>IFERROR(VLOOKUP(F1127,Lookups!$D$5:$F$10,3,FALSE),"Unknown")</f>
        <v>Marketing</v>
      </c>
      <c r="T1127" t="str">
        <f t="shared" si="187"/>
        <v>Mid-Market</v>
      </c>
      <c r="U1127" t="str">
        <f t="shared" si="188"/>
        <v>Open</v>
      </c>
      <c r="V1127" s="3">
        <f t="shared" si="189"/>
        <v>0</v>
      </c>
      <c r="W1127" s="3">
        <f t="shared" si="190"/>
        <v>5020</v>
      </c>
      <c r="X1127" s="5" t="str">
        <f t="shared" si="191"/>
        <v/>
      </c>
      <c r="Y1127" s="5">
        <f>IF(U1127="Open",Lookups!$B$2-B1127,X1127)</f>
        <v>75</v>
      </c>
      <c r="Z1127" t="str">
        <f t="shared" si="192"/>
        <v>STALE</v>
      </c>
      <c r="AA1127" t="str">
        <f t="shared" si="193"/>
        <v>2026-06</v>
      </c>
      <c r="AB1127" t="str">
        <f t="shared" si="194"/>
        <v/>
      </c>
      <c r="AC1127" t="str">
        <f t="shared" si="195"/>
        <v>Q2-2026</v>
      </c>
      <c r="AD1127" s="5">
        <f t="shared" si="196"/>
        <v>59</v>
      </c>
      <c r="AE1127" t="str">
        <f t="shared" si="197"/>
        <v>Pipeline</v>
      </c>
    </row>
    <row r="1128" spans="1:31">
      <c r="A1128" t="s">
        <v>1230</v>
      </c>
      <c r="B1128" s="1">
        <v>46191</v>
      </c>
      <c r="C1128" t="s">
        <v>56</v>
      </c>
      <c r="D1128" t="s">
        <v>57</v>
      </c>
      <c r="E1128" t="s">
        <v>127</v>
      </c>
      <c r="F1128" t="s">
        <v>71</v>
      </c>
      <c r="G1128" t="s">
        <v>99</v>
      </c>
      <c r="H1128" t="s">
        <v>47</v>
      </c>
      <c r="I1128" t="s">
        <v>105</v>
      </c>
      <c r="J1128" s="1">
        <v>46249</v>
      </c>
      <c r="K1128" s="1"/>
      <c r="L1128" s="3">
        <v>18000</v>
      </c>
      <c r="M1128" s="4">
        <v>0.05</v>
      </c>
      <c r="N1128" s="4">
        <v>0.4</v>
      </c>
      <c r="P1128">
        <v>3</v>
      </c>
      <c r="Q1128" t="str">
        <f>IFERROR(VLOOKUP(E1128,Lookups!$A$5:$B$24,2,FALSE),"Other")</f>
        <v>Paid Search</v>
      </c>
      <c r="R1128" t="str">
        <f>IFERROR(VLOOKUP(F1128,Lookups!$D$5:$F$10,2,FALSE),"Unknown Product")</f>
        <v>Marketing Automation</v>
      </c>
      <c r="S1128" t="str">
        <f>IFERROR(VLOOKUP(F1128,Lookups!$D$5:$F$10,3,FALSE),"Unknown")</f>
        <v>Marketing</v>
      </c>
      <c r="T1128" t="str">
        <f t="shared" si="187"/>
        <v>SMB</v>
      </c>
      <c r="U1128" t="str">
        <f t="shared" si="188"/>
        <v>Open</v>
      </c>
      <c r="V1128" s="3">
        <f t="shared" si="189"/>
        <v>0</v>
      </c>
      <c r="W1128" s="3">
        <f t="shared" si="190"/>
        <v>7200</v>
      </c>
      <c r="X1128" s="5" t="str">
        <f t="shared" si="191"/>
        <v/>
      </c>
      <c r="Y1128" s="5">
        <f>IF(U1128="Open",Lookups!$B$2-B1128,X1128)</f>
        <v>75</v>
      </c>
      <c r="Z1128" t="str">
        <f t="shared" si="192"/>
        <v>STALE</v>
      </c>
      <c r="AA1128" t="str">
        <f t="shared" si="193"/>
        <v>2026-06</v>
      </c>
      <c r="AB1128" t="str">
        <f t="shared" si="194"/>
        <v/>
      </c>
      <c r="AC1128" t="str">
        <f t="shared" si="195"/>
        <v>Q2-2026</v>
      </c>
      <c r="AD1128" s="5">
        <f t="shared" si="196"/>
        <v>43</v>
      </c>
      <c r="AE1128" t="str">
        <f t="shared" si="197"/>
        <v>Pipeline</v>
      </c>
    </row>
    <row r="1129" spans="1:31">
      <c r="A1129" t="s">
        <v>1231</v>
      </c>
      <c r="B1129" s="1">
        <v>46182</v>
      </c>
      <c r="C1129" t="s">
        <v>50</v>
      </c>
      <c r="D1129" t="s">
        <v>43</v>
      </c>
      <c r="E1129" t="s">
        <v>58</v>
      </c>
      <c r="F1129" t="s">
        <v>45</v>
      </c>
      <c r="G1129" t="s">
        <v>72</v>
      </c>
      <c r="H1129" t="s">
        <v>53</v>
      </c>
      <c r="I1129" t="s">
        <v>105</v>
      </c>
      <c r="J1129" s="1">
        <v>46212</v>
      </c>
      <c r="K1129" s="1"/>
      <c r="L1129" s="3">
        <v>22700</v>
      </c>
      <c r="M1129" s="4">
        <v>0.05</v>
      </c>
      <c r="N1129" s="4">
        <v>0.4</v>
      </c>
      <c r="P1129">
        <v>3</v>
      </c>
      <c r="Q1129" t="str">
        <f>IFERROR(VLOOKUP(E1129,Lookups!$A$5:$B$24,2,FALSE),"Other")</f>
        <v>Email</v>
      </c>
      <c r="R1129" t="str">
        <f>IFERROR(VLOOKUP(F1129,Lookups!$D$5:$F$10,2,FALSE),"Unknown Product")</f>
        <v>Service Cloud</v>
      </c>
      <c r="S1129" t="str">
        <f>IFERROR(VLOOKUP(F1129,Lookups!$D$5:$F$10,3,FALSE),"Unknown")</f>
        <v>Customer Service</v>
      </c>
      <c r="T1129" t="str">
        <f t="shared" si="187"/>
        <v>Mid-Market</v>
      </c>
      <c r="U1129" t="str">
        <f t="shared" si="188"/>
        <v>Open</v>
      </c>
      <c r="V1129" s="3">
        <f t="shared" si="189"/>
        <v>0</v>
      </c>
      <c r="W1129" s="3">
        <f t="shared" si="190"/>
        <v>9080</v>
      </c>
      <c r="X1129" s="5" t="str">
        <f t="shared" si="191"/>
        <v/>
      </c>
      <c r="Y1129" s="5">
        <f>IF(U1129="Open",Lookups!$B$2-B1129,X1129)</f>
        <v>84</v>
      </c>
      <c r="Z1129" t="str">
        <f t="shared" si="192"/>
        <v>STALE</v>
      </c>
      <c r="AA1129" t="str">
        <f t="shared" si="193"/>
        <v>2026-06</v>
      </c>
      <c r="AB1129" t="str">
        <f t="shared" si="194"/>
        <v/>
      </c>
      <c r="AC1129" t="str">
        <f t="shared" si="195"/>
        <v>Q2-2026</v>
      </c>
      <c r="AD1129" s="5">
        <f t="shared" si="196"/>
        <v>63</v>
      </c>
      <c r="AE1129" t="str">
        <f t="shared" si="197"/>
        <v>Pipeline</v>
      </c>
    </row>
    <row r="1130" spans="1:31">
      <c r="A1130" t="s">
        <v>1232</v>
      </c>
      <c r="B1130" s="1">
        <v>45920</v>
      </c>
      <c r="C1130" t="s">
        <v>42</v>
      </c>
      <c r="D1130" t="s">
        <v>43</v>
      </c>
      <c r="E1130" t="s">
        <v>127</v>
      </c>
      <c r="F1130" t="s">
        <v>45</v>
      </c>
      <c r="G1130" t="s">
        <v>60</v>
      </c>
      <c r="H1130" t="s">
        <v>47</v>
      </c>
      <c r="I1130" t="s">
        <v>48</v>
      </c>
      <c r="J1130" s="1">
        <v>46199</v>
      </c>
      <c r="K1130" s="1"/>
      <c r="L1130" s="3">
        <v>13500</v>
      </c>
      <c r="M1130" s="4">
        <v>0.05</v>
      </c>
      <c r="N1130" s="4">
        <v>0.85</v>
      </c>
      <c r="P1130">
        <v>5</v>
      </c>
      <c r="Q1130" t="str">
        <f>IFERROR(VLOOKUP(E1130,Lookups!$A$5:$B$24,2,FALSE),"Other")</f>
        <v>Paid Search</v>
      </c>
      <c r="R1130" t="str">
        <f>IFERROR(VLOOKUP(F1130,Lookups!$D$5:$F$10,2,FALSE),"Unknown Product")</f>
        <v>Service Cloud</v>
      </c>
      <c r="S1130" t="str">
        <f>IFERROR(VLOOKUP(F1130,Lookups!$D$5:$F$10,3,FALSE),"Unknown")</f>
        <v>Customer Service</v>
      </c>
      <c r="T1130" t="str">
        <f t="shared" si="187"/>
        <v>SMB</v>
      </c>
      <c r="U1130" t="str">
        <f t="shared" si="188"/>
        <v>Open</v>
      </c>
      <c r="V1130" s="3">
        <f t="shared" si="189"/>
        <v>0</v>
      </c>
      <c r="W1130" s="3">
        <f t="shared" si="190"/>
        <v>11475</v>
      </c>
      <c r="X1130" s="5" t="str">
        <f t="shared" si="191"/>
        <v/>
      </c>
      <c r="Y1130" s="5">
        <f>IF(U1130="Open",Lookups!$B$2-B1130,X1130)</f>
        <v>346</v>
      </c>
      <c r="Z1130" t="str">
        <f t="shared" si="192"/>
        <v>STALE</v>
      </c>
      <c r="AA1130" t="str">
        <f t="shared" si="193"/>
        <v>2025-09</v>
      </c>
      <c r="AB1130" t="str">
        <f t="shared" si="194"/>
        <v/>
      </c>
      <c r="AC1130" t="str">
        <f t="shared" si="195"/>
        <v>Q3-2025</v>
      </c>
      <c r="AD1130" s="5">
        <f t="shared" si="196"/>
        <v>43</v>
      </c>
      <c r="AE1130" t="str">
        <f t="shared" si="197"/>
        <v>Commit</v>
      </c>
    </row>
    <row r="1131" spans="1:31">
      <c r="A1131" t="s">
        <v>1233</v>
      </c>
      <c r="B1131" s="1">
        <v>46207</v>
      </c>
      <c r="C1131" t="s">
        <v>50</v>
      </c>
      <c r="D1131" t="s">
        <v>43</v>
      </c>
      <c r="E1131" t="s">
        <v>138</v>
      </c>
      <c r="F1131" t="s">
        <v>67</v>
      </c>
      <c r="G1131" t="s">
        <v>46</v>
      </c>
      <c r="H1131" t="s">
        <v>47</v>
      </c>
      <c r="I1131" t="s">
        <v>77</v>
      </c>
      <c r="J1131" s="1">
        <v>46253</v>
      </c>
      <c r="K1131" s="1">
        <v>46253</v>
      </c>
      <c r="L1131" s="3">
        <v>25000</v>
      </c>
      <c r="M1131" s="4">
        <v>0.12</v>
      </c>
      <c r="N1131" s="4">
        <v>1</v>
      </c>
      <c r="P1131">
        <v>6</v>
      </c>
      <c r="Q1131" t="str">
        <f>IFERROR(VLOOKUP(E1131,Lookups!$A$5:$B$24,2,FALSE),"Other")</f>
        <v>Organic Search</v>
      </c>
      <c r="R1131" t="str">
        <f>IFERROR(VLOOKUP(F1131,Lookups!$D$5:$F$10,2,FALSE),"Unknown Product")</f>
        <v>Revenue Operations Suite</v>
      </c>
      <c r="S1131" t="str">
        <f>IFERROR(VLOOKUP(F1131,Lookups!$D$5:$F$10,3,FALSE),"Unknown")</f>
        <v>Revenue Ops</v>
      </c>
      <c r="T1131" t="str">
        <f t="shared" si="187"/>
        <v>Mid-Market</v>
      </c>
      <c r="U1131" t="str">
        <f t="shared" si="188"/>
        <v>Won</v>
      </c>
      <c r="V1131" s="3">
        <f t="shared" si="189"/>
        <v>22000</v>
      </c>
      <c r="W1131" s="3">
        <f t="shared" si="190"/>
        <v>0</v>
      </c>
      <c r="X1131" s="5">
        <f t="shared" si="191"/>
        <v>46</v>
      </c>
      <c r="Y1131" s="5">
        <f>IF(U1131="Open",Lookups!$B$2-B1131,X1131)</f>
        <v>46</v>
      </c>
      <c r="Z1131" t="str">
        <f t="shared" si="192"/>
        <v>OK</v>
      </c>
      <c r="AA1131" t="str">
        <f t="shared" si="193"/>
        <v>2026-07</v>
      </c>
      <c r="AB1131" t="str">
        <f t="shared" si="194"/>
        <v>2026-08</v>
      </c>
      <c r="AC1131" t="str">
        <f t="shared" si="195"/>
        <v>Q3-2026</v>
      </c>
      <c r="AD1131" s="5">
        <f t="shared" si="196"/>
        <v>57</v>
      </c>
      <c r="AE1131" t="str">
        <f t="shared" si="197"/>
        <v>Won</v>
      </c>
    </row>
    <row r="1132" spans="1:31">
      <c r="A1132" t="s">
        <v>1234</v>
      </c>
      <c r="B1132" s="1">
        <v>46040</v>
      </c>
      <c r="C1132" t="s">
        <v>90</v>
      </c>
      <c r="D1132" t="s">
        <v>57</v>
      </c>
      <c r="E1132" t="s">
        <v>160</v>
      </c>
      <c r="F1132" t="s">
        <v>45</v>
      </c>
      <c r="G1132" t="s">
        <v>76</v>
      </c>
      <c r="H1132" t="s">
        <v>84</v>
      </c>
      <c r="I1132" t="s">
        <v>48</v>
      </c>
      <c r="J1132" s="1">
        <v>46216</v>
      </c>
      <c r="K1132" s="1"/>
      <c r="L1132" s="3">
        <v>79500</v>
      </c>
      <c r="M1132" s="4">
        <v>0.05</v>
      </c>
      <c r="N1132" s="4">
        <v>0.85</v>
      </c>
      <c r="P1132">
        <v>5</v>
      </c>
      <c r="Q1132" t="str">
        <f>IFERROR(VLOOKUP(E1132,Lookups!$A$5:$B$24,2,FALSE),"Other")</f>
        <v>Email</v>
      </c>
      <c r="R1132" t="str">
        <f>IFERROR(VLOOKUP(F1132,Lookups!$D$5:$F$10,2,FALSE),"Unknown Product")</f>
        <v>Service Cloud</v>
      </c>
      <c r="S1132" t="str">
        <f>IFERROR(VLOOKUP(F1132,Lookups!$D$5:$F$10,3,FALSE),"Unknown")</f>
        <v>Customer Service</v>
      </c>
      <c r="T1132" t="str">
        <f t="shared" si="187"/>
        <v>Enterprise</v>
      </c>
      <c r="U1132" t="str">
        <f t="shared" si="188"/>
        <v>Open</v>
      </c>
      <c r="V1132" s="3">
        <f t="shared" si="189"/>
        <v>0</v>
      </c>
      <c r="W1132" s="3">
        <f t="shared" si="190"/>
        <v>67575</v>
      </c>
      <c r="X1132" s="5" t="str">
        <f t="shared" si="191"/>
        <v/>
      </c>
      <c r="Y1132" s="5">
        <f>IF(U1132="Open",Lookups!$B$2-B1132,X1132)</f>
        <v>226</v>
      </c>
      <c r="Z1132" t="str">
        <f t="shared" si="192"/>
        <v>STALE</v>
      </c>
      <c r="AA1132" t="str">
        <f t="shared" si="193"/>
        <v>2026-01</v>
      </c>
      <c r="AB1132" t="str">
        <f t="shared" si="194"/>
        <v/>
      </c>
      <c r="AC1132" t="str">
        <f t="shared" si="195"/>
        <v>Q1-2026</v>
      </c>
      <c r="AD1132" s="5">
        <f t="shared" si="196"/>
        <v>78</v>
      </c>
      <c r="AE1132" t="str">
        <f t="shared" si="197"/>
        <v>Commit</v>
      </c>
    </row>
    <row r="1133" spans="1:31">
      <c r="A1133" t="s">
        <v>1235</v>
      </c>
      <c r="B1133" s="1">
        <v>45934</v>
      </c>
      <c r="C1133" t="s">
        <v>69</v>
      </c>
      <c r="D1133" t="s">
        <v>57</v>
      </c>
      <c r="E1133" t="s">
        <v>65</v>
      </c>
      <c r="F1133" t="s">
        <v>59</v>
      </c>
      <c r="G1133" t="s">
        <v>76</v>
      </c>
      <c r="H1133" t="s">
        <v>53</v>
      </c>
      <c r="I1133" t="s">
        <v>61</v>
      </c>
      <c r="J1133" s="1">
        <v>45961</v>
      </c>
      <c r="K1133" s="1">
        <v>45961</v>
      </c>
      <c r="L1133" s="3">
        <v>45600</v>
      </c>
      <c r="M1133" s="4">
        <v>0</v>
      </c>
      <c r="N1133" s="4">
        <v>0</v>
      </c>
      <c r="O1133" t="s">
        <v>81</v>
      </c>
      <c r="P1133">
        <v>4</v>
      </c>
      <c r="Q1133" t="str">
        <f>IFERROR(VLOOKUP(E1133,Lookups!$A$5:$B$24,2,FALSE),"Other")</f>
        <v>Paid Search</v>
      </c>
      <c r="R1133" t="str">
        <f>IFERROR(VLOOKUP(F1133,Lookups!$D$5:$F$10,2,FALSE),"Unknown Product")</f>
        <v>NexaCRM Pro</v>
      </c>
      <c r="S1133" t="str">
        <f>IFERROR(VLOOKUP(F1133,Lookups!$D$5:$F$10,3,FALSE),"Unknown")</f>
        <v>CRM</v>
      </c>
      <c r="T1133" t="str">
        <f t="shared" si="187"/>
        <v>Mid-Market</v>
      </c>
      <c r="U1133" t="str">
        <f t="shared" si="188"/>
        <v>Lost</v>
      </c>
      <c r="V1133" s="3">
        <f t="shared" si="189"/>
        <v>0</v>
      </c>
      <c r="W1133" s="3">
        <f t="shared" si="190"/>
        <v>0</v>
      </c>
      <c r="X1133" s="5">
        <f t="shared" si="191"/>
        <v>27</v>
      </c>
      <c r="Y1133" s="5">
        <f>IF(U1133="Open",Lookups!$B$2-B1133,X1133)</f>
        <v>27</v>
      </c>
      <c r="Z1133" t="str">
        <f t="shared" si="192"/>
        <v>OK</v>
      </c>
      <c r="AA1133" t="str">
        <f t="shared" si="193"/>
        <v>2025-10</v>
      </c>
      <c r="AB1133" t="str">
        <f t="shared" si="194"/>
        <v>2025-10</v>
      </c>
      <c r="AC1133" t="str">
        <f t="shared" si="195"/>
        <v>Q4-2025</v>
      </c>
      <c r="AD1133" s="5">
        <f t="shared" si="196"/>
        <v>59</v>
      </c>
      <c r="AE1133" t="str">
        <f t="shared" si="197"/>
        <v>Lost</v>
      </c>
    </row>
    <row r="1134" spans="1:31">
      <c r="A1134" t="s">
        <v>1236</v>
      </c>
      <c r="B1134" s="1">
        <v>46214</v>
      </c>
      <c r="C1134" t="s">
        <v>64</v>
      </c>
      <c r="D1134" t="s">
        <v>57</v>
      </c>
      <c r="E1134" t="s">
        <v>107</v>
      </c>
      <c r="F1134" t="s">
        <v>52</v>
      </c>
      <c r="G1134" t="s">
        <v>46</v>
      </c>
      <c r="H1134" t="s">
        <v>84</v>
      </c>
      <c r="I1134" t="s">
        <v>105</v>
      </c>
      <c r="J1134" s="1">
        <v>46240</v>
      </c>
      <c r="K1134" s="1"/>
      <c r="L1134" s="3">
        <v>25300</v>
      </c>
      <c r="M1134" s="4">
        <v>0</v>
      </c>
      <c r="N1134" s="4">
        <v>0.4</v>
      </c>
      <c r="P1134">
        <v>3</v>
      </c>
      <c r="Q1134" t="str">
        <f>IFERROR(VLOOKUP(E1134,Lookups!$A$5:$B$24,2,FALSE),"Other")</f>
        <v>Referral</v>
      </c>
      <c r="R1134" t="str">
        <f>IFERROR(VLOOKUP(F1134,Lookups!$D$5:$F$10,2,FALSE),"Unknown Product")</f>
        <v>NexaCRM Core</v>
      </c>
      <c r="S1134" t="str">
        <f>IFERROR(VLOOKUP(F1134,Lookups!$D$5:$F$10,3,FALSE),"Unknown")</f>
        <v>CRM</v>
      </c>
      <c r="T1134" t="str">
        <f t="shared" si="187"/>
        <v>Mid-Market</v>
      </c>
      <c r="U1134" t="str">
        <f t="shared" si="188"/>
        <v>Open</v>
      </c>
      <c r="V1134" s="3">
        <f t="shared" si="189"/>
        <v>0</v>
      </c>
      <c r="W1134" s="3">
        <f t="shared" si="190"/>
        <v>10120</v>
      </c>
      <c r="X1134" s="5" t="str">
        <f t="shared" si="191"/>
        <v/>
      </c>
      <c r="Y1134" s="5">
        <f>IF(U1134="Open",Lookups!$B$2-B1134,X1134)</f>
        <v>52</v>
      </c>
      <c r="Z1134" t="str">
        <f t="shared" si="192"/>
        <v>STALE</v>
      </c>
      <c r="AA1134" t="str">
        <f t="shared" si="193"/>
        <v>2026-07</v>
      </c>
      <c r="AB1134" t="str">
        <f t="shared" si="194"/>
        <v/>
      </c>
      <c r="AC1134" t="str">
        <f t="shared" si="195"/>
        <v>Q3-2026</v>
      </c>
      <c r="AD1134" s="5">
        <f t="shared" si="196"/>
        <v>78</v>
      </c>
      <c r="AE1134" t="str">
        <f t="shared" si="197"/>
        <v>Pipeline</v>
      </c>
    </row>
    <row r="1135" spans="1:31">
      <c r="A1135" t="s">
        <v>1237</v>
      </c>
      <c r="B1135" s="1">
        <v>45786</v>
      </c>
      <c r="C1135" t="s">
        <v>148</v>
      </c>
      <c r="D1135" t="s">
        <v>43</v>
      </c>
      <c r="E1135" t="s">
        <v>132</v>
      </c>
      <c r="F1135" t="s">
        <v>52</v>
      </c>
      <c r="G1135" t="s">
        <v>76</v>
      </c>
      <c r="H1135" t="s">
        <v>84</v>
      </c>
      <c r="I1135" t="s">
        <v>61</v>
      </c>
      <c r="J1135" s="1">
        <v>45794</v>
      </c>
      <c r="K1135" s="1">
        <v>45794</v>
      </c>
      <c r="L1135" s="3">
        <v>25300</v>
      </c>
      <c r="M1135" s="4">
        <v>0</v>
      </c>
      <c r="N1135" s="4">
        <v>0</v>
      </c>
      <c r="O1135" t="s">
        <v>62</v>
      </c>
      <c r="P1135">
        <v>3</v>
      </c>
      <c r="Q1135" t="str">
        <f>IFERROR(VLOOKUP(E1135,Lookups!$A$5:$B$24,2,FALSE),"Other")</f>
        <v>Other</v>
      </c>
      <c r="R1135" t="str">
        <f>IFERROR(VLOOKUP(F1135,Lookups!$D$5:$F$10,2,FALSE),"Unknown Product")</f>
        <v>NexaCRM Core</v>
      </c>
      <c r="S1135" t="str">
        <f>IFERROR(VLOOKUP(F1135,Lookups!$D$5:$F$10,3,FALSE),"Unknown")</f>
        <v>CRM</v>
      </c>
      <c r="T1135" t="str">
        <f t="shared" si="187"/>
        <v>Mid-Market</v>
      </c>
      <c r="U1135" t="str">
        <f t="shared" si="188"/>
        <v>Lost</v>
      </c>
      <c r="V1135" s="3">
        <f t="shared" si="189"/>
        <v>0</v>
      </c>
      <c r="W1135" s="3">
        <f t="shared" si="190"/>
        <v>0</v>
      </c>
      <c r="X1135" s="5">
        <f t="shared" si="191"/>
        <v>8</v>
      </c>
      <c r="Y1135" s="5">
        <f>IF(U1135="Open",Lookups!$B$2-B1135,X1135)</f>
        <v>8</v>
      </c>
      <c r="Z1135" t="str">
        <f t="shared" si="192"/>
        <v>OK</v>
      </c>
      <c r="AA1135" t="str">
        <f t="shared" si="193"/>
        <v>2025-05</v>
      </c>
      <c r="AB1135" t="str">
        <f t="shared" si="194"/>
        <v>2025-05</v>
      </c>
      <c r="AC1135" t="str">
        <f t="shared" si="195"/>
        <v>Q2-2025</v>
      </c>
      <c r="AD1135" s="5">
        <f t="shared" si="196"/>
        <v>67</v>
      </c>
      <c r="AE1135" t="str">
        <f t="shared" si="197"/>
        <v>Lost</v>
      </c>
    </row>
    <row r="1136" spans="1:31">
      <c r="A1136" t="s">
        <v>1238</v>
      </c>
      <c r="B1136" s="1">
        <v>46170</v>
      </c>
      <c r="C1136" t="s">
        <v>42</v>
      </c>
      <c r="D1136" t="s">
        <v>43</v>
      </c>
      <c r="E1136" t="s">
        <v>44</v>
      </c>
      <c r="F1136" t="s">
        <v>52</v>
      </c>
      <c r="G1136" t="s">
        <v>72</v>
      </c>
      <c r="H1136" t="s">
        <v>53</v>
      </c>
      <c r="I1136" t="s">
        <v>61</v>
      </c>
      <c r="J1136" s="1">
        <v>46199</v>
      </c>
      <c r="K1136" s="1">
        <v>46199</v>
      </c>
      <c r="L1136" s="3">
        <v>17100</v>
      </c>
      <c r="M1136" s="4">
        <v>0</v>
      </c>
      <c r="N1136" s="4">
        <v>0</v>
      </c>
      <c r="O1136" t="s">
        <v>62</v>
      </c>
      <c r="P1136">
        <v>4</v>
      </c>
      <c r="Q1136" t="str">
        <f>IFERROR(VLOOKUP(E1136,Lookups!$A$5:$B$24,2,FALSE),"Other")</f>
        <v>Organic Search</v>
      </c>
      <c r="R1136" t="str">
        <f>IFERROR(VLOOKUP(F1136,Lookups!$D$5:$F$10,2,FALSE),"Unknown Product")</f>
        <v>NexaCRM Core</v>
      </c>
      <c r="S1136" t="str">
        <f>IFERROR(VLOOKUP(F1136,Lookups!$D$5:$F$10,3,FALSE),"Unknown")</f>
        <v>CRM</v>
      </c>
      <c r="T1136" t="str">
        <f t="shared" si="187"/>
        <v>SMB</v>
      </c>
      <c r="U1136" t="str">
        <f t="shared" si="188"/>
        <v>Lost</v>
      </c>
      <c r="V1136" s="3">
        <f t="shared" si="189"/>
        <v>0</v>
      </c>
      <c r="W1136" s="3">
        <f t="shared" si="190"/>
        <v>0</v>
      </c>
      <c r="X1136" s="5">
        <f t="shared" si="191"/>
        <v>29</v>
      </c>
      <c r="Y1136" s="5">
        <f>IF(U1136="Open",Lookups!$B$2-B1136,X1136)</f>
        <v>29</v>
      </c>
      <c r="Z1136" t="str">
        <f t="shared" si="192"/>
        <v>OK</v>
      </c>
      <c r="AA1136" t="str">
        <f t="shared" si="193"/>
        <v>2026-05</v>
      </c>
      <c r="AB1136" t="str">
        <f t="shared" si="194"/>
        <v>2026-06</v>
      </c>
      <c r="AC1136" t="str">
        <f t="shared" si="195"/>
        <v>Q2-2026</v>
      </c>
      <c r="AD1136" s="5">
        <f t="shared" si="196"/>
        <v>57</v>
      </c>
      <c r="AE1136" t="str">
        <f t="shared" si="197"/>
        <v>Lost</v>
      </c>
    </row>
    <row r="1137" spans="1:31">
      <c r="A1137" t="s">
        <v>1239</v>
      </c>
      <c r="B1137" s="1">
        <v>45926</v>
      </c>
      <c r="C1137" t="s">
        <v>64</v>
      </c>
      <c r="D1137" t="s">
        <v>57</v>
      </c>
      <c r="E1137" t="s">
        <v>123</v>
      </c>
      <c r="F1137" t="s">
        <v>52</v>
      </c>
      <c r="G1137" t="s">
        <v>112</v>
      </c>
      <c r="H1137" t="s">
        <v>84</v>
      </c>
      <c r="I1137" t="s">
        <v>48</v>
      </c>
      <c r="J1137" s="1">
        <v>46206</v>
      </c>
      <c r="K1137" s="1"/>
      <c r="L1137" s="3">
        <v>24900</v>
      </c>
      <c r="M1137" s="4">
        <v>0</v>
      </c>
      <c r="N1137" s="4">
        <v>0.85</v>
      </c>
      <c r="P1137">
        <v>5</v>
      </c>
      <c r="Q1137" t="str">
        <f>IFERROR(VLOOKUP(E1137,Lookups!$A$5:$B$24,2,FALSE),"Other")</f>
        <v>Email</v>
      </c>
      <c r="R1137" t="str">
        <f>IFERROR(VLOOKUP(F1137,Lookups!$D$5:$F$10,2,FALSE),"Unknown Product")</f>
        <v>NexaCRM Core</v>
      </c>
      <c r="S1137" t="str">
        <f>IFERROR(VLOOKUP(F1137,Lookups!$D$5:$F$10,3,FALSE),"Unknown")</f>
        <v>CRM</v>
      </c>
      <c r="T1137" t="str">
        <f t="shared" si="187"/>
        <v>Mid-Market</v>
      </c>
      <c r="U1137" t="str">
        <f t="shared" si="188"/>
        <v>Open</v>
      </c>
      <c r="V1137" s="3">
        <f t="shared" si="189"/>
        <v>0</v>
      </c>
      <c r="W1137" s="3">
        <f t="shared" si="190"/>
        <v>21165</v>
      </c>
      <c r="X1137" s="5" t="str">
        <f t="shared" si="191"/>
        <v/>
      </c>
      <c r="Y1137" s="5">
        <f>IF(U1137="Open",Lookups!$B$2-B1137,X1137)</f>
        <v>340</v>
      </c>
      <c r="Z1137" t="str">
        <f t="shared" si="192"/>
        <v>STALE</v>
      </c>
      <c r="AA1137" t="str">
        <f t="shared" si="193"/>
        <v>2025-09</v>
      </c>
      <c r="AB1137" t="str">
        <f t="shared" si="194"/>
        <v/>
      </c>
      <c r="AC1137" t="str">
        <f t="shared" si="195"/>
        <v>Q3-2025</v>
      </c>
      <c r="AD1137" s="5">
        <f t="shared" si="196"/>
        <v>76</v>
      </c>
      <c r="AE1137" t="str">
        <f t="shared" si="197"/>
        <v>Commit</v>
      </c>
    </row>
    <row r="1138" spans="1:31">
      <c r="A1138" t="s">
        <v>1240</v>
      </c>
      <c r="B1138" s="1">
        <v>45720</v>
      </c>
      <c r="C1138" t="s">
        <v>86</v>
      </c>
      <c r="D1138" t="s">
        <v>87</v>
      </c>
      <c r="E1138" t="s">
        <v>83</v>
      </c>
      <c r="F1138" t="s">
        <v>133</v>
      </c>
      <c r="G1138" t="s">
        <v>60</v>
      </c>
      <c r="H1138" t="s">
        <v>53</v>
      </c>
      <c r="I1138" t="s">
        <v>77</v>
      </c>
      <c r="J1138" s="1">
        <v>45785</v>
      </c>
      <c r="K1138" s="1">
        <v>45785</v>
      </c>
      <c r="L1138" s="3">
        <v>44900</v>
      </c>
      <c r="M1138" s="4">
        <v>0</v>
      </c>
      <c r="N1138" s="4">
        <v>1</v>
      </c>
      <c r="P1138">
        <v>6</v>
      </c>
      <c r="Q1138" t="str">
        <f>IFERROR(VLOOKUP(E1138,Lookups!$A$5:$B$24,2,FALSE),"Other")</f>
        <v>Organic Search</v>
      </c>
      <c r="R1138" t="str">
        <f>IFERROR(VLOOKUP(F1138,Lookups!$D$5:$F$10,2,FALSE),"Unknown Product")</f>
        <v>Analytics Plus</v>
      </c>
      <c r="S1138" t="str">
        <f>IFERROR(VLOOKUP(F1138,Lookups!$D$5:$F$10,3,FALSE),"Unknown")</f>
        <v>Analytics</v>
      </c>
      <c r="T1138" t="str">
        <f t="shared" si="187"/>
        <v>Mid-Market</v>
      </c>
      <c r="U1138" t="str">
        <f t="shared" si="188"/>
        <v>Won</v>
      </c>
      <c r="V1138" s="3">
        <f t="shared" si="189"/>
        <v>44900</v>
      </c>
      <c r="W1138" s="3">
        <f t="shared" si="190"/>
        <v>0</v>
      </c>
      <c r="X1138" s="5">
        <f t="shared" si="191"/>
        <v>65</v>
      </c>
      <c r="Y1138" s="5">
        <f>IF(U1138="Open",Lookups!$B$2-B1138,X1138)</f>
        <v>65</v>
      </c>
      <c r="Z1138" t="str">
        <f t="shared" si="192"/>
        <v>OK</v>
      </c>
      <c r="AA1138" t="str">
        <f t="shared" si="193"/>
        <v>2025-03</v>
      </c>
      <c r="AB1138" t="str">
        <f t="shared" si="194"/>
        <v>2025-05</v>
      </c>
      <c r="AC1138" t="str">
        <f t="shared" si="195"/>
        <v>Q1-2025</v>
      </c>
      <c r="AD1138" s="5">
        <f t="shared" si="196"/>
        <v>65</v>
      </c>
      <c r="AE1138" t="str">
        <f t="shared" si="197"/>
        <v>Won</v>
      </c>
    </row>
    <row r="1139" spans="1:31">
      <c r="A1139" t="s">
        <v>1241</v>
      </c>
      <c r="B1139" s="1">
        <v>45826</v>
      </c>
      <c r="C1139" t="s">
        <v>69</v>
      </c>
      <c r="D1139" t="s">
        <v>57</v>
      </c>
      <c r="E1139" t="s">
        <v>70</v>
      </c>
      <c r="F1139" t="s">
        <v>52</v>
      </c>
      <c r="G1139" t="s">
        <v>60</v>
      </c>
      <c r="H1139" t="s">
        <v>47</v>
      </c>
      <c r="I1139" t="s">
        <v>61</v>
      </c>
      <c r="J1139" s="1">
        <v>45869</v>
      </c>
      <c r="K1139" s="1">
        <v>45869</v>
      </c>
      <c r="L1139" s="3">
        <v>4900</v>
      </c>
      <c r="M1139" s="4">
        <v>0</v>
      </c>
      <c r="N1139" s="4">
        <v>0</v>
      </c>
      <c r="O1139" t="s">
        <v>81</v>
      </c>
      <c r="P1139">
        <v>3</v>
      </c>
      <c r="Q1139" t="str">
        <f>IFERROR(VLOOKUP(E1139,Lookups!$A$5:$B$24,2,FALSE),"Other")</f>
        <v>LinkedIn</v>
      </c>
      <c r="R1139" t="str">
        <f>IFERROR(VLOOKUP(F1139,Lookups!$D$5:$F$10,2,FALSE),"Unknown Product")</f>
        <v>NexaCRM Core</v>
      </c>
      <c r="S1139" t="str">
        <f>IFERROR(VLOOKUP(F1139,Lookups!$D$5:$F$10,3,FALSE),"Unknown")</f>
        <v>CRM</v>
      </c>
      <c r="T1139" t="str">
        <f t="shared" si="187"/>
        <v>SMB</v>
      </c>
      <c r="U1139" t="str">
        <f t="shared" si="188"/>
        <v>Lost</v>
      </c>
      <c r="V1139" s="3">
        <f t="shared" si="189"/>
        <v>0</v>
      </c>
      <c r="W1139" s="3">
        <f t="shared" si="190"/>
        <v>0</v>
      </c>
      <c r="X1139" s="5">
        <f t="shared" si="191"/>
        <v>43</v>
      </c>
      <c r="Y1139" s="5">
        <f>IF(U1139="Open",Lookups!$B$2-B1139,X1139)</f>
        <v>43</v>
      </c>
      <c r="Z1139" t="str">
        <f t="shared" si="192"/>
        <v>OK</v>
      </c>
      <c r="AA1139" t="str">
        <f t="shared" si="193"/>
        <v>2025-06</v>
      </c>
      <c r="AB1139" t="str">
        <f t="shared" si="194"/>
        <v>2025-07</v>
      </c>
      <c r="AC1139" t="str">
        <f t="shared" si="195"/>
        <v>Q2-2025</v>
      </c>
      <c r="AD1139" s="5">
        <f t="shared" si="196"/>
        <v>43</v>
      </c>
      <c r="AE1139" t="str">
        <f t="shared" si="197"/>
        <v>Lost</v>
      </c>
    </row>
    <row r="1140" spans="1:31">
      <c r="A1140" t="s">
        <v>1242</v>
      </c>
      <c r="B1140" s="1">
        <v>45927</v>
      </c>
      <c r="C1140" t="s">
        <v>90</v>
      </c>
      <c r="D1140" t="s">
        <v>57</v>
      </c>
      <c r="E1140" t="s">
        <v>51</v>
      </c>
      <c r="F1140" t="s">
        <v>71</v>
      </c>
      <c r="G1140" t="s">
        <v>76</v>
      </c>
      <c r="H1140" t="s">
        <v>53</v>
      </c>
      <c r="I1140" t="s">
        <v>61</v>
      </c>
      <c r="J1140" s="1">
        <v>46010</v>
      </c>
      <c r="K1140" s="1">
        <v>46010</v>
      </c>
      <c r="L1140" s="3">
        <v>27400</v>
      </c>
      <c r="M1140" s="4">
        <v>0</v>
      </c>
      <c r="N1140" s="4">
        <v>0</v>
      </c>
      <c r="O1140" t="s">
        <v>102</v>
      </c>
      <c r="P1140">
        <v>3</v>
      </c>
      <c r="Q1140" t="str">
        <f>IFERROR(VLOOKUP(E1140,Lookups!$A$5:$B$24,2,FALSE),"Other")</f>
        <v>Paid Search</v>
      </c>
      <c r="R1140" t="str">
        <f>IFERROR(VLOOKUP(F1140,Lookups!$D$5:$F$10,2,FALSE),"Unknown Product")</f>
        <v>Marketing Automation</v>
      </c>
      <c r="S1140" t="str">
        <f>IFERROR(VLOOKUP(F1140,Lookups!$D$5:$F$10,3,FALSE),"Unknown")</f>
        <v>Marketing</v>
      </c>
      <c r="T1140" t="str">
        <f t="shared" si="187"/>
        <v>Mid-Market</v>
      </c>
      <c r="U1140" t="str">
        <f t="shared" si="188"/>
        <v>Lost</v>
      </c>
      <c r="V1140" s="3">
        <f t="shared" si="189"/>
        <v>0</v>
      </c>
      <c r="W1140" s="3">
        <f t="shared" si="190"/>
        <v>0</v>
      </c>
      <c r="X1140" s="5">
        <f t="shared" si="191"/>
        <v>83</v>
      </c>
      <c r="Y1140" s="5">
        <f>IF(U1140="Open",Lookups!$B$2-B1140,X1140)</f>
        <v>83</v>
      </c>
      <c r="Z1140" t="str">
        <f t="shared" si="192"/>
        <v>OK</v>
      </c>
      <c r="AA1140" t="str">
        <f t="shared" si="193"/>
        <v>2025-09</v>
      </c>
      <c r="AB1140" t="str">
        <f t="shared" si="194"/>
        <v>2025-12</v>
      </c>
      <c r="AC1140" t="str">
        <f t="shared" si="195"/>
        <v>Q3-2025</v>
      </c>
      <c r="AD1140" s="5">
        <f t="shared" si="196"/>
        <v>59</v>
      </c>
      <c r="AE1140" t="str">
        <f t="shared" si="197"/>
        <v>Lost</v>
      </c>
    </row>
    <row r="1141" spans="1:31">
      <c r="A1141" t="s">
        <v>1243</v>
      </c>
      <c r="B1141" s="1">
        <v>45889</v>
      </c>
      <c r="C1141" t="s">
        <v>64</v>
      </c>
      <c r="D1141" t="s">
        <v>57</v>
      </c>
      <c r="E1141" t="s">
        <v>44</v>
      </c>
      <c r="F1141" t="s">
        <v>59</v>
      </c>
      <c r="G1141" t="s">
        <v>94</v>
      </c>
      <c r="H1141" t="s">
        <v>53</v>
      </c>
      <c r="I1141" t="s">
        <v>77</v>
      </c>
      <c r="J1141" s="1">
        <v>45991</v>
      </c>
      <c r="K1141" s="1">
        <v>45991</v>
      </c>
      <c r="L1141" s="3">
        <v>21600</v>
      </c>
      <c r="M1141" s="4">
        <v>0.1</v>
      </c>
      <c r="N1141" s="4">
        <v>1</v>
      </c>
      <c r="P1141">
        <v>6</v>
      </c>
      <c r="Q1141" t="str">
        <f>IFERROR(VLOOKUP(E1141,Lookups!$A$5:$B$24,2,FALSE),"Other")</f>
        <v>Organic Search</v>
      </c>
      <c r="R1141" t="str">
        <f>IFERROR(VLOOKUP(F1141,Lookups!$D$5:$F$10,2,FALSE),"Unknown Product")</f>
        <v>NexaCRM Pro</v>
      </c>
      <c r="S1141" t="str">
        <f>IFERROR(VLOOKUP(F1141,Lookups!$D$5:$F$10,3,FALSE),"Unknown")</f>
        <v>CRM</v>
      </c>
      <c r="T1141" t="str">
        <f t="shared" si="187"/>
        <v>Mid-Market</v>
      </c>
      <c r="U1141" t="str">
        <f t="shared" si="188"/>
        <v>Won</v>
      </c>
      <c r="V1141" s="3">
        <f t="shared" si="189"/>
        <v>19440</v>
      </c>
      <c r="W1141" s="3">
        <f t="shared" si="190"/>
        <v>0</v>
      </c>
      <c r="X1141" s="5">
        <f t="shared" si="191"/>
        <v>102</v>
      </c>
      <c r="Y1141" s="5">
        <f>IF(U1141="Open",Lookups!$B$2-B1141,X1141)</f>
        <v>102</v>
      </c>
      <c r="Z1141" t="str">
        <f t="shared" si="192"/>
        <v>OK</v>
      </c>
      <c r="AA1141" t="str">
        <f t="shared" si="193"/>
        <v>2025-08</v>
      </c>
      <c r="AB1141" t="str">
        <f t="shared" si="194"/>
        <v>2025-11</v>
      </c>
      <c r="AC1141" t="str">
        <f t="shared" si="195"/>
        <v>Q3-2025</v>
      </c>
      <c r="AD1141" s="5">
        <f t="shared" si="196"/>
        <v>65</v>
      </c>
      <c r="AE1141" t="str">
        <f t="shared" si="197"/>
        <v>Won</v>
      </c>
    </row>
    <row r="1142" spans="1:31">
      <c r="A1142" t="s">
        <v>1244</v>
      </c>
      <c r="B1142" s="1">
        <v>45712</v>
      </c>
      <c r="C1142" t="s">
        <v>42</v>
      </c>
      <c r="D1142" t="s">
        <v>43</v>
      </c>
      <c r="E1142" t="s">
        <v>96</v>
      </c>
      <c r="F1142" t="s">
        <v>45</v>
      </c>
      <c r="G1142" t="s">
        <v>72</v>
      </c>
      <c r="H1142" t="s">
        <v>47</v>
      </c>
      <c r="I1142" t="s">
        <v>61</v>
      </c>
      <c r="J1142" s="1">
        <v>45755</v>
      </c>
      <c r="K1142" s="1">
        <v>45755</v>
      </c>
      <c r="L1142" s="3">
        <v>14100</v>
      </c>
      <c r="M1142" s="4">
        <v>0</v>
      </c>
      <c r="N1142" s="4">
        <v>0</v>
      </c>
      <c r="O1142" t="s">
        <v>102</v>
      </c>
      <c r="P1142">
        <v>2</v>
      </c>
      <c r="Q1142" t="str">
        <f>IFERROR(VLOOKUP(E1142,Lookups!$A$5:$B$24,2,FALSE),"Other")</f>
        <v>LinkedIn</v>
      </c>
      <c r="R1142" t="str">
        <f>IFERROR(VLOOKUP(F1142,Lookups!$D$5:$F$10,2,FALSE),"Unknown Product")</f>
        <v>Service Cloud</v>
      </c>
      <c r="S1142" t="str">
        <f>IFERROR(VLOOKUP(F1142,Lookups!$D$5:$F$10,3,FALSE),"Unknown")</f>
        <v>Customer Service</v>
      </c>
      <c r="T1142" t="str">
        <f t="shared" si="187"/>
        <v>SMB</v>
      </c>
      <c r="U1142" t="str">
        <f t="shared" si="188"/>
        <v>Lost</v>
      </c>
      <c r="V1142" s="3">
        <f t="shared" si="189"/>
        <v>0</v>
      </c>
      <c r="W1142" s="3">
        <f t="shared" si="190"/>
        <v>0</v>
      </c>
      <c r="X1142" s="5">
        <f t="shared" si="191"/>
        <v>43</v>
      </c>
      <c r="Y1142" s="5">
        <f>IF(U1142="Open",Lookups!$B$2-B1142,X1142)</f>
        <v>43</v>
      </c>
      <c r="Z1142" t="str">
        <f t="shared" si="192"/>
        <v>OK</v>
      </c>
      <c r="AA1142" t="str">
        <f t="shared" si="193"/>
        <v>2025-02</v>
      </c>
      <c r="AB1142" t="str">
        <f t="shared" si="194"/>
        <v>2025-04</v>
      </c>
      <c r="AC1142" t="str">
        <f t="shared" si="195"/>
        <v>Q1-2025</v>
      </c>
      <c r="AD1142" s="5">
        <f t="shared" si="196"/>
        <v>43</v>
      </c>
      <c r="AE1142" t="str">
        <f t="shared" si="197"/>
        <v>Lost</v>
      </c>
    </row>
    <row r="1143" spans="1:31">
      <c r="A1143" t="s">
        <v>1245</v>
      </c>
      <c r="B1143" s="1">
        <v>46037</v>
      </c>
      <c r="C1143" t="s">
        <v>56</v>
      </c>
      <c r="D1143" t="s">
        <v>57</v>
      </c>
      <c r="E1143" t="s">
        <v>166</v>
      </c>
      <c r="F1143" t="s">
        <v>67</v>
      </c>
      <c r="G1143" t="s">
        <v>60</v>
      </c>
      <c r="H1143" t="s">
        <v>53</v>
      </c>
      <c r="I1143" t="s">
        <v>61</v>
      </c>
      <c r="J1143" s="1">
        <v>46086</v>
      </c>
      <c r="K1143" s="1">
        <v>46086</v>
      </c>
      <c r="L1143" s="3">
        <v>83100</v>
      </c>
      <c r="M1143" s="4">
        <v>0</v>
      </c>
      <c r="N1143" s="4">
        <v>0</v>
      </c>
      <c r="O1143" t="s">
        <v>110</v>
      </c>
      <c r="P1143">
        <v>5</v>
      </c>
      <c r="Q1143" t="str">
        <f>IFERROR(VLOOKUP(E1143,Lookups!$A$5:$B$24,2,FALSE),"Other")</f>
        <v>Referral</v>
      </c>
      <c r="R1143" t="str">
        <f>IFERROR(VLOOKUP(F1143,Lookups!$D$5:$F$10,2,FALSE),"Unknown Product")</f>
        <v>Revenue Operations Suite</v>
      </c>
      <c r="S1143" t="str">
        <f>IFERROR(VLOOKUP(F1143,Lookups!$D$5:$F$10,3,FALSE),"Unknown")</f>
        <v>Revenue Ops</v>
      </c>
      <c r="T1143" t="str">
        <f t="shared" si="187"/>
        <v>Enterprise</v>
      </c>
      <c r="U1143" t="str">
        <f t="shared" si="188"/>
        <v>Lost</v>
      </c>
      <c r="V1143" s="3">
        <f t="shared" si="189"/>
        <v>0</v>
      </c>
      <c r="W1143" s="3">
        <f t="shared" si="190"/>
        <v>0</v>
      </c>
      <c r="X1143" s="5">
        <f t="shared" si="191"/>
        <v>49</v>
      </c>
      <c r="Y1143" s="5">
        <f>IF(U1143="Open",Lookups!$B$2-B1143,X1143)</f>
        <v>49</v>
      </c>
      <c r="Z1143" t="str">
        <f t="shared" si="192"/>
        <v>OK</v>
      </c>
      <c r="AA1143" t="str">
        <f t="shared" si="193"/>
        <v>2026-01</v>
      </c>
      <c r="AB1143" t="str">
        <f t="shared" si="194"/>
        <v>2026-03</v>
      </c>
      <c r="AC1143" t="str">
        <f t="shared" si="195"/>
        <v>Q1-2026</v>
      </c>
      <c r="AD1143" s="5">
        <f t="shared" si="196"/>
        <v>77</v>
      </c>
      <c r="AE1143" t="str">
        <f t="shared" si="197"/>
        <v>Lost</v>
      </c>
    </row>
    <row r="1144" spans="1:31">
      <c r="A1144" t="s">
        <v>1246</v>
      </c>
      <c r="B1144" s="1">
        <v>45805</v>
      </c>
      <c r="C1144" t="s">
        <v>42</v>
      </c>
      <c r="D1144" t="s">
        <v>43</v>
      </c>
      <c r="E1144" t="s">
        <v>127</v>
      </c>
      <c r="F1144" t="s">
        <v>45</v>
      </c>
      <c r="G1144" t="s">
        <v>76</v>
      </c>
      <c r="H1144" t="s">
        <v>84</v>
      </c>
      <c r="I1144" t="s">
        <v>61</v>
      </c>
      <c r="J1144" s="1">
        <v>45835</v>
      </c>
      <c r="K1144" s="1">
        <v>45835</v>
      </c>
      <c r="L1144" s="3">
        <v>92200</v>
      </c>
      <c r="M1144" s="4">
        <v>0</v>
      </c>
      <c r="N1144" s="4">
        <v>0</v>
      </c>
      <c r="O1144" t="s">
        <v>116</v>
      </c>
      <c r="P1144">
        <v>3</v>
      </c>
      <c r="Q1144" t="str">
        <f>IFERROR(VLOOKUP(E1144,Lookups!$A$5:$B$24,2,FALSE),"Other")</f>
        <v>Paid Search</v>
      </c>
      <c r="R1144" t="str">
        <f>IFERROR(VLOOKUP(F1144,Lookups!$D$5:$F$10,2,FALSE),"Unknown Product")</f>
        <v>Service Cloud</v>
      </c>
      <c r="S1144" t="str">
        <f>IFERROR(VLOOKUP(F1144,Lookups!$D$5:$F$10,3,FALSE),"Unknown")</f>
        <v>Customer Service</v>
      </c>
      <c r="T1144" t="str">
        <f t="shared" si="187"/>
        <v>Enterprise</v>
      </c>
      <c r="U1144" t="str">
        <f t="shared" si="188"/>
        <v>Lost</v>
      </c>
      <c r="V1144" s="3">
        <f t="shared" si="189"/>
        <v>0</v>
      </c>
      <c r="W1144" s="3">
        <f t="shared" si="190"/>
        <v>0</v>
      </c>
      <c r="X1144" s="5">
        <f t="shared" si="191"/>
        <v>30</v>
      </c>
      <c r="Y1144" s="5">
        <f>IF(U1144="Open",Lookups!$B$2-B1144,X1144)</f>
        <v>30</v>
      </c>
      <c r="Z1144" t="str">
        <f t="shared" si="192"/>
        <v>OK</v>
      </c>
      <c r="AA1144" t="str">
        <f t="shared" si="193"/>
        <v>2025-05</v>
      </c>
      <c r="AB1144" t="str">
        <f t="shared" si="194"/>
        <v>2025-06</v>
      </c>
      <c r="AC1144" t="str">
        <f t="shared" si="195"/>
        <v>Q2-2025</v>
      </c>
      <c r="AD1144" s="5">
        <f t="shared" si="196"/>
        <v>74</v>
      </c>
      <c r="AE1144" t="str">
        <f t="shared" si="197"/>
        <v>Lost</v>
      </c>
    </row>
    <row r="1145" spans="1:31">
      <c r="A1145" t="s">
        <v>1247</v>
      </c>
      <c r="B1145" s="1">
        <v>45663</v>
      </c>
      <c r="C1145" t="s">
        <v>148</v>
      </c>
      <c r="D1145" t="s">
        <v>43</v>
      </c>
      <c r="E1145" t="s">
        <v>119</v>
      </c>
      <c r="F1145" t="s">
        <v>59</v>
      </c>
      <c r="G1145" t="s">
        <v>76</v>
      </c>
      <c r="H1145" t="s">
        <v>47</v>
      </c>
      <c r="I1145" t="s">
        <v>77</v>
      </c>
      <c r="J1145" s="1">
        <v>45732</v>
      </c>
      <c r="K1145" s="1">
        <v>45732</v>
      </c>
      <c r="L1145" s="3">
        <v>23000</v>
      </c>
      <c r="M1145" s="4">
        <v>0.1</v>
      </c>
      <c r="N1145" s="4">
        <v>1</v>
      </c>
      <c r="P1145">
        <v>6</v>
      </c>
      <c r="Q1145" t="str">
        <f>IFERROR(VLOOKUP(E1145,Lookups!$A$5:$B$24,2,FALSE),"Other")</f>
        <v>Referral</v>
      </c>
      <c r="R1145" t="str">
        <f>IFERROR(VLOOKUP(F1145,Lookups!$D$5:$F$10,2,FALSE),"Unknown Product")</f>
        <v>NexaCRM Pro</v>
      </c>
      <c r="S1145" t="str">
        <f>IFERROR(VLOOKUP(F1145,Lookups!$D$5:$F$10,3,FALSE),"Unknown")</f>
        <v>CRM</v>
      </c>
      <c r="T1145" t="str">
        <f t="shared" si="187"/>
        <v>Mid-Market</v>
      </c>
      <c r="U1145" t="str">
        <f t="shared" si="188"/>
        <v>Won</v>
      </c>
      <c r="V1145" s="3">
        <f t="shared" si="189"/>
        <v>20700</v>
      </c>
      <c r="W1145" s="3">
        <f t="shared" si="190"/>
        <v>0</v>
      </c>
      <c r="X1145" s="5">
        <f t="shared" si="191"/>
        <v>69</v>
      </c>
      <c r="Y1145" s="5">
        <f>IF(U1145="Open",Lookups!$B$2-B1145,X1145)</f>
        <v>69</v>
      </c>
      <c r="Z1145" t="str">
        <f t="shared" si="192"/>
        <v>OK</v>
      </c>
      <c r="AA1145" t="str">
        <f t="shared" si="193"/>
        <v>2025-01</v>
      </c>
      <c r="AB1145" t="str">
        <f t="shared" si="194"/>
        <v>2025-03</v>
      </c>
      <c r="AC1145" t="str">
        <f t="shared" si="195"/>
        <v>Q1-2025</v>
      </c>
      <c r="AD1145" s="5">
        <f t="shared" si="196"/>
        <v>62</v>
      </c>
      <c r="AE1145" t="str">
        <f t="shared" si="197"/>
        <v>Won</v>
      </c>
    </row>
    <row r="1146" spans="1:31">
      <c r="A1146" t="s">
        <v>1248</v>
      </c>
      <c r="B1146" s="1">
        <v>45802</v>
      </c>
      <c r="C1146" t="s">
        <v>42</v>
      </c>
      <c r="D1146" t="s">
        <v>43</v>
      </c>
      <c r="E1146" t="s">
        <v>146</v>
      </c>
      <c r="F1146" t="s">
        <v>71</v>
      </c>
      <c r="G1146" t="s">
        <v>76</v>
      </c>
      <c r="H1146" t="s">
        <v>47</v>
      </c>
      <c r="I1146" t="s">
        <v>61</v>
      </c>
      <c r="J1146" s="1">
        <v>45886</v>
      </c>
      <c r="K1146" s="1">
        <v>45886</v>
      </c>
      <c r="L1146" s="3">
        <v>9600</v>
      </c>
      <c r="M1146" s="4">
        <v>0</v>
      </c>
      <c r="N1146" s="4">
        <v>0</v>
      </c>
      <c r="O1146" t="s">
        <v>102</v>
      </c>
      <c r="P1146">
        <v>5</v>
      </c>
      <c r="Q1146" t="str">
        <f>IFERROR(VLOOKUP(E1146,Lookups!$A$5:$B$24,2,FALSE),"Other")</f>
        <v>LinkedIn</v>
      </c>
      <c r="R1146" t="str">
        <f>IFERROR(VLOOKUP(F1146,Lookups!$D$5:$F$10,2,FALSE),"Unknown Product")</f>
        <v>Marketing Automation</v>
      </c>
      <c r="S1146" t="str">
        <f>IFERROR(VLOOKUP(F1146,Lookups!$D$5:$F$10,3,FALSE),"Unknown")</f>
        <v>Marketing</v>
      </c>
      <c r="T1146" t="str">
        <f t="shared" si="187"/>
        <v>SMB</v>
      </c>
      <c r="U1146" t="str">
        <f t="shared" si="188"/>
        <v>Lost</v>
      </c>
      <c r="V1146" s="3">
        <f t="shared" si="189"/>
        <v>0</v>
      </c>
      <c r="W1146" s="3">
        <f t="shared" si="190"/>
        <v>0</v>
      </c>
      <c r="X1146" s="5">
        <f t="shared" si="191"/>
        <v>84</v>
      </c>
      <c r="Y1146" s="5">
        <f>IF(U1146="Open",Lookups!$B$2-B1146,X1146)</f>
        <v>84</v>
      </c>
      <c r="Z1146" t="str">
        <f t="shared" si="192"/>
        <v>OK</v>
      </c>
      <c r="AA1146" t="str">
        <f t="shared" si="193"/>
        <v>2025-05</v>
      </c>
      <c r="AB1146" t="str">
        <f t="shared" si="194"/>
        <v>2025-08</v>
      </c>
      <c r="AC1146" t="str">
        <f t="shared" si="195"/>
        <v>Q2-2025</v>
      </c>
      <c r="AD1146" s="5">
        <f t="shared" si="196"/>
        <v>43</v>
      </c>
      <c r="AE1146" t="str">
        <f t="shared" si="197"/>
        <v>Lost</v>
      </c>
    </row>
    <row r="1147" spans="1:31">
      <c r="A1147" t="s">
        <v>1249</v>
      </c>
      <c r="B1147" s="1">
        <v>45789</v>
      </c>
      <c r="C1147" t="s">
        <v>90</v>
      </c>
      <c r="D1147" t="s">
        <v>57</v>
      </c>
      <c r="E1147" t="s">
        <v>146</v>
      </c>
      <c r="F1147" t="s">
        <v>133</v>
      </c>
      <c r="G1147" t="s">
        <v>46</v>
      </c>
      <c r="H1147" t="s">
        <v>47</v>
      </c>
      <c r="I1147" t="s">
        <v>61</v>
      </c>
      <c r="J1147" s="1">
        <v>45846</v>
      </c>
      <c r="K1147" s="1">
        <v>45846</v>
      </c>
      <c r="L1147" s="3">
        <v>17800</v>
      </c>
      <c r="M1147" s="4">
        <v>0</v>
      </c>
      <c r="N1147" s="4">
        <v>0</v>
      </c>
      <c r="O1147" t="s">
        <v>81</v>
      </c>
      <c r="P1147">
        <v>4</v>
      </c>
      <c r="Q1147" t="str">
        <f>IFERROR(VLOOKUP(E1147,Lookups!$A$5:$B$24,2,FALSE),"Other")</f>
        <v>LinkedIn</v>
      </c>
      <c r="R1147" t="str">
        <f>IFERROR(VLOOKUP(F1147,Lookups!$D$5:$F$10,2,FALSE),"Unknown Product")</f>
        <v>Analytics Plus</v>
      </c>
      <c r="S1147" t="str">
        <f>IFERROR(VLOOKUP(F1147,Lookups!$D$5:$F$10,3,FALSE),"Unknown")</f>
        <v>Analytics</v>
      </c>
      <c r="T1147" t="str">
        <f t="shared" si="187"/>
        <v>SMB</v>
      </c>
      <c r="U1147" t="str">
        <f t="shared" si="188"/>
        <v>Lost</v>
      </c>
      <c r="V1147" s="3">
        <f t="shared" si="189"/>
        <v>0</v>
      </c>
      <c r="W1147" s="3">
        <f t="shared" si="190"/>
        <v>0</v>
      </c>
      <c r="X1147" s="5">
        <f t="shared" si="191"/>
        <v>57</v>
      </c>
      <c r="Y1147" s="5">
        <f>IF(U1147="Open",Lookups!$B$2-B1147,X1147)</f>
        <v>57</v>
      </c>
      <c r="Z1147" t="str">
        <f t="shared" si="192"/>
        <v>OK</v>
      </c>
      <c r="AA1147" t="str">
        <f t="shared" si="193"/>
        <v>2025-05</v>
      </c>
      <c r="AB1147" t="str">
        <f t="shared" si="194"/>
        <v>2025-07</v>
      </c>
      <c r="AC1147" t="str">
        <f t="shared" si="195"/>
        <v>Q2-2025</v>
      </c>
      <c r="AD1147" s="5">
        <f t="shared" si="196"/>
        <v>43</v>
      </c>
      <c r="AE1147" t="str">
        <f t="shared" si="197"/>
        <v>Lost</v>
      </c>
    </row>
    <row r="1148" spans="1:31">
      <c r="A1148" t="s">
        <v>1250</v>
      </c>
      <c r="B1148" s="1">
        <v>45733</v>
      </c>
      <c r="C1148" t="s">
        <v>50</v>
      </c>
      <c r="D1148" t="s">
        <v>43</v>
      </c>
      <c r="E1148" t="s">
        <v>51</v>
      </c>
      <c r="F1148" t="s">
        <v>52</v>
      </c>
      <c r="G1148" t="s">
        <v>60</v>
      </c>
      <c r="H1148" t="s">
        <v>53</v>
      </c>
      <c r="I1148" t="s">
        <v>61</v>
      </c>
      <c r="J1148" s="1">
        <v>45764</v>
      </c>
      <c r="K1148" s="1">
        <v>45764</v>
      </c>
      <c r="L1148" s="3">
        <v>10400</v>
      </c>
      <c r="M1148" s="4">
        <v>0</v>
      </c>
      <c r="N1148" s="4">
        <v>0</v>
      </c>
      <c r="O1148" t="s">
        <v>116</v>
      </c>
      <c r="P1148">
        <v>4</v>
      </c>
      <c r="Q1148" t="str">
        <f>IFERROR(VLOOKUP(E1148,Lookups!$A$5:$B$24,2,FALSE),"Other")</f>
        <v>Paid Search</v>
      </c>
      <c r="R1148" t="str">
        <f>IFERROR(VLOOKUP(F1148,Lookups!$D$5:$F$10,2,FALSE),"Unknown Product")</f>
        <v>NexaCRM Core</v>
      </c>
      <c r="S1148" t="str">
        <f>IFERROR(VLOOKUP(F1148,Lookups!$D$5:$F$10,3,FALSE),"Unknown")</f>
        <v>CRM</v>
      </c>
      <c r="T1148" t="str">
        <f t="shared" si="187"/>
        <v>SMB</v>
      </c>
      <c r="U1148" t="str">
        <f t="shared" si="188"/>
        <v>Lost</v>
      </c>
      <c r="V1148" s="3">
        <f t="shared" si="189"/>
        <v>0</v>
      </c>
      <c r="W1148" s="3">
        <f t="shared" si="190"/>
        <v>0</v>
      </c>
      <c r="X1148" s="5">
        <f t="shared" si="191"/>
        <v>31</v>
      </c>
      <c r="Y1148" s="5">
        <f>IF(U1148="Open",Lookups!$B$2-B1148,X1148)</f>
        <v>31</v>
      </c>
      <c r="Z1148" t="str">
        <f t="shared" si="192"/>
        <v>OK</v>
      </c>
      <c r="AA1148" t="str">
        <f t="shared" si="193"/>
        <v>2025-03</v>
      </c>
      <c r="AB1148" t="str">
        <f t="shared" si="194"/>
        <v>2025-04</v>
      </c>
      <c r="AC1148" t="str">
        <f t="shared" si="195"/>
        <v>Q1-2025</v>
      </c>
      <c r="AD1148" s="5">
        <f t="shared" si="196"/>
        <v>51</v>
      </c>
      <c r="AE1148" t="str">
        <f t="shared" si="197"/>
        <v>Lost</v>
      </c>
    </row>
    <row r="1149" spans="1:31">
      <c r="A1149" t="s">
        <v>1251</v>
      </c>
      <c r="B1149" s="1">
        <v>45708</v>
      </c>
      <c r="C1149" t="s">
        <v>64</v>
      </c>
      <c r="D1149" t="s">
        <v>57</v>
      </c>
      <c r="E1149" t="s">
        <v>83</v>
      </c>
      <c r="F1149" t="s">
        <v>71</v>
      </c>
      <c r="G1149" t="s">
        <v>46</v>
      </c>
      <c r="H1149" t="s">
        <v>53</v>
      </c>
      <c r="I1149" t="s">
        <v>77</v>
      </c>
      <c r="J1149" s="1">
        <v>45752</v>
      </c>
      <c r="K1149" s="1">
        <v>45752</v>
      </c>
      <c r="L1149" s="3">
        <v>18900</v>
      </c>
      <c r="M1149" s="4">
        <v>0.1</v>
      </c>
      <c r="N1149" s="4">
        <v>1</v>
      </c>
      <c r="P1149">
        <v>6</v>
      </c>
      <c r="Q1149" t="str">
        <f>IFERROR(VLOOKUP(E1149,Lookups!$A$5:$B$24,2,FALSE),"Other")</f>
        <v>Organic Search</v>
      </c>
      <c r="R1149" t="str">
        <f>IFERROR(VLOOKUP(F1149,Lookups!$D$5:$F$10,2,FALSE),"Unknown Product")</f>
        <v>Marketing Automation</v>
      </c>
      <c r="S1149" t="str">
        <f>IFERROR(VLOOKUP(F1149,Lookups!$D$5:$F$10,3,FALSE),"Unknown")</f>
        <v>Marketing</v>
      </c>
      <c r="T1149" t="str">
        <f t="shared" si="187"/>
        <v>SMB</v>
      </c>
      <c r="U1149" t="str">
        <f t="shared" si="188"/>
        <v>Won</v>
      </c>
      <c r="V1149" s="3">
        <f t="shared" si="189"/>
        <v>17010</v>
      </c>
      <c r="W1149" s="3">
        <f t="shared" si="190"/>
        <v>0</v>
      </c>
      <c r="X1149" s="5">
        <f t="shared" si="191"/>
        <v>44</v>
      </c>
      <c r="Y1149" s="5">
        <f>IF(U1149="Open",Lookups!$B$2-B1149,X1149)</f>
        <v>44</v>
      </c>
      <c r="Z1149" t="str">
        <f t="shared" si="192"/>
        <v>OK</v>
      </c>
      <c r="AA1149" t="str">
        <f t="shared" si="193"/>
        <v>2025-02</v>
      </c>
      <c r="AB1149" t="str">
        <f t="shared" si="194"/>
        <v>2025-04</v>
      </c>
      <c r="AC1149" t="str">
        <f t="shared" si="195"/>
        <v>Q1-2025</v>
      </c>
      <c r="AD1149" s="5">
        <f t="shared" si="196"/>
        <v>57</v>
      </c>
      <c r="AE1149" t="str">
        <f t="shared" si="197"/>
        <v>Won</v>
      </c>
    </row>
    <row r="1150" spans="1:31">
      <c r="A1150" t="s">
        <v>1252</v>
      </c>
      <c r="B1150" s="1">
        <v>45988</v>
      </c>
      <c r="C1150" t="s">
        <v>42</v>
      </c>
      <c r="D1150" t="s">
        <v>43</v>
      </c>
      <c r="E1150" t="s">
        <v>65</v>
      </c>
      <c r="F1150" t="s">
        <v>67</v>
      </c>
      <c r="G1150" t="s">
        <v>60</v>
      </c>
      <c r="H1150" t="s">
        <v>84</v>
      </c>
      <c r="I1150" t="s">
        <v>61</v>
      </c>
      <c r="J1150" s="1">
        <v>46036</v>
      </c>
      <c r="K1150" s="1">
        <v>46036</v>
      </c>
      <c r="L1150" s="3">
        <v>115900</v>
      </c>
      <c r="M1150" s="4">
        <v>0</v>
      </c>
      <c r="N1150" s="4">
        <v>0</v>
      </c>
      <c r="O1150" t="s">
        <v>79</v>
      </c>
      <c r="P1150">
        <v>4</v>
      </c>
      <c r="Q1150" t="str">
        <f>IFERROR(VLOOKUP(E1150,Lookups!$A$5:$B$24,2,FALSE),"Other")</f>
        <v>Paid Search</v>
      </c>
      <c r="R1150" t="str">
        <f>IFERROR(VLOOKUP(F1150,Lookups!$D$5:$F$10,2,FALSE),"Unknown Product")</f>
        <v>Revenue Operations Suite</v>
      </c>
      <c r="S1150" t="str">
        <f>IFERROR(VLOOKUP(F1150,Lookups!$D$5:$F$10,3,FALSE),"Unknown")</f>
        <v>Revenue Ops</v>
      </c>
      <c r="T1150" t="str">
        <f t="shared" si="187"/>
        <v>Enterprise</v>
      </c>
      <c r="U1150" t="str">
        <f t="shared" si="188"/>
        <v>Lost</v>
      </c>
      <c r="V1150" s="3">
        <f t="shared" si="189"/>
        <v>0</v>
      </c>
      <c r="W1150" s="3">
        <f t="shared" si="190"/>
        <v>0</v>
      </c>
      <c r="X1150" s="5">
        <f t="shared" si="191"/>
        <v>48</v>
      </c>
      <c r="Y1150" s="5">
        <f>IF(U1150="Open",Lookups!$B$2-B1150,X1150)</f>
        <v>48</v>
      </c>
      <c r="Z1150" t="str">
        <f t="shared" si="192"/>
        <v>OK</v>
      </c>
      <c r="AA1150" t="str">
        <f t="shared" si="193"/>
        <v>2025-11</v>
      </c>
      <c r="AB1150" t="str">
        <f t="shared" si="194"/>
        <v>2026-01</v>
      </c>
      <c r="AC1150" t="str">
        <f t="shared" si="195"/>
        <v>Q4-2025</v>
      </c>
      <c r="AD1150" s="5">
        <f t="shared" si="196"/>
        <v>74</v>
      </c>
      <c r="AE1150" t="str">
        <f t="shared" si="197"/>
        <v>Lost</v>
      </c>
    </row>
    <row r="1151" spans="1:31">
      <c r="A1151" t="s">
        <v>1253</v>
      </c>
      <c r="B1151" s="1">
        <v>45792</v>
      </c>
      <c r="C1151" t="s">
        <v>86</v>
      </c>
      <c r="D1151" t="s">
        <v>87</v>
      </c>
      <c r="E1151" t="s">
        <v>109</v>
      </c>
      <c r="F1151" t="s">
        <v>71</v>
      </c>
      <c r="G1151" t="s">
        <v>76</v>
      </c>
      <c r="H1151" t="s">
        <v>47</v>
      </c>
      <c r="I1151" t="s">
        <v>48</v>
      </c>
      <c r="J1151" s="1">
        <v>46060</v>
      </c>
      <c r="K1151" s="1"/>
      <c r="L1151" s="3">
        <v>12500</v>
      </c>
      <c r="M1151" s="4">
        <v>0</v>
      </c>
      <c r="N1151" s="4">
        <v>0.85</v>
      </c>
      <c r="P1151">
        <v>5</v>
      </c>
      <c r="Q1151" t="str">
        <f>IFERROR(VLOOKUP(E1151,Lookups!$A$5:$B$24,2,FALSE),"Other")</f>
        <v>Outbound</v>
      </c>
      <c r="R1151" t="str">
        <f>IFERROR(VLOOKUP(F1151,Lookups!$D$5:$F$10,2,FALSE),"Unknown Product")</f>
        <v>Marketing Automation</v>
      </c>
      <c r="S1151" t="str">
        <f>IFERROR(VLOOKUP(F1151,Lookups!$D$5:$F$10,3,FALSE),"Unknown")</f>
        <v>Marketing</v>
      </c>
      <c r="T1151" t="str">
        <f t="shared" si="187"/>
        <v>SMB</v>
      </c>
      <c r="U1151" t="str">
        <f t="shared" si="188"/>
        <v>Open</v>
      </c>
      <c r="V1151" s="3">
        <f t="shared" si="189"/>
        <v>0</v>
      </c>
      <c r="W1151" s="3">
        <f t="shared" si="190"/>
        <v>10625</v>
      </c>
      <c r="X1151" s="5" t="str">
        <f t="shared" si="191"/>
        <v/>
      </c>
      <c r="Y1151" s="5">
        <f>IF(U1151="Open",Lookups!$B$2-B1151,X1151)</f>
        <v>474</v>
      </c>
      <c r="Z1151" t="str">
        <f t="shared" si="192"/>
        <v>STALE</v>
      </c>
      <c r="AA1151" t="str">
        <f t="shared" si="193"/>
        <v>2025-05</v>
      </c>
      <c r="AB1151" t="str">
        <f t="shared" si="194"/>
        <v/>
      </c>
      <c r="AC1151" t="str">
        <f t="shared" si="195"/>
        <v>Q2-2025</v>
      </c>
      <c r="AD1151" s="5">
        <f t="shared" si="196"/>
        <v>43</v>
      </c>
      <c r="AE1151" t="str">
        <f t="shared" si="197"/>
        <v>Commit</v>
      </c>
    </row>
    <row r="1152" spans="1:31">
      <c r="A1152" t="s">
        <v>1254</v>
      </c>
      <c r="B1152" s="1">
        <v>45805</v>
      </c>
      <c r="C1152" t="s">
        <v>50</v>
      </c>
      <c r="D1152" t="s">
        <v>43</v>
      </c>
      <c r="E1152" t="s">
        <v>83</v>
      </c>
      <c r="F1152" t="s">
        <v>52</v>
      </c>
      <c r="G1152" t="s">
        <v>60</v>
      </c>
      <c r="H1152" t="s">
        <v>53</v>
      </c>
      <c r="I1152" t="s">
        <v>48</v>
      </c>
      <c r="J1152" s="1">
        <v>46127</v>
      </c>
      <c r="K1152" s="1"/>
      <c r="L1152" s="3">
        <v>18400</v>
      </c>
      <c r="M1152" s="4">
        <v>0</v>
      </c>
      <c r="N1152" s="4">
        <v>0.85</v>
      </c>
      <c r="P1152">
        <v>5</v>
      </c>
      <c r="Q1152" t="str">
        <f>IFERROR(VLOOKUP(E1152,Lookups!$A$5:$B$24,2,FALSE),"Other")</f>
        <v>Organic Search</v>
      </c>
      <c r="R1152" t="str">
        <f>IFERROR(VLOOKUP(F1152,Lookups!$D$5:$F$10,2,FALSE),"Unknown Product")</f>
        <v>NexaCRM Core</v>
      </c>
      <c r="S1152" t="str">
        <f>IFERROR(VLOOKUP(F1152,Lookups!$D$5:$F$10,3,FALSE),"Unknown")</f>
        <v>CRM</v>
      </c>
      <c r="T1152" t="str">
        <f t="shared" si="187"/>
        <v>SMB</v>
      </c>
      <c r="U1152" t="str">
        <f t="shared" si="188"/>
        <v>Open</v>
      </c>
      <c r="V1152" s="3">
        <f t="shared" si="189"/>
        <v>0</v>
      </c>
      <c r="W1152" s="3">
        <f t="shared" si="190"/>
        <v>15640</v>
      </c>
      <c r="X1152" s="5" t="str">
        <f t="shared" si="191"/>
        <v/>
      </c>
      <c r="Y1152" s="5">
        <f>IF(U1152="Open",Lookups!$B$2-B1152,X1152)</f>
        <v>461</v>
      </c>
      <c r="Z1152" t="str">
        <f t="shared" si="192"/>
        <v>STALE</v>
      </c>
      <c r="AA1152" t="str">
        <f t="shared" si="193"/>
        <v>2025-05</v>
      </c>
      <c r="AB1152" t="str">
        <f t="shared" si="194"/>
        <v/>
      </c>
      <c r="AC1152" t="str">
        <f t="shared" si="195"/>
        <v>Q2-2025</v>
      </c>
      <c r="AD1152" s="5">
        <f t="shared" si="196"/>
        <v>57</v>
      </c>
      <c r="AE1152" t="str">
        <f t="shared" si="197"/>
        <v>Commit</v>
      </c>
    </row>
    <row r="1153" spans="1:31">
      <c r="A1153" t="s">
        <v>1255</v>
      </c>
      <c r="B1153" s="1">
        <v>45931</v>
      </c>
      <c r="C1153" t="s">
        <v>86</v>
      </c>
      <c r="D1153" t="s">
        <v>87</v>
      </c>
      <c r="E1153" t="s">
        <v>160</v>
      </c>
      <c r="F1153" t="s">
        <v>71</v>
      </c>
      <c r="G1153" t="s">
        <v>112</v>
      </c>
      <c r="H1153" t="s">
        <v>53</v>
      </c>
      <c r="I1153" t="s">
        <v>48</v>
      </c>
      <c r="J1153" s="1">
        <v>46165</v>
      </c>
      <c r="K1153" s="1"/>
      <c r="L1153" s="3">
        <v>21600</v>
      </c>
      <c r="M1153" s="4">
        <v>0.05</v>
      </c>
      <c r="N1153" s="4">
        <v>0.85</v>
      </c>
      <c r="P1153">
        <v>5</v>
      </c>
      <c r="Q1153" t="str">
        <f>IFERROR(VLOOKUP(E1153,Lookups!$A$5:$B$24,2,FALSE),"Other")</f>
        <v>Email</v>
      </c>
      <c r="R1153" t="str">
        <f>IFERROR(VLOOKUP(F1153,Lookups!$D$5:$F$10,2,FALSE),"Unknown Product")</f>
        <v>Marketing Automation</v>
      </c>
      <c r="S1153" t="str">
        <f>IFERROR(VLOOKUP(F1153,Lookups!$D$5:$F$10,3,FALSE),"Unknown")</f>
        <v>Marketing</v>
      </c>
      <c r="T1153" t="str">
        <f t="shared" si="187"/>
        <v>Mid-Market</v>
      </c>
      <c r="U1153" t="str">
        <f t="shared" si="188"/>
        <v>Open</v>
      </c>
      <c r="V1153" s="3">
        <f t="shared" si="189"/>
        <v>0</v>
      </c>
      <c r="W1153" s="3">
        <f t="shared" si="190"/>
        <v>18360</v>
      </c>
      <c r="X1153" s="5" t="str">
        <f t="shared" si="191"/>
        <v/>
      </c>
      <c r="Y1153" s="5">
        <f>IF(U1153="Open",Lookups!$B$2-B1153,X1153)</f>
        <v>335</v>
      </c>
      <c r="Z1153" t="str">
        <f t="shared" si="192"/>
        <v>STALE</v>
      </c>
      <c r="AA1153" t="str">
        <f t="shared" si="193"/>
        <v>2025-10</v>
      </c>
      <c r="AB1153" t="str">
        <f t="shared" si="194"/>
        <v/>
      </c>
      <c r="AC1153" t="str">
        <f t="shared" si="195"/>
        <v>Q4-2025</v>
      </c>
      <c r="AD1153" s="5">
        <f t="shared" si="196"/>
        <v>68</v>
      </c>
      <c r="AE1153" t="str">
        <f t="shared" si="197"/>
        <v>Commit</v>
      </c>
    </row>
    <row r="1154" spans="1:31">
      <c r="A1154" t="s">
        <v>1256</v>
      </c>
      <c r="B1154" s="1">
        <v>46145</v>
      </c>
      <c r="C1154" t="s">
        <v>148</v>
      </c>
      <c r="D1154" t="s">
        <v>43</v>
      </c>
      <c r="E1154" t="s">
        <v>104</v>
      </c>
      <c r="F1154" t="s">
        <v>71</v>
      </c>
      <c r="G1154" t="s">
        <v>112</v>
      </c>
      <c r="H1154" t="s">
        <v>47</v>
      </c>
      <c r="I1154" t="s">
        <v>54</v>
      </c>
      <c r="J1154" s="1">
        <v>46236</v>
      </c>
      <c r="K1154" s="1"/>
      <c r="L1154" s="3">
        <v>10600</v>
      </c>
      <c r="M1154" s="4">
        <v>0.05</v>
      </c>
      <c r="N1154" s="4">
        <v>0.65</v>
      </c>
      <c r="P1154">
        <v>4</v>
      </c>
      <c r="Q1154" t="str">
        <f>IFERROR(VLOOKUP(E1154,Lookups!$A$5:$B$24,2,FALSE),"Other")</f>
        <v>Other</v>
      </c>
      <c r="R1154" t="str">
        <f>IFERROR(VLOOKUP(F1154,Lookups!$D$5:$F$10,2,FALSE),"Unknown Product")</f>
        <v>Marketing Automation</v>
      </c>
      <c r="S1154" t="str">
        <f>IFERROR(VLOOKUP(F1154,Lookups!$D$5:$F$10,3,FALSE),"Unknown")</f>
        <v>Marketing</v>
      </c>
      <c r="T1154" t="str">
        <f t="shared" ref="T1154:T1217" si="198">IF(L1154&gt;=50000,"Enterprise",IF(L1154&gt;=20000,"Mid-Market","SMB"))</f>
        <v>SMB</v>
      </c>
      <c r="U1154" t="str">
        <f t="shared" ref="U1154:U1217" si="199">IF(I1154="Closed Won","Won",IF(I1154="Closed Lost","Lost","Open"))</f>
        <v>Open</v>
      </c>
      <c r="V1154" s="3">
        <f t="shared" ref="V1154:V1217" si="200">IF(U1154="Won",L1154*(1-M1154),0)</f>
        <v>0</v>
      </c>
      <c r="W1154" s="3">
        <f t="shared" ref="W1154:W1217" si="201">IF(U1154="Open",L1154*N1154,0)</f>
        <v>6890</v>
      </c>
      <c r="X1154" s="5" t="str">
        <f t="shared" ref="X1154:X1217" si="202">IF(U1154="Open","",IFERROR(K1154-B1154,""))</f>
        <v/>
      </c>
      <c r="Y1154" s="5">
        <f>IF(U1154="Open",Lookups!$B$2-B1154,X1154)</f>
        <v>121</v>
      </c>
      <c r="Z1154" t="str">
        <f t="shared" ref="Z1154:Z1217" si="203">IF(AND(U1154="Open",Y1154&gt;30),"STALE","OK")</f>
        <v>STALE</v>
      </c>
      <c r="AA1154" t="str">
        <f t="shared" ref="AA1154:AA1217" si="204">TEXT(B1154,"yyyy-mm")</f>
        <v>2026-05</v>
      </c>
      <c r="AB1154" t="str">
        <f t="shared" ref="AB1154:AB1217" si="205">IF(K1154="","",TEXT(K1154,"yyyy-mm"))</f>
        <v/>
      </c>
      <c r="AC1154" t="str">
        <f t="shared" ref="AC1154:AC1217" si="206">"Q"&amp;ROUNDUP(MONTH(B1154)/3,0)&amp;"-"&amp;YEAR(B1154)</f>
        <v>Q2-2026</v>
      </c>
      <c r="AD1154" s="5">
        <f t="shared" ref="AD1154:AD1217" si="207">MIN(100,IF(H1154="Enterprise",30,IF(H1154="Mid-Market",22,14))+IF(T1154="Enterprise",25,IF(T1154="Mid-Market",18,10))+IF(Q1154="Referral",25,IF(Q1154="Organic Search",20,IF(Q1154="Email",18,14)))+IF(G1154="Technology",10,5))</f>
        <v>48</v>
      </c>
      <c r="AE1154" t="str">
        <f t="shared" ref="AE1154:AE1217" si="208">IF(U1154&lt;&gt;"Open",U1154,IF(N1154&gt;=0.8,"Commit",IF(N1154&gt;=0.5,"Best Case","Pipeline")))</f>
        <v>Best Case</v>
      </c>
    </row>
    <row r="1155" spans="1:31">
      <c r="A1155" t="s">
        <v>1257</v>
      </c>
      <c r="B1155" s="1">
        <v>45959</v>
      </c>
      <c r="C1155" t="s">
        <v>42</v>
      </c>
      <c r="D1155" t="s">
        <v>43</v>
      </c>
      <c r="E1155" t="s">
        <v>109</v>
      </c>
      <c r="F1155" t="s">
        <v>71</v>
      </c>
      <c r="G1155" t="s">
        <v>76</v>
      </c>
      <c r="H1155" t="s">
        <v>84</v>
      </c>
      <c r="I1155" t="s">
        <v>48</v>
      </c>
      <c r="J1155" s="1">
        <v>46186</v>
      </c>
      <c r="K1155" s="1"/>
      <c r="L1155" s="3">
        <v>52000</v>
      </c>
      <c r="M1155" s="4">
        <v>0.05</v>
      </c>
      <c r="N1155" s="4">
        <v>0.85</v>
      </c>
      <c r="P1155">
        <v>5</v>
      </c>
      <c r="Q1155" t="str">
        <f>IFERROR(VLOOKUP(E1155,Lookups!$A$5:$B$24,2,FALSE),"Other")</f>
        <v>Outbound</v>
      </c>
      <c r="R1155" t="str">
        <f>IFERROR(VLOOKUP(F1155,Lookups!$D$5:$F$10,2,FALSE),"Unknown Product")</f>
        <v>Marketing Automation</v>
      </c>
      <c r="S1155" t="str">
        <f>IFERROR(VLOOKUP(F1155,Lookups!$D$5:$F$10,3,FALSE),"Unknown")</f>
        <v>Marketing</v>
      </c>
      <c r="T1155" t="str">
        <f t="shared" si="198"/>
        <v>Enterprise</v>
      </c>
      <c r="U1155" t="str">
        <f t="shared" si="199"/>
        <v>Open</v>
      </c>
      <c r="V1155" s="3">
        <f t="shared" si="200"/>
        <v>0</v>
      </c>
      <c r="W1155" s="3">
        <f t="shared" si="201"/>
        <v>44200</v>
      </c>
      <c r="X1155" s="5" t="str">
        <f t="shared" si="202"/>
        <v/>
      </c>
      <c r="Y1155" s="5">
        <f>IF(U1155="Open",Lookups!$B$2-B1155,X1155)</f>
        <v>307</v>
      </c>
      <c r="Z1155" t="str">
        <f t="shared" si="203"/>
        <v>STALE</v>
      </c>
      <c r="AA1155" t="str">
        <f t="shared" si="204"/>
        <v>2025-10</v>
      </c>
      <c r="AB1155" t="str">
        <f t="shared" si="205"/>
        <v/>
      </c>
      <c r="AC1155" t="str">
        <f t="shared" si="206"/>
        <v>Q4-2025</v>
      </c>
      <c r="AD1155" s="5">
        <f t="shared" si="207"/>
        <v>74</v>
      </c>
      <c r="AE1155" t="str">
        <f t="shared" si="208"/>
        <v>Commit</v>
      </c>
    </row>
    <row r="1156" spans="1:31">
      <c r="A1156" t="s">
        <v>1258</v>
      </c>
      <c r="B1156" s="1">
        <v>45675</v>
      </c>
      <c r="C1156" t="s">
        <v>56</v>
      </c>
      <c r="D1156" t="s">
        <v>57</v>
      </c>
      <c r="E1156" t="s">
        <v>146</v>
      </c>
      <c r="F1156" t="s">
        <v>133</v>
      </c>
      <c r="G1156" t="s">
        <v>94</v>
      </c>
      <c r="H1156" t="s">
        <v>47</v>
      </c>
      <c r="I1156" t="s">
        <v>61</v>
      </c>
      <c r="J1156" s="1">
        <v>45713</v>
      </c>
      <c r="K1156" s="1">
        <v>45713</v>
      </c>
      <c r="L1156" s="3">
        <v>26500</v>
      </c>
      <c r="M1156" s="4">
        <v>0</v>
      </c>
      <c r="N1156" s="4">
        <v>0</v>
      </c>
      <c r="O1156" t="s">
        <v>81</v>
      </c>
      <c r="P1156">
        <v>3</v>
      </c>
      <c r="Q1156" t="str">
        <f>IFERROR(VLOOKUP(E1156,Lookups!$A$5:$B$24,2,FALSE),"Other")</f>
        <v>LinkedIn</v>
      </c>
      <c r="R1156" t="str">
        <f>IFERROR(VLOOKUP(F1156,Lookups!$D$5:$F$10,2,FALSE),"Unknown Product")</f>
        <v>Analytics Plus</v>
      </c>
      <c r="S1156" t="str">
        <f>IFERROR(VLOOKUP(F1156,Lookups!$D$5:$F$10,3,FALSE),"Unknown")</f>
        <v>Analytics</v>
      </c>
      <c r="T1156" t="str">
        <f t="shared" si="198"/>
        <v>Mid-Market</v>
      </c>
      <c r="U1156" t="str">
        <f t="shared" si="199"/>
        <v>Lost</v>
      </c>
      <c r="V1156" s="3">
        <f t="shared" si="200"/>
        <v>0</v>
      </c>
      <c r="W1156" s="3">
        <f t="shared" si="201"/>
        <v>0</v>
      </c>
      <c r="X1156" s="5">
        <f t="shared" si="202"/>
        <v>38</v>
      </c>
      <c r="Y1156" s="5">
        <f>IF(U1156="Open",Lookups!$B$2-B1156,X1156)</f>
        <v>38</v>
      </c>
      <c r="Z1156" t="str">
        <f t="shared" si="203"/>
        <v>OK</v>
      </c>
      <c r="AA1156" t="str">
        <f t="shared" si="204"/>
        <v>2025-01</v>
      </c>
      <c r="AB1156" t="str">
        <f t="shared" si="205"/>
        <v>2025-02</v>
      </c>
      <c r="AC1156" t="str">
        <f t="shared" si="206"/>
        <v>Q1-2025</v>
      </c>
      <c r="AD1156" s="5">
        <f t="shared" si="207"/>
        <v>51</v>
      </c>
      <c r="AE1156" t="str">
        <f t="shared" si="208"/>
        <v>Lost</v>
      </c>
    </row>
    <row r="1157" spans="1:31">
      <c r="A1157" t="s">
        <v>1259</v>
      </c>
      <c r="B1157" s="1">
        <v>46115</v>
      </c>
      <c r="C1157" t="s">
        <v>69</v>
      </c>
      <c r="D1157" t="s">
        <v>57</v>
      </c>
      <c r="E1157" t="s">
        <v>51</v>
      </c>
      <c r="F1157" t="s">
        <v>45</v>
      </c>
      <c r="G1157" t="s">
        <v>94</v>
      </c>
      <c r="H1157" t="s">
        <v>84</v>
      </c>
      <c r="I1157" t="s">
        <v>48</v>
      </c>
      <c r="J1157" s="1">
        <v>46239</v>
      </c>
      <c r="K1157" s="1"/>
      <c r="L1157" s="3">
        <v>86200</v>
      </c>
      <c r="M1157" s="4">
        <v>0.05</v>
      </c>
      <c r="N1157" s="4">
        <v>0.85</v>
      </c>
      <c r="P1157">
        <v>5</v>
      </c>
      <c r="Q1157" t="str">
        <f>IFERROR(VLOOKUP(E1157,Lookups!$A$5:$B$24,2,FALSE),"Other")</f>
        <v>Paid Search</v>
      </c>
      <c r="R1157" t="str">
        <f>IFERROR(VLOOKUP(F1157,Lookups!$D$5:$F$10,2,FALSE),"Unknown Product")</f>
        <v>Service Cloud</v>
      </c>
      <c r="S1157" t="str">
        <f>IFERROR(VLOOKUP(F1157,Lookups!$D$5:$F$10,3,FALSE),"Unknown")</f>
        <v>Customer Service</v>
      </c>
      <c r="T1157" t="str">
        <f t="shared" si="198"/>
        <v>Enterprise</v>
      </c>
      <c r="U1157" t="str">
        <f t="shared" si="199"/>
        <v>Open</v>
      </c>
      <c r="V1157" s="3">
        <f t="shared" si="200"/>
        <v>0</v>
      </c>
      <c r="W1157" s="3">
        <f t="shared" si="201"/>
        <v>73270</v>
      </c>
      <c r="X1157" s="5" t="str">
        <f t="shared" si="202"/>
        <v/>
      </c>
      <c r="Y1157" s="5">
        <f>IF(U1157="Open",Lookups!$B$2-B1157,X1157)</f>
        <v>151</v>
      </c>
      <c r="Z1157" t="str">
        <f t="shared" si="203"/>
        <v>STALE</v>
      </c>
      <c r="AA1157" t="str">
        <f t="shared" si="204"/>
        <v>2026-04</v>
      </c>
      <c r="AB1157" t="str">
        <f t="shared" si="205"/>
        <v/>
      </c>
      <c r="AC1157" t="str">
        <f t="shared" si="206"/>
        <v>Q2-2026</v>
      </c>
      <c r="AD1157" s="5">
        <f t="shared" si="207"/>
        <v>74</v>
      </c>
      <c r="AE1157" t="str">
        <f t="shared" si="208"/>
        <v>Commit</v>
      </c>
    </row>
    <row r="1158" spans="1:31">
      <c r="A1158" t="s">
        <v>1260</v>
      </c>
      <c r="B1158" s="1">
        <v>45823</v>
      </c>
      <c r="C1158" t="s">
        <v>90</v>
      </c>
      <c r="D1158" t="s">
        <v>57</v>
      </c>
      <c r="E1158" t="s">
        <v>51</v>
      </c>
      <c r="F1158" t="s">
        <v>71</v>
      </c>
      <c r="G1158" t="s">
        <v>99</v>
      </c>
      <c r="H1158" t="s">
        <v>53</v>
      </c>
      <c r="I1158" t="s">
        <v>61</v>
      </c>
      <c r="J1158" s="1">
        <v>45855</v>
      </c>
      <c r="K1158" s="1">
        <v>45855</v>
      </c>
      <c r="L1158" s="3">
        <v>31000</v>
      </c>
      <c r="M1158" s="4">
        <v>0</v>
      </c>
      <c r="N1158" s="4">
        <v>0</v>
      </c>
      <c r="O1158" t="s">
        <v>116</v>
      </c>
      <c r="P1158">
        <v>4</v>
      </c>
      <c r="Q1158" t="str">
        <f>IFERROR(VLOOKUP(E1158,Lookups!$A$5:$B$24,2,FALSE),"Other")</f>
        <v>Paid Search</v>
      </c>
      <c r="R1158" t="str">
        <f>IFERROR(VLOOKUP(F1158,Lookups!$D$5:$F$10,2,FALSE),"Unknown Product")</f>
        <v>Marketing Automation</v>
      </c>
      <c r="S1158" t="str">
        <f>IFERROR(VLOOKUP(F1158,Lookups!$D$5:$F$10,3,FALSE),"Unknown")</f>
        <v>Marketing</v>
      </c>
      <c r="T1158" t="str">
        <f t="shared" si="198"/>
        <v>Mid-Market</v>
      </c>
      <c r="U1158" t="str">
        <f t="shared" si="199"/>
        <v>Lost</v>
      </c>
      <c r="V1158" s="3">
        <f t="shared" si="200"/>
        <v>0</v>
      </c>
      <c r="W1158" s="3">
        <f t="shared" si="201"/>
        <v>0</v>
      </c>
      <c r="X1158" s="5">
        <f t="shared" si="202"/>
        <v>32</v>
      </c>
      <c r="Y1158" s="5">
        <f>IF(U1158="Open",Lookups!$B$2-B1158,X1158)</f>
        <v>32</v>
      </c>
      <c r="Z1158" t="str">
        <f t="shared" si="203"/>
        <v>OK</v>
      </c>
      <c r="AA1158" t="str">
        <f t="shared" si="204"/>
        <v>2025-06</v>
      </c>
      <c r="AB1158" t="str">
        <f t="shared" si="205"/>
        <v>2025-07</v>
      </c>
      <c r="AC1158" t="str">
        <f t="shared" si="206"/>
        <v>Q2-2025</v>
      </c>
      <c r="AD1158" s="5">
        <f t="shared" si="207"/>
        <v>59</v>
      </c>
      <c r="AE1158" t="str">
        <f t="shared" si="208"/>
        <v>Lost</v>
      </c>
    </row>
    <row r="1159" spans="1:31">
      <c r="A1159" t="s">
        <v>1261</v>
      </c>
      <c r="B1159" s="1">
        <v>46102</v>
      </c>
      <c r="C1159" t="s">
        <v>42</v>
      </c>
      <c r="D1159" t="s">
        <v>43</v>
      </c>
      <c r="E1159" t="s">
        <v>138</v>
      </c>
      <c r="F1159" t="s">
        <v>71</v>
      </c>
      <c r="G1159" t="s">
        <v>76</v>
      </c>
      <c r="H1159" t="s">
        <v>84</v>
      </c>
      <c r="I1159" t="s">
        <v>61</v>
      </c>
      <c r="J1159" s="1">
        <v>46131</v>
      </c>
      <c r="K1159" s="1">
        <v>46131</v>
      </c>
      <c r="L1159" s="3">
        <v>71100</v>
      </c>
      <c r="M1159" s="4">
        <v>0</v>
      </c>
      <c r="N1159" s="4">
        <v>0</v>
      </c>
      <c r="O1159" t="s">
        <v>116</v>
      </c>
      <c r="P1159">
        <v>4</v>
      </c>
      <c r="Q1159" t="str">
        <f>IFERROR(VLOOKUP(E1159,Lookups!$A$5:$B$24,2,FALSE),"Other")</f>
        <v>Organic Search</v>
      </c>
      <c r="R1159" t="str">
        <f>IFERROR(VLOOKUP(F1159,Lookups!$D$5:$F$10,2,FALSE),"Unknown Product")</f>
        <v>Marketing Automation</v>
      </c>
      <c r="S1159" t="str">
        <f>IFERROR(VLOOKUP(F1159,Lookups!$D$5:$F$10,3,FALSE),"Unknown")</f>
        <v>Marketing</v>
      </c>
      <c r="T1159" t="str">
        <f t="shared" si="198"/>
        <v>Enterprise</v>
      </c>
      <c r="U1159" t="str">
        <f t="shared" si="199"/>
        <v>Lost</v>
      </c>
      <c r="V1159" s="3">
        <f t="shared" si="200"/>
        <v>0</v>
      </c>
      <c r="W1159" s="3">
        <f t="shared" si="201"/>
        <v>0</v>
      </c>
      <c r="X1159" s="5">
        <f t="shared" si="202"/>
        <v>29</v>
      </c>
      <c r="Y1159" s="5">
        <f>IF(U1159="Open",Lookups!$B$2-B1159,X1159)</f>
        <v>29</v>
      </c>
      <c r="Z1159" t="str">
        <f t="shared" si="203"/>
        <v>OK</v>
      </c>
      <c r="AA1159" t="str">
        <f t="shared" si="204"/>
        <v>2026-03</v>
      </c>
      <c r="AB1159" t="str">
        <f t="shared" si="205"/>
        <v>2026-04</v>
      </c>
      <c r="AC1159" t="str">
        <f t="shared" si="206"/>
        <v>Q1-2026</v>
      </c>
      <c r="AD1159" s="5">
        <f t="shared" si="207"/>
        <v>80</v>
      </c>
      <c r="AE1159" t="str">
        <f t="shared" si="208"/>
        <v>Lost</v>
      </c>
    </row>
    <row r="1160" spans="1:31">
      <c r="A1160" t="s">
        <v>1262</v>
      </c>
      <c r="B1160" s="1">
        <v>45681</v>
      </c>
      <c r="C1160" t="s">
        <v>50</v>
      </c>
      <c r="D1160" t="s">
        <v>43</v>
      </c>
      <c r="E1160" t="s">
        <v>127</v>
      </c>
      <c r="F1160" t="s">
        <v>133</v>
      </c>
      <c r="G1160" t="s">
        <v>46</v>
      </c>
      <c r="H1160" t="s">
        <v>47</v>
      </c>
      <c r="I1160" t="s">
        <v>61</v>
      </c>
      <c r="J1160" s="1">
        <v>45736</v>
      </c>
      <c r="K1160" s="1">
        <v>45736</v>
      </c>
      <c r="L1160" s="3">
        <v>17800</v>
      </c>
      <c r="M1160" s="4">
        <v>0</v>
      </c>
      <c r="N1160" s="4">
        <v>0</v>
      </c>
      <c r="O1160" t="s">
        <v>81</v>
      </c>
      <c r="P1160">
        <v>3</v>
      </c>
      <c r="Q1160" t="str">
        <f>IFERROR(VLOOKUP(E1160,Lookups!$A$5:$B$24,2,FALSE),"Other")</f>
        <v>Paid Search</v>
      </c>
      <c r="R1160" t="str">
        <f>IFERROR(VLOOKUP(F1160,Lookups!$D$5:$F$10,2,FALSE),"Unknown Product")</f>
        <v>Analytics Plus</v>
      </c>
      <c r="S1160" t="str">
        <f>IFERROR(VLOOKUP(F1160,Lookups!$D$5:$F$10,3,FALSE),"Unknown")</f>
        <v>Analytics</v>
      </c>
      <c r="T1160" t="str">
        <f t="shared" si="198"/>
        <v>SMB</v>
      </c>
      <c r="U1160" t="str">
        <f t="shared" si="199"/>
        <v>Lost</v>
      </c>
      <c r="V1160" s="3">
        <f t="shared" si="200"/>
        <v>0</v>
      </c>
      <c r="W1160" s="3">
        <f t="shared" si="201"/>
        <v>0</v>
      </c>
      <c r="X1160" s="5">
        <f t="shared" si="202"/>
        <v>55</v>
      </c>
      <c r="Y1160" s="5">
        <f>IF(U1160="Open",Lookups!$B$2-B1160,X1160)</f>
        <v>55</v>
      </c>
      <c r="Z1160" t="str">
        <f t="shared" si="203"/>
        <v>OK</v>
      </c>
      <c r="AA1160" t="str">
        <f t="shared" si="204"/>
        <v>2025-01</v>
      </c>
      <c r="AB1160" t="str">
        <f t="shared" si="205"/>
        <v>2025-03</v>
      </c>
      <c r="AC1160" t="str">
        <f t="shared" si="206"/>
        <v>Q1-2025</v>
      </c>
      <c r="AD1160" s="5">
        <f t="shared" si="207"/>
        <v>43</v>
      </c>
      <c r="AE1160" t="str">
        <f t="shared" si="208"/>
        <v>Lost</v>
      </c>
    </row>
    <row r="1161" spans="1:31">
      <c r="A1161" t="s">
        <v>1263</v>
      </c>
      <c r="B1161" s="1">
        <v>45859</v>
      </c>
      <c r="C1161" t="s">
        <v>56</v>
      </c>
      <c r="D1161" t="s">
        <v>57</v>
      </c>
      <c r="E1161" t="s">
        <v>98</v>
      </c>
      <c r="F1161" t="s">
        <v>45</v>
      </c>
      <c r="G1161" t="s">
        <v>60</v>
      </c>
      <c r="H1161" t="s">
        <v>53</v>
      </c>
      <c r="I1161" t="s">
        <v>48</v>
      </c>
      <c r="J1161" s="1">
        <v>46106</v>
      </c>
      <c r="K1161" s="1"/>
      <c r="L1161" s="3">
        <v>39900</v>
      </c>
      <c r="M1161" s="4">
        <v>0.05</v>
      </c>
      <c r="N1161" s="4">
        <v>0.85</v>
      </c>
      <c r="P1161">
        <v>5</v>
      </c>
      <c r="Q1161" t="str">
        <f>IFERROR(VLOOKUP(E1161,Lookups!$A$5:$B$24,2,FALSE),"Other")</f>
        <v>Outbound</v>
      </c>
      <c r="R1161" t="str">
        <f>IFERROR(VLOOKUP(F1161,Lookups!$D$5:$F$10,2,FALSE),"Unknown Product")</f>
        <v>Service Cloud</v>
      </c>
      <c r="S1161" t="str">
        <f>IFERROR(VLOOKUP(F1161,Lookups!$D$5:$F$10,3,FALSE),"Unknown")</f>
        <v>Customer Service</v>
      </c>
      <c r="T1161" t="str">
        <f t="shared" si="198"/>
        <v>Mid-Market</v>
      </c>
      <c r="U1161" t="str">
        <f t="shared" si="199"/>
        <v>Open</v>
      </c>
      <c r="V1161" s="3">
        <f t="shared" si="200"/>
        <v>0</v>
      </c>
      <c r="W1161" s="3">
        <f t="shared" si="201"/>
        <v>33915</v>
      </c>
      <c r="X1161" s="5" t="str">
        <f t="shared" si="202"/>
        <v/>
      </c>
      <c r="Y1161" s="5">
        <f>IF(U1161="Open",Lookups!$B$2-B1161,X1161)</f>
        <v>407</v>
      </c>
      <c r="Z1161" t="str">
        <f t="shared" si="203"/>
        <v>STALE</v>
      </c>
      <c r="AA1161" t="str">
        <f t="shared" si="204"/>
        <v>2025-07</v>
      </c>
      <c r="AB1161" t="str">
        <f t="shared" si="205"/>
        <v/>
      </c>
      <c r="AC1161" t="str">
        <f t="shared" si="206"/>
        <v>Q3-2025</v>
      </c>
      <c r="AD1161" s="5">
        <f t="shared" si="207"/>
        <v>59</v>
      </c>
      <c r="AE1161" t="str">
        <f t="shared" si="208"/>
        <v>Commit</v>
      </c>
    </row>
    <row r="1162" spans="1:31">
      <c r="A1162" t="s">
        <v>1264</v>
      </c>
      <c r="B1162" s="1">
        <v>46109</v>
      </c>
      <c r="C1162" t="s">
        <v>64</v>
      </c>
      <c r="D1162" t="s">
        <v>57</v>
      </c>
      <c r="E1162" t="s">
        <v>83</v>
      </c>
      <c r="F1162" t="s">
        <v>52</v>
      </c>
      <c r="G1162" t="s">
        <v>76</v>
      </c>
      <c r="H1162" t="s">
        <v>47</v>
      </c>
      <c r="I1162" t="s">
        <v>77</v>
      </c>
      <c r="J1162" s="1">
        <v>46121</v>
      </c>
      <c r="K1162" s="1">
        <v>46121</v>
      </c>
      <c r="L1162" s="3">
        <v>9600</v>
      </c>
      <c r="M1162" s="4">
        <v>0.03</v>
      </c>
      <c r="N1162" s="4">
        <v>1</v>
      </c>
      <c r="P1162">
        <v>6</v>
      </c>
      <c r="Q1162" t="str">
        <f>IFERROR(VLOOKUP(E1162,Lookups!$A$5:$B$24,2,FALSE),"Other")</f>
        <v>Organic Search</v>
      </c>
      <c r="R1162" t="str">
        <f>IFERROR(VLOOKUP(F1162,Lookups!$D$5:$F$10,2,FALSE),"Unknown Product")</f>
        <v>NexaCRM Core</v>
      </c>
      <c r="S1162" t="str">
        <f>IFERROR(VLOOKUP(F1162,Lookups!$D$5:$F$10,3,FALSE),"Unknown")</f>
        <v>CRM</v>
      </c>
      <c r="T1162" t="str">
        <f t="shared" si="198"/>
        <v>SMB</v>
      </c>
      <c r="U1162" t="str">
        <f t="shared" si="199"/>
        <v>Won</v>
      </c>
      <c r="V1162" s="3">
        <f t="shared" si="200"/>
        <v>9312</v>
      </c>
      <c r="W1162" s="3">
        <f t="shared" si="201"/>
        <v>0</v>
      </c>
      <c r="X1162" s="5">
        <f t="shared" si="202"/>
        <v>12</v>
      </c>
      <c r="Y1162" s="5">
        <f>IF(U1162="Open",Lookups!$B$2-B1162,X1162)</f>
        <v>12</v>
      </c>
      <c r="Z1162" t="str">
        <f t="shared" si="203"/>
        <v>OK</v>
      </c>
      <c r="AA1162" t="str">
        <f t="shared" si="204"/>
        <v>2026-03</v>
      </c>
      <c r="AB1162" t="str">
        <f t="shared" si="205"/>
        <v>2026-04</v>
      </c>
      <c r="AC1162" t="str">
        <f t="shared" si="206"/>
        <v>Q1-2026</v>
      </c>
      <c r="AD1162" s="5">
        <f t="shared" si="207"/>
        <v>49</v>
      </c>
      <c r="AE1162" t="str">
        <f t="shared" si="208"/>
        <v>Won</v>
      </c>
    </row>
    <row r="1163" spans="1:31">
      <c r="A1163" t="s">
        <v>1265</v>
      </c>
      <c r="B1163" s="1">
        <v>45765</v>
      </c>
      <c r="C1163" t="s">
        <v>86</v>
      </c>
      <c r="D1163" t="s">
        <v>87</v>
      </c>
      <c r="E1163" t="s">
        <v>166</v>
      </c>
      <c r="F1163" t="s">
        <v>71</v>
      </c>
      <c r="G1163" t="s">
        <v>94</v>
      </c>
      <c r="H1163" t="s">
        <v>53</v>
      </c>
      <c r="I1163" t="s">
        <v>61</v>
      </c>
      <c r="J1163" s="1">
        <v>45810</v>
      </c>
      <c r="K1163" s="1">
        <v>45810</v>
      </c>
      <c r="L1163" s="3">
        <v>35200</v>
      </c>
      <c r="M1163" s="4">
        <v>0</v>
      </c>
      <c r="N1163" s="4">
        <v>0</v>
      </c>
      <c r="O1163" t="s">
        <v>116</v>
      </c>
      <c r="P1163">
        <v>3</v>
      </c>
      <c r="Q1163" t="str">
        <f>IFERROR(VLOOKUP(E1163,Lookups!$A$5:$B$24,2,FALSE),"Other")</f>
        <v>Referral</v>
      </c>
      <c r="R1163" t="str">
        <f>IFERROR(VLOOKUP(F1163,Lookups!$D$5:$F$10,2,FALSE),"Unknown Product")</f>
        <v>Marketing Automation</v>
      </c>
      <c r="S1163" t="str">
        <f>IFERROR(VLOOKUP(F1163,Lookups!$D$5:$F$10,3,FALSE),"Unknown")</f>
        <v>Marketing</v>
      </c>
      <c r="T1163" t="str">
        <f t="shared" si="198"/>
        <v>Mid-Market</v>
      </c>
      <c r="U1163" t="str">
        <f t="shared" si="199"/>
        <v>Lost</v>
      </c>
      <c r="V1163" s="3">
        <f t="shared" si="200"/>
        <v>0</v>
      </c>
      <c r="W1163" s="3">
        <f t="shared" si="201"/>
        <v>0</v>
      </c>
      <c r="X1163" s="5">
        <f t="shared" si="202"/>
        <v>45</v>
      </c>
      <c r="Y1163" s="5">
        <f>IF(U1163="Open",Lookups!$B$2-B1163,X1163)</f>
        <v>45</v>
      </c>
      <c r="Z1163" t="str">
        <f t="shared" si="203"/>
        <v>OK</v>
      </c>
      <c r="AA1163" t="str">
        <f t="shared" si="204"/>
        <v>2025-04</v>
      </c>
      <c r="AB1163" t="str">
        <f t="shared" si="205"/>
        <v>2025-06</v>
      </c>
      <c r="AC1163" t="str">
        <f t="shared" si="206"/>
        <v>Q2-2025</v>
      </c>
      <c r="AD1163" s="5">
        <f t="shared" si="207"/>
        <v>70</v>
      </c>
      <c r="AE1163" t="str">
        <f t="shared" si="208"/>
        <v>Lost</v>
      </c>
    </row>
    <row r="1164" spans="1:31">
      <c r="A1164" t="s">
        <v>1266</v>
      </c>
      <c r="B1164" s="1">
        <v>46185</v>
      </c>
      <c r="C1164" t="s">
        <v>56</v>
      </c>
      <c r="D1164" t="s">
        <v>57</v>
      </c>
      <c r="E1164" t="s">
        <v>44</v>
      </c>
      <c r="F1164" t="s">
        <v>59</v>
      </c>
      <c r="G1164" t="s">
        <v>76</v>
      </c>
      <c r="H1164" t="s">
        <v>47</v>
      </c>
      <c r="I1164" t="s">
        <v>73</v>
      </c>
      <c r="J1164" s="1">
        <v>46253</v>
      </c>
      <c r="K1164" s="1"/>
      <c r="L1164" s="3">
        <v>21100</v>
      </c>
      <c r="M1164" s="4">
        <v>0.05</v>
      </c>
      <c r="N1164" s="4">
        <v>0.2</v>
      </c>
      <c r="P1164">
        <v>2</v>
      </c>
      <c r="Q1164" t="str">
        <f>IFERROR(VLOOKUP(E1164,Lookups!$A$5:$B$24,2,FALSE),"Other")</f>
        <v>Organic Search</v>
      </c>
      <c r="R1164" t="str">
        <f>IFERROR(VLOOKUP(F1164,Lookups!$D$5:$F$10,2,FALSE),"Unknown Product")</f>
        <v>NexaCRM Pro</v>
      </c>
      <c r="S1164" t="str">
        <f>IFERROR(VLOOKUP(F1164,Lookups!$D$5:$F$10,3,FALSE),"Unknown")</f>
        <v>CRM</v>
      </c>
      <c r="T1164" t="str">
        <f t="shared" si="198"/>
        <v>Mid-Market</v>
      </c>
      <c r="U1164" t="str">
        <f t="shared" si="199"/>
        <v>Open</v>
      </c>
      <c r="V1164" s="3">
        <f t="shared" si="200"/>
        <v>0</v>
      </c>
      <c r="W1164" s="3">
        <f t="shared" si="201"/>
        <v>4220</v>
      </c>
      <c r="X1164" s="5" t="str">
        <f t="shared" si="202"/>
        <v/>
      </c>
      <c r="Y1164" s="5">
        <f>IF(U1164="Open",Lookups!$B$2-B1164,X1164)</f>
        <v>81</v>
      </c>
      <c r="Z1164" t="str">
        <f t="shared" si="203"/>
        <v>STALE</v>
      </c>
      <c r="AA1164" t="str">
        <f t="shared" si="204"/>
        <v>2026-06</v>
      </c>
      <c r="AB1164" t="str">
        <f t="shared" si="205"/>
        <v/>
      </c>
      <c r="AC1164" t="str">
        <f t="shared" si="206"/>
        <v>Q2-2026</v>
      </c>
      <c r="AD1164" s="5">
        <f t="shared" si="207"/>
        <v>57</v>
      </c>
      <c r="AE1164" t="str">
        <f t="shared" si="208"/>
        <v>Pipeline</v>
      </c>
    </row>
    <row r="1165" spans="1:31">
      <c r="A1165" t="s">
        <v>1267</v>
      </c>
      <c r="B1165" s="1">
        <v>46236</v>
      </c>
      <c r="C1165" t="s">
        <v>86</v>
      </c>
      <c r="D1165" t="s">
        <v>87</v>
      </c>
      <c r="E1165" t="s">
        <v>70</v>
      </c>
      <c r="F1165" t="s">
        <v>67</v>
      </c>
      <c r="G1165" t="s">
        <v>60</v>
      </c>
      <c r="H1165" t="s">
        <v>47</v>
      </c>
      <c r="I1165" t="s">
        <v>187</v>
      </c>
      <c r="J1165" s="1">
        <v>46250</v>
      </c>
      <c r="K1165" s="1"/>
      <c r="L1165" s="3">
        <v>29400</v>
      </c>
      <c r="M1165" s="4">
        <v>0</v>
      </c>
      <c r="N1165" s="4">
        <v>0.05</v>
      </c>
      <c r="P1165">
        <v>1</v>
      </c>
      <c r="Q1165" t="str">
        <f>IFERROR(VLOOKUP(E1165,Lookups!$A$5:$B$24,2,FALSE),"Other")</f>
        <v>LinkedIn</v>
      </c>
      <c r="R1165" t="str">
        <f>IFERROR(VLOOKUP(F1165,Lookups!$D$5:$F$10,2,FALSE),"Unknown Product")</f>
        <v>Revenue Operations Suite</v>
      </c>
      <c r="S1165" t="str">
        <f>IFERROR(VLOOKUP(F1165,Lookups!$D$5:$F$10,3,FALSE),"Unknown")</f>
        <v>Revenue Ops</v>
      </c>
      <c r="T1165" t="str">
        <f t="shared" si="198"/>
        <v>Mid-Market</v>
      </c>
      <c r="U1165" t="str">
        <f t="shared" si="199"/>
        <v>Open</v>
      </c>
      <c r="V1165" s="3">
        <f t="shared" si="200"/>
        <v>0</v>
      </c>
      <c r="W1165" s="3">
        <f t="shared" si="201"/>
        <v>1470</v>
      </c>
      <c r="X1165" s="5" t="str">
        <f t="shared" si="202"/>
        <v/>
      </c>
      <c r="Y1165" s="5">
        <f>IF(U1165="Open",Lookups!$B$2-B1165,X1165)</f>
        <v>30</v>
      </c>
      <c r="Z1165" t="str">
        <f t="shared" si="203"/>
        <v>OK</v>
      </c>
      <c r="AA1165" t="str">
        <f t="shared" si="204"/>
        <v>2026-08</v>
      </c>
      <c r="AB1165" t="str">
        <f t="shared" si="205"/>
        <v/>
      </c>
      <c r="AC1165" t="str">
        <f t="shared" si="206"/>
        <v>Q3-2026</v>
      </c>
      <c r="AD1165" s="5">
        <f t="shared" si="207"/>
        <v>51</v>
      </c>
      <c r="AE1165" t="str">
        <f t="shared" si="208"/>
        <v>Pipeline</v>
      </c>
    </row>
    <row r="1166" spans="1:31">
      <c r="A1166" t="s">
        <v>1268</v>
      </c>
      <c r="B1166" s="1">
        <v>46246</v>
      </c>
      <c r="C1166" t="s">
        <v>50</v>
      </c>
      <c r="D1166" t="s">
        <v>43</v>
      </c>
      <c r="E1166" t="s">
        <v>146</v>
      </c>
      <c r="F1166" t="s">
        <v>133</v>
      </c>
      <c r="G1166" t="s">
        <v>60</v>
      </c>
      <c r="H1166" t="s">
        <v>53</v>
      </c>
      <c r="I1166" t="s">
        <v>77</v>
      </c>
      <c r="J1166" s="1">
        <v>46266</v>
      </c>
      <c r="K1166" s="1">
        <v>46266</v>
      </c>
      <c r="L1166" s="3">
        <v>36700</v>
      </c>
      <c r="M1166" s="4">
        <v>0</v>
      </c>
      <c r="N1166" s="4">
        <v>1</v>
      </c>
      <c r="P1166">
        <v>6</v>
      </c>
      <c r="Q1166" t="str">
        <f>IFERROR(VLOOKUP(E1166,Lookups!$A$5:$B$24,2,FALSE),"Other")</f>
        <v>LinkedIn</v>
      </c>
      <c r="R1166" t="str">
        <f>IFERROR(VLOOKUP(F1166,Lookups!$D$5:$F$10,2,FALSE),"Unknown Product")</f>
        <v>Analytics Plus</v>
      </c>
      <c r="S1166" t="str">
        <f>IFERROR(VLOOKUP(F1166,Lookups!$D$5:$F$10,3,FALSE),"Unknown")</f>
        <v>Analytics</v>
      </c>
      <c r="T1166" t="str">
        <f t="shared" si="198"/>
        <v>Mid-Market</v>
      </c>
      <c r="U1166" t="str">
        <f t="shared" si="199"/>
        <v>Won</v>
      </c>
      <c r="V1166" s="3">
        <f t="shared" si="200"/>
        <v>36700</v>
      </c>
      <c r="W1166" s="3">
        <f t="shared" si="201"/>
        <v>0</v>
      </c>
      <c r="X1166" s="5">
        <f t="shared" si="202"/>
        <v>20</v>
      </c>
      <c r="Y1166" s="5">
        <f>IF(U1166="Open",Lookups!$B$2-B1166,X1166)</f>
        <v>20</v>
      </c>
      <c r="Z1166" t="str">
        <f t="shared" si="203"/>
        <v>OK</v>
      </c>
      <c r="AA1166" t="str">
        <f t="shared" si="204"/>
        <v>2026-08</v>
      </c>
      <c r="AB1166" t="str">
        <f t="shared" si="205"/>
        <v>2026-09</v>
      </c>
      <c r="AC1166" t="str">
        <f t="shared" si="206"/>
        <v>Q3-2026</v>
      </c>
      <c r="AD1166" s="5">
        <f t="shared" si="207"/>
        <v>59</v>
      </c>
      <c r="AE1166" t="str">
        <f t="shared" si="208"/>
        <v>Won</v>
      </c>
    </row>
    <row r="1167" spans="1:31">
      <c r="A1167" t="s">
        <v>1269</v>
      </c>
      <c r="B1167" s="1">
        <v>46262</v>
      </c>
      <c r="C1167" t="s">
        <v>86</v>
      </c>
      <c r="D1167" t="s">
        <v>87</v>
      </c>
      <c r="E1167" t="s">
        <v>75</v>
      </c>
      <c r="F1167" t="s">
        <v>71</v>
      </c>
      <c r="G1167" t="s">
        <v>94</v>
      </c>
      <c r="H1167" t="s">
        <v>47</v>
      </c>
      <c r="I1167" t="s">
        <v>187</v>
      </c>
      <c r="J1167" s="1">
        <v>46264</v>
      </c>
      <c r="K1167" s="1"/>
      <c r="L1167" s="3">
        <v>14800</v>
      </c>
      <c r="M1167" s="4">
        <v>0</v>
      </c>
      <c r="N1167" s="4">
        <v>0.05</v>
      </c>
      <c r="P1167">
        <v>1</v>
      </c>
      <c r="Q1167" t="str">
        <f>IFERROR(VLOOKUP(E1167,Lookups!$A$5:$B$24,2,FALSE),"Other")</f>
        <v>Webinar</v>
      </c>
      <c r="R1167" t="str">
        <f>IFERROR(VLOOKUP(F1167,Lookups!$D$5:$F$10,2,FALSE),"Unknown Product")</f>
        <v>Marketing Automation</v>
      </c>
      <c r="S1167" t="str">
        <f>IFERROR(VLOOKUP(F1167,Lookups!$D$5:$F$10,3,FALSE),"Unknown")</f>
        <v>Marketing</v>
      </c>
      <c r="T1167" t="str">
        <f t="shared" si="198"/>
        <v>SMB</v>
      </c>
      <c r="U1167" t="str">
        <f t="shared" si="199"/>
        <v>Open</v>
      </c>
      <c r="V1167" s="3">
        <f t="shared" si="200"/>
        <v>0</v>
      </c>
      <c r="W1167" s="3">
        <f t="shared" si="201"/>
        <v>740</v>
      </c>
      <c r="X1167" s="5" t="str">
        <f t="shared" si="202"/>
        <v/>
      </c>
      <c r="Y1167" s="5">
        <f>IF(U1167="Open",Lookups!$B$2-B1167,X1167)</f>
        <v>4</v>
      </c>
      <c r="Z1167" t="str">
        <f t="shared" si="203"/>
        <v>OK</v>
      </c>
      <c r="AA1167" t="str">
        <f t="shared" si="204"/>
        <v>2026-08</v>
      </c>
      <c r="AB1167" t="str">
        <f t="shared" si="205"/>
        <v/>
      </c>
      <c r="AC1167" t="str">
        <f t="shared" si="206"/>
        <v>Q3-2026</v>
      </c>
      <c r="AD1167" s="5">
        <f t="shared" si="207"/>
        <v>43</v>
      </c>
      <c r="AE1167" t="str">
        <f t="shared" si="208"/>
        <v>Pipeline</v>
      </c>
    </row>
    <row r="1168" spans="1:31">
      <c r="A1168" t="s">
        <v>1270</v>
      </c>
      <c r="B1168" s="1">
        <v>45748</v>
      </c>
      <c r="C1168" t="s">
        <v>42</v>
      </c>
      <c r="D1168" t="s">
        <v>43</v>
      </c>
      <c r="E1168" t="s">
        <v>51</v>
      </c>
      <c r="F1168" t="s">
        <v>45</v>
      </c>
      <c r="G1168" t="s">
        <v>76</v>
      </c>
      <c r="H1168" t="s">
        <v>47</v>
      </c>
      <c r="I1168" t="s">
        <v>61</v>
      </c>
      <c r="J1168" s="1">
        <v>45796</v>
      </c>
      <c r="K1168" s="1">
        <v>45796</v>
      </c>
      <c r="L1168" s="3">
        <v>15200</v>
      </c>
      <c r="M1168" s="4">
        <v>0</v>
      </c>
      <c r="N1168" s="4">
        <v>0</v>
      </c>
      <c r="O1168" t="s">
        <v>110</v>
      </c>
      <c r="P1168">
        <v>3</v>
      </c>
      <c r="Q1168" t="str">
        <f>IFERROR(VLOOKUP(E1168,Lookups!$A$5:$B$24,2,FALSE),"Other")</f>
        <v>Paid Search</v>
      </c>
      <c r="R1168" t="str">
        <f>IFERROR(VLOOKUP(F1168,Lookups!$D$5:$F$10,2,FALSE),"Unknown Product")</f>
        <v>Service Cloud</v>
      </c>
      <c r="S1168" t="str">
        <f>IFERROR(VLOOKUP(F1168,Lookups!$D$5:$F$10,3,FALSE),"Unknown")</f>
        <v>Customer Service</v>
      </c>
      <c r="T1168" t="str">
        <f t="shared" si="198"/>
        <v>SMB</v>
      </c>
      <c r="U1168" t="str">
        <f t="shared" si="199"/>
        <v>Lost</v>
      </c>
      <c r="V1168" s="3">
        <f t="shared" si="200"/>
        <v>0</v>
      </c>
      <c r="W1168" s="3">
        <f t="shared" si="201"/>
        <v>0</v>
      </c>
      <c r="X1168" s="5">
        <f t="shared" si="202"/>
        <v>48</v>
      </c>
      <c r="Y1168" s="5">
        <f>IF(U1168="Open",Lookups!$B$2-B1168,X1168)</f>
        <v>48</v>
      </c>
      <c r="Z1168" t="str">
        <f t="shared" si="203"/>
        <v>OK</v>
      </c>
      <c r="AA1168" t="str">
        <f t="shared" si="204"/>
        <v>2025-04</v>
      </c>
      <c r="AB1168" t="str">
        <f t="shared" si="205"/>
        <v>2025-05</v>
      </c>
      <c r="AC1168" t="str">
        <f t="shared" si="206"/>
        <v>Q2-2025</v>
      </c>
      <c r="AD1168" s="5">
        <f t="shared" si="207"/>
        <v>43</v>
      </c>
      <c r="AE1168" t="str">
        <f t="shared" si="208"/>
        <v>Lost</v>
      </c>
    </row>
    <row r="1169" spans="1:31">
      <c r="A1169" t="s">
        <v>1271</v>
      </c>
      <c r="B1169" s="1">
        <v>45712</v>
      </c>
      <c r="C1169" t="s">
        <v>90</v>
      </c>
      <c r="D1169" t="s">
        <v>57</v>
      </c>
      <c r="E1169" t="s">
        <v>146</v>
      </c>
      <c r="F1169" t="s">
        <v>133</v>
      </c>
      <c r="G1169" t="s">
        <v>72</v>
      </c>
      <c r="H1169" t="s">
        <v>84</v>
      </c>
      <c r="I1169" t="s">
        <v>48</v>
      </c>
      <c r="J1169" s="1">
        <v>46025</v>
      </c>
      <c r="K1169" s="1"/>
      <c r="L1169" s="3">
        <v>62500</v>
      </c>
      <c r="M1169" s="4">
        <v>0.05</v>
      </c>
      <c r="N1169" s="4">
        <v>0.85</v>
      </c>
      <c r="P1169">
        <v>5</v>
      </c>
      <c r="Q1169" t="str">
        <f>IFERROR(VLOOKUP(E1169,Lookups!$A$5:$B$24,2,FALSE),"Other")</f>
        <v>LinkedIn</v>
      </c>
      <c r="R1169" t="str">
        <f>IFERROR(VLOOKUP(F1169,Lookups!$D$5:$F$10,2,FALSE),"Unknown Product")</f>
        <v>Analytics Plus</v>
      </c>
      <c r="S1169" t="str">
        <f>IFERROR(VLOOKUP(F1169,Lookups!$D$5:$F$10,3,FALSE),"Unknown")</f>
        <v>Analytics</v>
      </c>
      <c r="T1169" t="str">
        <f t="shared" si="198"/>
        <v>Enterprise</v>
      </c>
      <c r="U1169" t="str">
        <f t="shared" si="199"/>
        <v>Open</v>
      </c>
      <c r="V1169" s="3">
        <f t="shared" si="200"/>
        <v>0</v>
      </c>
      <c r="W1169" s="3">
        <f t="shared" si="201"/>
        <v>53125</v>
      </c>
      <c r="X1169" s="5" t="str">
        <f t="shared" si="202"/>
        <v/>
      </c>
      <c r="Y1169" s="5">
        <f>IF(U1169="Open",Lookups!$B$2-B1169,X1169)</f>
        <v>554</v>
      </c>
      <c r="Z1169" t="str">
        <f t="shared" si="203"/>
        <v>STALE</v>
      </c>
      <c r="AA1169" t="str">
        <f t="shared" si="204"/>
        <v>2025-02</v>
      </c>
      <c r="AB1169" t="str">
        <f t="shared" si="205"/>
        <v/>
      </c>
      <c r="AC1169" t="str">
        <f t="shared" si="206"/>
        <v>Q1-2025</v>
      </c>
      <c r="AD1169" s="5">
        <f t="shared" si="207"/>
        <v>74</v>
      </c>
      <c r="AE1169" t="str">
        <f t="shared" si="208"/>
        <v>Commit</v>
      </c>
    </row>
    <row r="1170" spans="1:31">
      <c r="A1170" t="s">
        <v>1272</v>
      </c>
      <c r="B1170" s="1">
        <v>46209</v>
      </c>
      <c r="C1170" t="s">
        <v>50</v>
      </c>
      <c r="D1170" t="s">
        <v>43</v>
      </c>
      <c r="E1170" t="s">
        <v>58</v>
      </c>
      <c r="F1170" t="s">
        <v>67</v>
      </c>
      <c r="G1170" t="s">
        <v>99</v>
      </c>
      <c r="H1170" t="s">
        <v>47</v>
      </c>
      <c r="I1170" t="s">
        <v>105</v>
      </c>
      <c r="J1170" s="1">
        <v>46246</v>
      </c>
      <c r="K1170" s="1"/>
      <c r="L1170" s="3">
        <v>40700</v>
      </c>
      <c r="M1170" s="4">
        <v>0.03</v>
      </c>
      <c r="N1170" s="4">
        <v>0.4</v>
      </c>
      <c r="P1170">
        <v>3</v>
      </c>
      <c r="Q1170" t="str">
        <f>IFERROR(VLOOKUP(E1170,Lookups!$A$5:$B$24,2,FALSE),"Other")</f>
        <v>Email</v>
      </c>
      <c r="R1170" t="str">
        <f>IFERROR(VLOOKUP(F1170,Lookups!$D$5:$F$10,2,FALSE),"Unknown Product")</f>
        <v>Revenue Operations Suite</v>
      </c>
      <c r="S1170" t="str">
        <f>IFERROR(VLOOKUP(F1170,Lookups!$D$5:$F$10,3,FALSE),"Unknown")</f>
        <v>Revenue Ops</v>
      </c>
      <c r="T1170" t="str">
        <f t="shared" si="198"/>
        <v>Mid-Market</v>
      </c>
      <c r="U1170" t="str">
        <f t="shared" si="199"/>
        <v>Open</v>
      </c>
      <c r="V1170" s="3">
        <f t="shared" si="200"/>
        <v>0</v>
      </c>
      <c r="W1170" s="3">
        <f t="shared" si="201"/>
        <v>16280</v>
      </c>
      <c r="X1170" s="5" t="str">
        <f t="shared" si="202"/>
        <v/>
      </c>
      <c r="Y1170" s="5">
        <f>IF(U1170="Open",Lookups!$B$2-B1170,X1170)</f>
        <v>57</v>
      </c>
      <c r="Z1170" t="str">
        <f t="shared" si="203"/>
        <v>STALE</v>
      </c>
      <c r="AA1170" t="str">
        <f t="shared" si="204"/>
        <v>2026-07</v>
      </c>
      <c r="AB1170" t="str">
        <f t="shared" si="205"/>
        <v/>
      </c>
      <c r="AC1170" t="str">
        <f t="shared" si="206"/>
        <v>Q3-2026</v>
      </c>
      <c r="AD1170" s="5">
        <f t="shared" si="207"/>
        <v>55</v>
      </c>
      <c r="AE1170" t="str">
        <f t="shared" si="208"/>
        <v>Pipeline</v>
      </c>
    </row>
    <row r="1171" spans="1:31">
      <c r="A1171" t="s">
        <v>1273</v>
      </c>
      <c r="B1171" s="1">
        <v>45876</v>
      </c>
      <c r="C1171" t="s">
        <v>148</v>
      </c>
      <c r="D1171" t="s">
        <v>43</v>
      </c>
      <c r="E1171" t="s">
        <v>44</v>
      </c>
      <c r="F1171" t="s">
        <v>59</v>
      </c>
      <c r="G1171" t="s">
        <v>46</v>
      </c>
      <c r="H1171" t="s">
        <v>47</v>
      </c>
      <c r="I1171" t="s">
        <v>61</v>
      </c>
      <c r="J1171" s="1">
        <v>45896</v>
      </c>
      <c r="K1171" s="1">
        <v>45896</v>
      </c>
      <c r="L1171" s="3">
        <v>13400</v>
      </c>
      <c r="M1171" s="4">
        <v>0</v>
      </c>
      <c r="N1171" s="4">
        <v>0</v>
      </c>
      <c r="O1171" t="s">
        <v>62</v>
      </c>
      <c r="P1171">
        <v>2</v>
      </c>
      <c r="Q1171" t="str">
        <f>IFERROR(VLOOKUP(E1171,Lookups!$A$5:$B$24,2,FALSE),"Other")</f>
        <v>Organic Search</v>
      </c>
      <c r="R1171" t="str">
        <f>IFERROR(VLOOKUP(F1171,Lookups!$D$5:$F$10,2,FALSE),"Unknown Product")</f>
        <v>NexaCRM Pro</v>
      </c>
      <c r="S1171" t="str">
        <f>IFERROR(VLOOKUP(F1171,Lookups!$D$5:$F$10,3,FALSE),"Unknown")</f>
        <v>CRM</v>
      </c>
      <c r="T1171" t="str">
        <f t="shared" si="198"/>
        <v>SMB</v>
      </c>
      <c r="U1171" t="str">
        <f t="shared" si="199"/>
        <v>Lost</v>
      </c>
      <c r="V1171" s="3">
        <f t="shared" si="200"/>
        <v>0</v>
      </c>
      <c r="W1171" s="3">
        <f t="shared" si="201"/>
        <v>0</v>
      </c>
      <c r="X1171" s="5">
        <f t="shared" si="202"/>
        <v>20</v>
      </c>
      <c r="Y1171" s="5">
        <f>IF(U1171="Open",Lookups!$B$2-B1171,X1171)</f>
        <v>20</v>
      </c>
      <c r="Z1171" t="str">
        <f t="shared" si="203"/>
        <v>OK</v>
      </c>
      <c r="AA1171" t="str">
        <f t="shared" si="204"/>
        <v>2025-08</v>
      </c>
      <c r="AB1171" t="str">
        <f t="shared" si="205"/>
        <v>2025-08</v>
      </c>
      <c r="AC1171" t="str">
        <f t="shared" si="206"/>
        <v>Q3-2025</v>
      </c>
      <c r="AD1171" s="5">
        <f t="shared" si="207"/>
        <v>49</v>
      </c>
      <c r="AE1171" t="str">
        <f t="shared" si="208"/>
        <v>Lost</v>
      </c>
    </row>
    <row r="1172" spans="1:31">
      <c r="A1172" t="s">
        <v>1274</v>
      </c>
      <c r="B1172" s="1">
        <v>46200</v>
      </c>
      <c r="C1172" t="s">
        <v>42</v>
      </c>
      <c r="D1172" t="s">
        <v>43</v>
      </c>
      <c r="E1172" t="s">
        <v>51</v>
      </c>
      <c r="F1172" t="s">
        <v>59</v>
      </c>
      <c r="G1172" t="s">
        <v>112</v>
      </c>
      <c r="H1172" t="s">
        <v>47</v>
      </c>
      <c r="I1172" t="s">
        <v>73</v>
      </c>
      <c r="J1172" s="1">
        <v>46233</v>
      </c>
      <c r="K1172" s="1"/>
      <c r="L1172" s="3">
        <v>16600</v>
      </c>
      <c r="M1172" s="4">
        <v>0.03</v>
      </c>
      <c r="N1172" s="4">
        <v>0.2</v>
      </c>
      <c r="P1172">
        <v>2</v>
      </c>
      <c r="Q1172" t="str">
        <f>IFERROR(VLOOKUP(E1172,Lookups!$A$5:$B$24,2,FALSE),"Other")</f>
        <v>Paid Search</v>
      </c>
      <c r="R1172" t="str">
        <f>IFERROR(VLOOKUP(F1172,Lookups!$D$5:$F$10,2,FALSE),"Unknown Product")</f>
        <v>NexaCRM Pro</v>
      </c>
      <c r="S1172" t="str">
        <f>IFERROR(VLOOKUP(F1172,Lookups!$D$5:$F$10,3,FALSE),"Unknown")</f>
        <v>CRM</v>
      </c>
      <c r="T1172" t="str">
        <f t="shared" si="198"/>
        <v>SMB</v>
      </c>
      <c r="U1172" t="str">
        <f t="shared" si="199"/>
        <v>Open</v>
      </c>
      <c r="V1172" s="3">
        <f t="shared" si="200"/>
        <v>0</v>
      </c>
      <c r="W1172" s="3">
        <f t="shared" si="201"/>
        <v>3320</v>
      </c>
      <c r="X1172" s="5" t="str">
        <f t="shared" si="202"/>
        <v/>
      </c>
      <c r="Y1172" s="5">
        <f>IF(U1172="Open",Lookups!$B$2-B1172,X1172)</f>
        <v>66</v>
      </c>
      <c r="Z1172" t="str">
        <f t="shared" si="203"/>
        <v>STALE</v>
      </c>
      <c r="AA1172" t="str">
        <f t="shared" si="204"/>
        <v>2026-06</v>
      </c>
      <c r="AB1172" t="str">
        <f t="shared" si="205"/>
        <v/>
      </c>
      <c r="AC1172" t="str">
        <f t="shared" si="206"/>
        <v>Q2-2026</v>
      </c>
      <c r="AD1172" s="5">
        <f t="shared" si="207"/>
        <v>48</v>
      </c>
      <c r="AE1172" t="str">
        <f t="shared" si="208"/>
        <v>Pipeline</v>
      </c>
    </row>
    <row r="1173" spans="1:31">
      <c r="A1173" t="s">
        <v>1275</v>
      </c>
      <c r="B1173" s="1">
        <v>45809</v>
      </c>
      <c r="C1173" t="s">
        <v>148</v>
      </c>
      <c r="D1173" t="s">
        <v>43</v>
      </c>
      <c r="E1173" t="s">
        <v>104</v>
      </c>
      <c r="F1173" t="s">
        <v>52</v>
      </c>
      <c r="G1173" t="s">
        <v>99</v>
      </c>
      <c r="H1173" t="s">
        <v>47</v>
      </c>
      <c r="I1173" t="s">
        <v>48</v>
      </c>
      <c r="J1173" s="1">
        <v>46063</v>
      </c>
      <c r="K1173" s="1"/>
      <c r="L1173" s="3">
        <v>6200</v>
      </c>
      <c r="M1173" s="4">
        <v>0.05</v>
      </c>
      <c r="N1173" s="4">
        <v>0.85</v>
      </c>
      <c r="P1173">
        <v>5</v>
      </c>
      <c r="Q1173" t="str">
        <f>IFERROR(VLOOKUP(E1173,Lookups!$A$5:$B$24,2,FALSE),"Other")</f>
        <v>Other</v>
      </c>
      <c r="R1173" t="str">
        <f>IFERROR(VLOOKUP(F1173,Lookups!$D$5:$F$10,2,FALSE),"Unknown Product")</f>
        <v>NexaCRM Core</v>
      </c>
      <c r="S1173" t="str">
        <f>IFERROR(VLOOKUP(F1173,Lookups!$D$5:$F$10,3,FALSE),"Unknown")</f>
        <v>CRM</v>
      </c>
      <c r="T1173" t="str">
        <f t="shared" si="198"/>
        <v>SMB</v>
      </c>
      <c r="U1173" t="str">
        <f t="shared" si="199"/>
        <v>Open</v>
      </c>
      <c r="V1173" s="3">
        <f t="shared" si="200"/>
        <v>0</v>
      </c>
      <c r="W1173" s="3">
        <f t="shared" si="201"/>
        <v>5270</v>
      </c>
      <c r="X1173" s="5" t="str">
        <f t="shared" si="202"/>
        <v/>
      </c>
      <c r="Y1173" s="5">
        <f>IF(U1173="Open",Lookups!$B$2-B1173,X1173)</f>
        <v>457</v>
      </c>
      <c r="Z1173" t="str">
        <f t="shared" si="203"/>
        <v>STALE</v>
      </c>
      <c r="AA1173" t="str">
        <f t="shared" si="204"/>
        <v>2025-06</v>
      </c>
      <c r="AB1173" t="str">
        <f t="shared" si="205"/>
        <v/>
      </c>
      <c r="AC1173" t="str">
        <f t="shared" si="206"/>
        <v>Q2-2025</v>
      </c>
      <c r="AD1173" s="5">
        <f t="shared" si="207"/>
        <v>43</v>
      </c>
      <c r="AE1173" t="str">
        <f t="shared" si="208"/>
        <v>Commit</v>
      </c>
    </row>
    <row r="1174" spans="1:31">
      <c r="A1174" t="s">
        <v>1276</v>
      </c>
      <c r="B1174" s="1">
        <v>45834</v>
      </c>
      <c r="C1174" t="s">
        <v>50</v>
      </c>
      <c r="D1174" t="s">
        <v>43</v>
      </c>
      <c r="E1174" t="s">
        <v>166</v>
      </c>
      <c r="F1174" t="s">
        <v>52</v>
      </c>
      <c r="G1174" t="s">
        <v>112</v>
      </c>
      <c r="H1174" t="s">
        <v>47</v>
      </c>
      <c r="I1174" t="s">
        <v>48</v>
      </c>
      <c r="J1174" s="1">
        <v>46201</v>
      </c>
      <c r="K1174" s="1"/>
      <c r="L1174" s="3">
        <v>9900</v>
      </c>
      <c r="M1174" s="4">
        <v>0.05</v>
      </c>
      <c r="N1174" s="4">
        <v>0.85</v>
      </c>
      <c r="P1174">
        <v>5</v>
      </c>
      <c r="Q1174" t="str">
        <f>IFERROR(VLOOKUP(E1174,Lookups!$A$5:$B$24,2,FALSE),"Other")</f>
        <v>Referral</v>
      </c>
      <c r="R1174" t="str">
        <f>IFERROR(VLOOKUP(F1174,Lookups!$D$5:$F$10,2,FALSE),"Unknown Product")</f>
        <v>NexaCRM Core</v>
      </c>
      <c r="S1174" t="str">
        <f>IFERROR(VLOOKUP(F1174,Lookups!$D$5:$F$10,3,FALSE),"Unknown")</f>
        <v>CRM</v>
      </c>
      <c r="T1174" t="str">
        <f t="shared" si="198"/>
        <v>SMB</v>
      </c>
      <c r="U1174" t="str">
        <f t="shared" si="199"/>
        <v>Open</v>
      </c>
      <c r="V1174" s="3">
        <f t="shared" si="200"/>
        <v>0</v>
      </c>
      <c r="W1174" s="3">
        <f t="shared" si="201"/>
        <v>8415</v>
      </c>
      <c r="X1174" s="5" t="str">
        <f t="shared" si="202"/>
        <v/>
      </c>
      <c r="Y1174" s="5">
        <f>IF(U1174="Open",Lookups!$B$2-B1174,X1174)</f>
        <v>432</v>
      </c>
      <c r="Z1174" t="str">
        <f t="shared" si="203"/>
        <v>STALE</v>
      </c>
      <c r="AA1174" t="str">
        <f t="shared" si="204"/>
        <v>2025-06</v>
      </c>
      <c r="AB1174" t="str">
        <f t="shared" si="205"/>
        <v/>
      </c>
      <c r="AC1174" t="str">
        <f t="shared" si="206"/>
        <v>Q2-2025</v>
      </c>
      <c r="AD1174" s="5">
        <f t="shared" si="207"/>
        <v>59</v>
      </c>
      <c r="AE1174" t="str">
        <f t="shared" si="208"/>
        <v>Commit</v>
      </c>
    </row>
    <row r="1175" spans="1:31">
      <c r="A1175" t="s">
        <v>1277</v>
      </c>
      <c r="B1175" s="1">
        <v>46220</v>
      </c>
      <c r="C1175" t="s">
        <v>64</v>
      </c>
      <c r="D1175" t="s">
        <v>57</v>
      </c>
      <c r="E1175" t="s">
        <v>51</v>
      </c>
      <c r="F1175" t="s">
        <v>52</v>
      </c>
      <c r="G1175" t="s">
        <v>76</v>
      </c>
      <c r="H1175" t="s">
        <v>47</v>
      </c>
      <c r="I1175" t="s">
        <v>61</v>
      </c>
      <c r="J1175" s="1">
        <v>46244</v>
      </c>
      <c r="K1175" s="1">
        <v>46244</v>
      </c>
      <c r="L1175" s="3">
        <v>9300</v>
      </c>
      <c r="M1175" s="4">
        <v>0</v>
      </c>
      <c r="N1175" s="4">
        <v>0</v>
      </c>
      <c r="O1175" t="s">
        <v>116</v>
      </c>
      <c r="P1175">
        <v>4</v>
      </c>
      <c r="Q1175" t="str">
        <f>IFERROR(VLOOKUP(E1175,Lookups!$A$5:$B$24,2,FALSE),"Other")</f>
        <v>Paid Search</v>
      </c>
      <c r="R1175" t="str">
        <f>IFERROR(VLOOKUP(F1175,Lookups!$D$5:$F$10,2,FALSE),"Unknown Product")</f>
        <v>NexaCRM Core</v>
      </c>
      <c r="S1175" t="str">
        <f>IFERROR(VLOOKUP(F1175,Lookups!$D$5:$F$10,3,FALSE),"Unknown")</f>
        <v>CRM</v>
      </c>
      <c r="T1175" t="str">
        <f t="shared" si="198"/>
        <v>SMB</v>
      </c>
      <c r="U1175" t="str">
        <f t="shared" si="199"/>
        <v>Lost</v>
      </c>
      <c r="V1175" s="3">
        <f t="shared" si="200"/>
        <v>0</v>
      </c>
      <c r="W1175" s="3">
        <f t="shared" si="201"/>
        <v>0</v>
      </c>
      <c r="X1175" s="5">
        <f t="shared" si="202"/>
        <v>24</v>
      </c>
      <c r="Y1175" s="5">
        <f>IF(U1175="Open",Lookups!$B$2-B1175,X1175)</f>
        <v>24</v>
      </c>
      <c r="Z1175" t="str">
        <f t="shared" si="203"/>
        <v>OK</v>
      </c>
      <c r="AA1175" t="str">
        <f t="shared" si="204"/>
        <v>2026-07</v>
      </c>
      <c r="AB1175" t="str">
        <f t="shared" si="205"/>
        <v>2026-08</v>
      </c>
      <c r="AC1175" t="str">
        <f t="shared" si="206"/>
        <v>Q3-2026</v>
      </c>
      <c r="AD1175" s="5">
        <f t="shared" si="207"/>
        <v>43</v>
      </c>
      <c r="AE1175" t="str">
        <f t="shared" si="208"/>
        <v>Lost</v>
      </c>
    </row>
    <row r="1176" spans="1:31">
      <c r="A1176" t="s">
        <v>1278</v>
      </c>
      <c r="B1176" s="1">
        <v>45788</v>
      </c>
      <c r="C1176" t="s">
        <v>64</v>
      </c>
      <c r="D1176" t="s">
        <v>57</v>
      </c>
      <c r="E1176" t="s">
        <v>138</v>
      </c>
      <c r="F1176" t="s">
        <v>45</v>
      </c>
      <c r="G1176" t="s">
        <v>76</v>
      </c>
      <c r="H1176" t="s">
        <v>53</v>
      </c>
      <c r="I1176" t="s">
        <v>77</v>
      </c>
      <c r="J1176" s="1">
        <v>45843</v>
      </c>
      <c r="K1176" s="1">
        <v>45843</v>
      </c>
      <c r="L1176" s="3">
        <v>43900</v>
      </c>
      <c r="M1176" s="4">
        <v>0.08</v>
      </c>
      <c r="N1176" s="4">
        <v>1</v>
      </c>
      <c r="P1176">
        <v>6</v>
      </c>
      <c r="Q1176" t="str">
        <f>IFERROR(VLOOKUP(E1176,Lookups!$A$5:$B$24,2,FALSE),"Other")</f>
        <v>Organic Search</v>
      </c>
      <c r="R1176" t="str">
        <f>IFERROR(VLOOKUP(F1176,Lookups!$D$5:$F$10,2,FALSE),"Unknown Product")</f>
        <v>Service Cloud</v>
      </c>
      <c r="S1176" t="str">
        <f>IFERROR(VLOOKUP(F1176,Lookups!$D$5:$F$10,3,FALSE),"Unknown")</f>
        <v>Customer Service</v>
      </c>
      <c r="T1176" t="str">
        <f t="shared" si="198"/>
        <v>Mid-Market</v>
      </c>
      <c r="U1176" t="str">
        <f t="shared" si="199"/>
        <v>Won</v>
      </c>
      <c r="V1176" s="3">
        <f t="shared" si="200"/>
        <v>40388</v>
      </c>
      <c r="W1176" s="3">
        <f t="shared" si="201"/>
        <v>0</v>
      </c>
      <c r="X1176" s="5">
        <f t="shared" si="202"/>
        <v>55</v>
      </c>
      <c r="Y1176" s="5">
        <f>IF(U1176="Open",Lookups!$B$2-B1176,X1176)</f>
        <v>55</v>
      </c>
      <c r="Z1176" t="str">
        <f t="shared" si="203"/>
        <v>OK</v>
      </c>
      <c r="AA1176" t="str">
        <f t="shared" si="204"/>
        <v>2025-05</v>
      </c>
      <c r="AB1176" t="str">
        <f t="shared" si="205"/>
        <v>2025-07</v>
      </c>
      <c r="AC1176" t="str">
        <f t="shared" si="206"/>
        <v>Q2-2025</v>
      </c>
      <c r="AD1176" s="5">
        <f t="shared" si="207"/>
        <v>65</v>
      </c>
      <c r="AE1176" t="str">
        <f t="shared" si="208"/>
        <v>Won</v>
      </c>
    </row>
    <row r="1177" spans="1:31">
      <c r="A1177" t="s">
        <v>1279</v>
      </c>
      <c r="B1177" s="1">
        <v>46169</v>
      </c>
      <c r="C1177" t="s">
        <v>148</v>
      </c>
      <c r="D1177" t="s">
        <v>43</v>
      </c>
      <c r="E1177" t="s">
        <v>127</v>
      </c>
      <c r="F1177" t="s">
        <v>67</v>
      </c>
      <c r="G1177" t="s">
        <v>46</v>
      </c>
      <c r="H1177" t="s">
        <v>47</v>
      </c>
      <c r="I1177" t="s">
        <v>105</v>
      </c>
      <c r="J1177" s="1">
        <v>46234</v>
      </c>
      <c r="K1177" s="1"/>
      <c r="L1177" s="3">
        <v>40500</v>
      </c>
      <c r="M1177" s="4">
        <v>0</v>
      </c>
      <c r="N1177" s="4">
        <v>0.4</v>
      </c>
      <c r="P1177">
        <v>3</v>
      </c>
      <c r="Q1177" t="str">
        <f>IFERROR(VLOOKUP(E1177,Lookups!$A$5:$B$24,2,FALSE),"Other")</f>
        <v>Paid Search</v>
      </c>
      <c r="R1177" t="str">
        <f>IFERROR(VLOOKUP(F1177,Lookups!$D$5:$F$10,2,FALSE),"Unknown Product")</f>
        <v>Revenue Operations Suite</v>
      </c>
      <c r="S1177" t="str">
        <f>IFERROR(VLOOKUP(F1177,Lookups!$D$5:$F$10,3,FALSE),"Unknown")</f>
        <v>Revenue Ops</v>
      </c>
      <c r="T1177" t="str">
        <f t="shared" si="198"/>
        <v>Mid-Market</v>
      </c>
      <c r="U1177" t="str">
        <f t="shared" si="199"/>
        <v>Open</v>
      </c>
      <c r="V1177" s="3">
        <f t="shared" si="200"/>
        <v>0</v>
      </c>
      <c r="W1177" s="3">
        <f t="shared" si="201"/>
        <v>16200</v>
      </c>
      <c r="X1177" s="5" t="str">
        <f t="shared" si="202"/>
        <v/>
      </c>
      <c r="Y1177" s="5">
        <f>IF(U1177="Open",Lookups!$B$2-B1177,X1177)</f>
        <v>97</v>
      </c>
      <c r="Z1177" t="str">
        <f t="shared" si="203"/>
        <v>STALE</v>
      </c>
      <c r="AA1177" t="str">
        <f t="shared" si="204"/>
        <v>2026-05</v>
      </c>
      <c r="AB1177" t="str">
        <f t="shared" si="205"/>
        <v/>
      </c>
      <c r="AC1177" t="str">
        <f t="shared" si="206"/>
        <v>Q2-2026</v>
      </c>
      <c r="AD1177" s="5">
        <f t="shared" si="207"/>
        <v>51</v>
      </c>
      <c r="AE1177" t="str">
        <f t="shared" si="208"/>
        <v>Pipeline</v>
      </c>
    </row>
    <row r="1178" spans="1:31">
      <c r="A1178" t="s">
        <v>1280</v>
      </c>
      <c r="B1178" s="1">
        <v>45890</v>
      </c>
      <c r="C1178" t="s">
        <v>64</v>
      </c>
      <c r="D1178" t="s">
        <v>57</v>
      </c>
      <c r="E1178" t="s">
        <v>70</v>
      </c>
      <c r="F1178" t="s">
        <v>59</v>
      </c>
      <c r="G1178" t="s">
        <v>46</v>
      </c>
      <c r="H1178" t="s">
        <v>47</v>
      </c>
      <c r="I1178" t="s">
        <v>61</v>
      </c>
      <c r="J1178" s="1">
        <v>45919</v>
      </c>
      <c r="K1178" s="1">
        <v>45919</v>
      </c>
      <c r="L1178" s="3">
        <v>11700</v>
      </c>
      <c r="M1178" s="4">
        <v>0</v>
      </c>
      <c r="N1178" s="4">
        <v>0</v>
      </c>
      <c r="O1178" t="s">
        <v>102</v>
      </c>
      <c r="P1178">
        <v>4</v>
      </c>
      <c r="Q1178" t="str">
        <f>IFERROR(VLOOKUP(E1178,Lookups!$A$5:$B$24,2,FALSE),"Other")</f>
        <v>LinkedIn</v>
      </c>
      <c r="R1178" t="str">
        <f>IFERROR(VLOOKUP(F1178,Lookups!$D$5:$F$10,2,FALSE),"Unknown Product")</f>
        <v>NexaCRM Pro</v>
      </c>
      <c r="S1178" t="str">
        <f>IFERROR(VLOOKUP(F1178,Lookups!$D$5:$F$10,3,FALSE),"Unknown")</f>
        <v>CRM</v>
      </c>
      <c r="T1178" t="str">
        <f t="shared" si="198"/>
        <v>SMB</v>
      </c>
      <c r="U1178" t="str">
        <f t="shared" si="199"/>
        <v>Lost</v>
      </c>
      <c r="V1178" s="3">
        <f t="shared" si="200"/>
        <v>0</v>
      </c>
      <c r="W1178" s="3">
        <f t="shared" si="201"/>
        <v>0</v>
      </c>
      <c r="X1178" s="5">
        <f t="shared" si="202"/>
        <v>29</v>
      </c>
      <c r="Y1178" s="5">
        <f>IF(U1178="Open",Lookups!$B$2-B1178,X1178)</f>
        <v>29</v>
      </c>
      <c r="Z1178" t="str">
        <f t="shared" si="203"/>
        <v>OK</v>
      </c>
      <c r="AA1178" t="str">
        <f t="shared" si="204"/>
        <v>2025-08</v>
      </c>
      <c r="AB1178" t="str">
        <f t="shared" si="205"/>
        <v>2025-09</v>
      </c>
      <c r="AC1178" t="str">
        <f t="shared" si="206"/>
        <v>Q3-2025</v>
      </c>
      <c r="AD1178" s="5">
        <f t="shared" si="207"/>
        <v>43</v>
      </c>
      <c r="AE1178" t="str">
        <f t="shared" si="208"/>
        <v>Lost</v>
      </c>
    </row>
    <row r="1179" spans="1:31">
      <c r="A1179" t="s">
        <v>1281</v>
      </c>
      <c r="B1179" s="1">
        <v>45935</v>
      </c>
      <c r="C1179" t="s">
        <v>90</v>
      </c>
      <c r="D1179" t="s">
        <v>57</v>
      </c>
      <c r="E1179" t="s">
        <v>138</v>
      </c>
      <c r="F1179" t="s">
        <v>71</v>
      </c>
      <c r="G1179" t="s">
        <v>72</v>
      </c>
      <c r="H1179" t="s">
        <v>84</v>
      </c>
      <c r="I1179" t="s">
        <v>61</v>
      </c>
      <c r="J1179" s="1">
        <v>45952</v>
      </c>
      <c r="K1179" s="1">
        <v>45952</v>
      </c>
      <c r="L1179" s="3">
        <v>71300</v>
      </c>
      <c r="M1179" s="4">
        <v>0</v>
      </c>
      <c r="N1179" s="4">
        <v>0</v>
      </c>
      <c r="O1179" t="s">
        <v>116</v>
      </c>
      <c r="P1179">
        <v>3</v>
      </c>
      <c r="Q1179" t="str">
        <f>IFERROR(VLOOKUP(E1179,Lookups!$A$5:$B$24,2,FALSE),"Other")</f>
        <v>Organic Search</v>
      </c>
      <c r="R1179" t="str">
        <f>IFERROR(VLOOKUP(F1179,Lookups!$D$5:$F$10,2,FALSE),"Unknown Product")</f>
        <v>Marketing Automation</v>
      </c>
      <c r="S1179" t="str">
        <f>IFERROR(VLOOKUP(F1179,Lookups!$D$5:$F$10,3,FALSE),"Unknown")</f>
        <v>Marketing</v>
      </c>
      <c r="T1179" t="str">
        <f t="shared" si="198"/>
        <v>Enterprise</v>
      </c>
      <c r="U1179" t="str">
        <f t="shared" si="199"/>
        <v>Lost</v>
      </c>
      <c r="V1179" s="3">
        <f t="shared" si="200"/>
        <v>0</v>
      </c>
      <c r="W1179" s="3">
        <f t="shared" si="201"/>
        <v>0</v>
      </c>
      <c r="X1179" s="5">
        <f t="shared" si="202"/>
        <v>17</v>
      </c>
      <c r="Y1179" s="5">
        <f>IF(U1179="Open",Lookups!$B$2-B1179,X1179)</f>
        <v>17</v>
      </c>
      <c r="Z1179" t="str">
        <f t="shared" si="203"/>
        <v>OK</v>
      </c>
      <c r="AA1179" t="str">
        <f t="shared" si="204"/>
        <v>2025-10</v>
      </c>
      <c r="AB1179" t="str">
        <f t="shared" si="205"/>
        <v>2025-10</v>
      </c>
      <c r="AC1179" t="str">
        <f t="shared" si="206"/>
        <v>Q4-2025</v>
      </c>
      <c r="AD1179" s="5">
        <f t="shared" si="207"/>
        <v>80</v>
      </c>
      <c r="AE1179" t="str">
        <f t="shared" si="208"/>
        <v>Lost</v>
      </c>
    </row>
    <row r="1180" spans="1:31">
      <c r="A1180" t="s">
        <v>1282</v>
      </c>
      <c r="B1180" s="1">
        <v>45737</v>
      </c>
      <c r="C1180" t="s">
        <v>90</v>
      </c>
      <c r="D1180" t="s">
        <v>57</v>
      </c>
      <c r="E1180" t="s">
        <v>65</v>
      </c>
      <c r="F1180" t="s">
        <v>59</v>
      </c>
      <c r="G1180" t="s">
        <v>94</v>
      </c>
      <c r="H1180" t="s">
        <v>47</v>
      </c>
      <c r="I1180" t="s">
        <v>61</v>
      </c>
      <c r="J1180" s="1">
        <v>45832</v>
      </c>
      <c r="K1180" s="1">
        <v>45832</v>
      </c>
      <c r="L1180" s="3">
        <v>18900</v>
      </c>
      <c r="M1180" s="4">
        <v>0</v>
      </c>
      <c r="N1180" s="4">
        <v>0</v>
      </c>
      <c r="O1180" t="s">
        <v>102</v>
      </c>
      <c r="P1180">
        <v>3</v>
      </c>
      <c r="Q1180" t="str">
        <f>IFERROR(VLOOKUP(E1180,Lookups!$A$5:$B$24,2,FALSE),"Other")</f>
        <v>Paid Search</v>
      </c>
      <c r="R1180" t="str">
        <f>IFERROR(VLOOKUP(F1180,Lookups!$D$5:$F$10,2,FALSE),"Unknown Product")</f>
        <v>NexaCRM Pro</v>
      </c>
      <c r="S1180" t="str">
        <f>IFERROR(VLOOKUP(F1180,Lookups!$D$5:$F$10,3,FALSE),"Unknown")</f>
        <v>CRM</v>
      </c>
      <c r="T1180" t="str">
        <f t="shared" si="198"/>
        <v>SMB</v>
      </c>
      <c r="U1180" t="str">
        <f t="shared" si="199"/>
        <v>Lost</v>
      </c>
      <c r="V1180" s="3">
        <f t="shared" si="200"/>
        <v>0</v>
      </c>
      <c r="W1180" s="3">
        <f t="shared" si="201"/>
        <v>0</v>
      </c>
      <c r="X1180" s="5">
        <f t="shared" si="202"/>
        <v>95</v>
      </c>
      <c r="Y1180" s="5">
        <f>IF(U1180="Open",Lookups!$B$2-B1180,X1180)</f>
        <v>95</v>
      </c>
      <c r="Z1180" t="str">
        <f t="shared" si="203"/>
        <v>OK</v>
      </c>
      <c r="AA1180" t="str">
        <f t="shared" si="204"/>
        <v>2025-03</v>
      </c>
      <c r="AB1180" t="str">
        <f t="shared" si="205"/>
        <v>2025-06</v>
      </c>
      <c r="AC1180" t="str">
        <f t="shared" si="206"/>
        <v>Q1-2025</v>
      </c>
      <c r="AD1180" s="5">
        <f t="shared" si="207"/>
        <v>43</v>
      </c>
      <c r="AE1180" t="str">
        <f t="shared" si="208"/>
        <v>Lost</v>
      </c>
    </row>
    <row r="1181" spans="1:31">
      <c r="A1181" t="s">
        <v>1283</v>
      </c>
      <c r="B1181" s="1">
        <v>45849</v>
      </c>
      <c r="C1181" t="s">
        <v>148</v>
      </c>
      <c r="D1181" t="s">
        <v>43</v>
      </c>
      <c r="E1181" t="s">
        <v>83</v>
      </c>
      <c r="F1181" t="s">
        <v>71</v>
      </c>
      <c r="G1181" t="s">
        <v>94</v>
      </c>
      <c r="H1181" t="s">
        <v>47</v>
      </c>
      <c r="I1181" t="s">
        <v>77</v>
      </c>
      <c r="J1181" s="1">
        <v>45912</v>
      </c>
      <c r="K1181" s="1">
        <v>45912</v>
      </c>
      <c r="L1181" s="3">
        <v>13400</v>
      </c>
      <c r="M1181" s="4">
        <v>0</v>
      </c>
      <c r="N1181" s="4">
        <v>1</v>
      </c>
      <c r="P1181">
        <v>6</v>
      </c>
      <c r="Q1181" t="str">
        <f>IFERROR(VLOOKUP(E1181,Lookups!$A$5:$B$24,2,FALSE),"Other")</f>
        <v>Organic Search</v>
      </c>
      <c r="R1181" t="str">
        <f>IFERROR(VLOOKUP(F1181,Lookups!$D$5:$F$10,2,FALSE),"Unknown Product")</f>
        <v>Marketing Automation</v>
      </c>
      <c r="S1181" t="str">
        <f>IFERROR(VLOOKUP(F1181,Lookups!$D$5:$F$10,3,FALSE),"Unknown")</f>
        <v>Marketing</v>
      </c>
      <c r="T1181" t="str">
        <f t="shared" si="198"/>
        <v>SMB</v>
      </c>
      <c r="U1181" t="str">
        <f t="shared" si="199"/>
        <v>Won</v>
      </c>
      <c r="V1181" s="3">
        <f t="shared" si="200"/>
        <v>13400</v>
      </c>
      <c r="W1181" s="3">
        <f t="shared" si="201"/>
        <v>0</v>
      </c>
      <c r="X1181" s="5">
        <f t="shared" si="202"/>
        <v>63</v>
      </c>
      <c r="Y1181" s="5">
        <f>IF(U1181="Open",Lookups!$B$2-B1181,X1181)</f>
        <v>63</v>
      </c>
      <c r="Z1181" t="str">
        <f t="shared" si="203"/>
        <v>OK</v>
      </c>
      <c r="AA1181" t="str">
        <f t="shared" si="204"/>
        <v>2025-07</v>
      </c>
      <c r="AB1181" t="str">
        <f t="shared" si="205"/>
        <v>2025-09</v>
      </c>
      <c r="AC1181" t="str">
        <f t="shared" si="206"/>
        <v>Q3-2025</v>
      </c>
      <c r="AD1181" s="5">
        <f t="shared" si="207"/>
        <v>49</v>
      </c>
      <c r="AE1181" t="str">
        <f t="shared" si="208"/>
        <v>Won</v>
      </c>
    </row>
    <row r="1182" spans="1:31">
      <c r="A1182" t="s">
        <v>1284</v>
      </c>
      <c r="B1182" s="1">
        <v>45961</v>
      </c>
      <c r="C1182" t="s">
        <v>148</v>
      </c>
      <c r="D1182" t="s">
        <v>43</v>
      </c>
      <c r="E1182" t="s">
        <v>109</v>
      </c>
      <c r="F1182" t="s">
        <v>59</v>
      </c>
      <c r="G1182" t="s">
        <v>60</v>
      </c>
      <c r="H1182" t="s">
        <v>53</v>
      </c>
      <c r="I1182" t="s">
        <v>77</v>
      </c>
      <c r="J1182" s="1">
        <v>45980</v>
      </c>
      <c r="K1182" s="1">
        <v>45980</v>
      </c>
      <c r="L1182" s="3">
        <v>34700</v>
      </c>
      <c r="M1182" s="4">
        <v>0.1</v>
      </c>
      <c r="N1182" s="4">
        <v>1</v>
      </c>
      <c r="P1182">
        <v>6</v>
      </c>
      <c r="Q1182" t="str">
        <f>IFERROR(VLOOKUP(E1182,Lookups!$A$5:$B$24,2,FALSE),"Other")</f>
        <v>Outbound</v>
      </c>
      <c r="R1182" t="str">
        <f>IFERROR(VLOOKUP(F1182,Lookups!$D$5:$F$10,2,FALSE),"Unknown Product")</f>
        <v>NexaCRM Pro</v>
      </c>
      <c r="S1182" t="str">
        <f>IFERROR(VLOOKUP(F1182,Lookups!$D$5:$F$10,3,FALSE),"Unknown")</f>
        <v>CRM</v>
      </c>
      <c r="T1182" t="str">
        <f t="shared" si="198"/>
        <v>Mid-Market</v>
      </c>
      <c r="U1182" t="str">
        <f t="shared" si="199"/>
        <v>Won</v>
      </c>
      <c r="V1182" s="3">
        <f t="shared" si="200"/>
        <v>31230</v>
      </c>
      <c r="W1182" s="3">
        <f t="shared" si="201"/>
        <v>0</v>
      </c>
      <c r="X1182" s="5">
        <f t="shared" si="202"/>
        <v>19</v>
      </c>
      <c r="Y1182" s="5">
        <f>IF(U1182="Open",Lookups!$B$2-B1182,X1182)</f>
        <v>19</v>
      </c>
      <c r="Z1182" t="str">
        <f t="shared" si="203"/>
        <v>OK</v>
      </c>
      <c r="AA1182" t="str">
        <f t="shared" si="204"/>
        <v>2025-10</v>
      </c>
      <c r="AB1182" t="str">
        <f t="shared" si="205"/>
        <v>2025-11</v>
      </c>
      <c r="AC1182" t="str">
        <f t="shared" si="206"/>
        <v>Q4-2025</v>
      </c>
      <c r="AD1182" s="5">
        <f t="shared" si="207"/>
        <v>59</v>
      </c>
      <c r="AE1182" t="str">
        <f t="shared" si="208"/>
        <v>Won</v>
      </c>
    </row>
    <row r="1183" spans="1:31">
      <c r="A1183" t="s">
        <v>1285</v>
      </c>
      <c r="B1183" s="1">
        <v>46153</v>
      </c>
      <c r="C1183" t="s">
        <v>90</v>
      </c>
      <c r="D1183" t="s">
        <v>57</v>
      </c>
      <c r="E1183" t="s">
        <v>146</v>
      </c>
      <c r="F1183" t="s">
        <v>59</v>
      </c>
      <c r="G1183" t="s">
        <v>46</v>
      </c>
      <c r="H1183" t="s">
        <v>47</v>
      </c>
      <c r="I1183" t="s">
        <v>105</v>
      </c>
      <c r="J1183" s="1">
        <v>46210</v>
      </c>
      <c r="K1183" s="1"/>
      <c r="L1183" s="3">
        <v>19700</v>
      </c>
      <c r="M1183" s="4">
        <v>0.03</v>
      </c>
      <c r="N1183" s="4">
        <v>0.4</v>
      </c>
      <c r="P1183">
        <v>3</v>
      </c>
      <c r="Q1183" t="str">
        <f>IFERROR(VLOOKUP(E1183,Lookups!$A$5:$B$24,2,FALSE),"Other")</f>
        <v>LinkedIn</v>
      </c>
      <c r="R1183" t="str">
        <f>IFERROR(VLOOKUP(F1183,Lookups!$D$5:$F$10,2,FALSE),"Unknown Product")</f>
        <v>NexaCRM Pro</v>
      </c>
      <c r="S1183" t="str">
        <f>IFERROR(VLOOKUP(F1183,Lookups!$D$5:$F$10,3,FALSE),"Unknown")</f>
        <v>CRM</v>
      </c>
      <c r="T1183" t="str">
        <f t="shared" si="198"/>
        <v>SMB</v>
      </c>
      <c r="U1183" t="str">
        <f t="shared" si="199"/>
        <v>Open</v>
      </c>
      <c r="V1183" s="3">
        <f t="shared" si="200"/>
        <v>0</v>
      </c>
      <c r="W1183" s="3">
        <f t="shared" si="201"/>
        <v>7880</v>
      </c>
      <c r="X1183" s="5" t="str">
        <f t="shared" si="202"/>
        <v/>
      </c>
      <c r="Y1183" s="5">
        <f>IF(U1183="Open",Lookups!$B$2-B1183,X1183)</f>
        <v>113</v>
      </c>
      <c r="Z1183" t="str">
        <f t="shared" si="203"/>
        <v>STALE</v>
      </c>
      <c r="AA1183" t="str">
        <f t="shared" si="204"/>
        <v>2026-05</v>
      </c>
      <c r="AB1183" t="str">
        <f t="shared" si="205"/>
        <v/>
      </c>
      <c r="AC1183" t="str">
        <f t="shared" si="206"/>
        <v>Q2-2026</v>
      </c>
      <c r="AD1183" s="5">
        <f t="shared" si="207"/>
        <v>43</v>
      </c>
      <c r="AE1183" t="str">
        <f t="shared" si="208"/>
        <v>Pipeline</v>
      </c>
    </row>
    <row r="1184" spans="1:31">
      <c r="A1184" t="s">
        <v>1286</v>
      </c>
      <c r="B1184" s="1">
        <v>46012</v>
      </c>
      <c r="C1184" t="s">
        <v>42</v>
      </c>
      <c r="D1184" t="s">
        <v>43</v>
      </c>
      <c r="E1184" t="s">
        <v>51</v>
      </c>
      <c r="F1184" t="s">
        <v>52</v>
      </c>
      <c r="G1184" t="s">
        <v>76</v>
      </c>
      <c r="H1184" t="s">
        <v>53</v>
      </c>
      <c r="I1184" t="s">
        <v>61</v>
      </c>
      <c r="J1184" s="1">
        <v>46072</v>
      </c>
      <c r="K1184" s="1">
        <v>46072</v>
      </c>
      <c r="L1184" s="3">
        <v>8000</v>
      </c>
      <c r="M1184" s="4">
        <v>0</v>
      </c>
      <c r="N1184" s="4">
        <v>0</v>
      </c>
      <c r="O1184" t="s">
        <v>81</v>
      </c>
      <c r="P1184">
        <v>4</v>
      </c>
      <c r="Q1184" t="str">
        <f>IFERROR(VLOOKUP(E1184,Lookups!$A$5:$B$24,2,FALSE),"Other")</f>
        <v>Paid Search</v>
      </c>
      <c r="R1184" t="str">
        <f>IFERROR(VLOOKUP(F1184,Lookups!$D$5:$F$10,2,FALSE),"Unknown Product")</f>
        <v>NexaCRM Core</v>
      </c>
      <c r="S1184" t="str">
        <f>IFERROR(VLOOKUP(F1184,Lookups!$D$5:$F$10,3,FALSE),"Unknown")</f>
        <v>CRM</v>
      </c>
      <c r="T1184" t="str">
        <f t="shared" si="198"/>
        <v>SMB</v>
      </c>
      <c r="U1184" t="str">
        <f t="shared" si="199"/>
        <v>Lost</v>
      </c>
      <c r="V1184" s="3">
        <f t="shared" si="200"/>
        <v>0</v>
      </c>
      <c r="W1184" s="3">
        <f t="shared" si="201"/>
        <v>0</v>
      </c>
      <c r="X1184" s="5">
        <f t="shared" si="202"/>
        <v>60</v>
      </c>
      <c r="Y1184" s="5">
        <f>IF(U1184="Open",Lookups!$B$2-B1184,X1184)</f>
        <v>60</v>
      </c>
      <c r="Z1184" t="str">
        <f t="shared" si="203"/>
        <v>OK</v>
      </c>
      <c r="AA1184" t="str">
        <f t="shared" si="204"/>
        <v>2025-12</v>
      </c>
      <c r="AB1184" t="str">
        <f t="shared" si="205"/>
        <v>2026-02</v>
      </c>
      <c r="AC1184" t="str">
        <f t="shared" si="206"/>
        <v>Q4-2025</v>
      </c>
      <c r="AD1184" s="5">
        <f t="shared" si="207"/>
        <v>51</v>
      </c>
      <c r="AE1184" t="str">
        <f t="shared" si="208"/>
        <v>Lost</v>
      </c>
    </row>
    <row r="1185" spans="1:31">
      <c r="A1185" t="s">
        <v>1287</v>
      </c>
      <c r="B1185" s="1">
        <v>45798</v>
      </c>
      <c r="C1185" t="s">
        <v>86</v>
      </c>
      <c r="D1185" t="s">
        <v>87</v>
      </c>
      <c r="E1185" t="s">
        <v>119</v>
      </c>
      <c r="F1185" t="s">
        <v>71</v>
      </c>
      <c r="G1185" t="s">
        <v>99</v>
      </c>
      <c r="H1185" t="s">
        <v>53</v>
      </c>
      <c r="I1185" t="s">
        <v>61</v>
      </c>
      <c r="J1185" s="1">
        <v>45851</v>
      </c>
      <c r="K1185" s="1">
        <v>45851</v>
      </c>
      <c r="L1185" s="3">
        <v>37100</v>
      </c>
      <c r="M1185" s="4">
        <v>0</v>
      </c>
      <c r="N1185" s="4">
        <v>0</v>
      </c>
      <c r="O1185" t="s">
        <v>102</v>
      </c>
      <c r="P1185">
        <v>5</v>
      </c>
      <c r="Q1185" t="str">
        <f>IFERROR(VLOOKUP(E1185,Lookups!$A$5:$B$24,2,FALSE),"Other")</f>
        <v>Referral</v>
      </c>
      <c r="R1185" t="str">
        <f>IFERROR(VLOOKUP(F1185,Lookups!$D$5:$F$10,2,FALSE),"Unknown Product")</f>
        <v>Marketing Automation</v>
      </c>
      <c r="S1185" t="str">
        <f>IFERROR(VLOOKUP(F1185,Lookups!$D$5:$F$10,3,FALSE),"Unknown")</f>
        <v>Marketing</v>
      </c>
      <c r="T1185" t="str">
        <f t="shared" si="198"/>
        <v>Mid-Market</v>
      </c>
      <c r="U1185" t="str">
        <f t="shared" si="199"/>
        <v>Lost</v>
      </c>
      <c r="V1185" s="3">
        <f t="shared" si="200"/>
        <v>0</v>
      </c>
      <c r="W1185" s="3">
        <f t="shared" si="201"/>
        <v>0</v>
      </c>
      <c r="X1185" s="5">
        <f t="shared" si="202"/>
        <v>53</v>
      </c>
      <c r="Y1185" s="5">
        <f>IF(U1185="Open",Lookups!$B$2-B1185,X1185)</f>
        <v>53</v>
      </c>
      <c r="Z1185" t="str">
        <f t="shared" si="203"/>
        <v>OK</v>
      </c>
      <c r="AA1185" t="str">
        <f t="shared" si="204"/>
        <v>2025-05</v>
      </c>
      <c r="AB1185" t="str">
        <f t="shared" si="205"/>
        <v>2025-07</v>
      </c>
      <c r="AC1185" t="str">
        <f t="shared" si="206"/>
        <v>Q2-2025</v>
      </c>
      <c r="AD1185" s="5">
        <f t="shared" si="207"/>
        <v>70</v>
      </c>
      <c r="AE1185" t="str">
        <f t="shared" si="208"/>
        <v>Lost</v>
      </c>
    </row>
    <row r="1186" spans="1:31">
      <c r="A1186" t="s">
        <v>1288</v>
      </c>
      <c r="B1186" s="1">
        <v>45669</v>
      </c>
      <c r="C1186" t="s">
        <v>42</v>
      </c>
      <c r="D1186" t="s">
        <v>43</v>
      </c>
      <c r="E1186" t="s">
        <v>92</v>
      </c>
      <c r="F1186" t="s">
        <v>71</v>
      </c>
      <c r="G1186" t="s">
        <v>60</v>
      </c>
      <c r="H1186" t="s">
        <v>53</v>
      </c>
      <c r="I1186" t="s">
        <v>61</v>
      </c>
      <c r="J1186" s="1">
        <v>45743</v>
      </c>
      <c r="K1186" s="1">
        <v>45743</v>
      </c>
      <c r="L1186" s="3">
        <v>17200</v>
      </c>
      <c r="M1186" s="4">
        <v>0</v>
      </c>
      <c r="N1186" s="4">
        <v>0</v>
      </c>
      <c r="O1186" t="s">
        <v>102</v>
      </c>
      <c r="P1186">
        <v>5</v>
      </c>
      <c r="Q1186" t="str">
        <f>IFERROR(VLOOKUP(E1186,Lookups!$A$5:$B$24,2,FALSE),"Other")</f>
        <v>Webinar</v>
      </c>
      <c r="R1186" t="str">
        <f>IFERROR(VLOOKUP(F1186,Lookups!$D$5:$F$10,2,FALSE),"Unknown Product")</f>
        <v>Marketing Automation</v>
      </c>
      <c r="S1186" t="str">
        <f>IFERROR(VLOOKUP(F1186,Lookups!$D$5:$F$10,3,FALSE),"Unknown")</f>
        <v>Marketing</v>
      </c>
      <c r="T1186" t="str">
        <f t="shared" si="198"/>
        <v>SMB</v>
      </c>
      <c r="U1186" t="str">
        <f t="shared" si="199"/>
        <v>Lost</v>
      </c>
      <c r="V1186" s="3">
        <f t="shared" si="200"/>
        <v>0</v>
      </c>
      <c r="W1186" s="3">
        <f t="shared" si="201"/>
        <v>0</v>
      </c>
      <c r="X1186" s="5">
        <f t="shared" si="202"/>
        <v>74</v>
      </c>
      <c r="Y1186" s="5">
        <f>IF(U1186="Open",Lookups!$B$2-B1186,X1186)</f>
        <v>74</v>
      </c>
      <c r="Z1186" t="str">
        <f t="shared" si="203"/>
        <v>OK</v>
      </c>
      <c r="AA1186" t="str">
        <f t="shared" si="204"/>
        <v>2025-01</v>
      </c>
      <c r="AB1186" t="str">
        <f t="shared" si="205"/>
        <v>2025-03</v>
      </c>
      <c r="AC1186" t="str">
        <f t="shared" si="206"/>
        <v>Q1-2025</v>
      </c>
      <c r="AD1186" s="5">
        <f t="shared" si="207"/>
        <v>51</v>
      </c>
      <c r="AE1186" t="str">
        <f t="shared" si="208"/>
        <v>Lost</v>
      </c>
    </row>
    <row r="1187" spans="1:31">
      <c r="A1187" t="s">
        <v>1289</v>
      </c>
      <c r="B1187" s="1">
        <v>45961</v>
      </c>
      <c r="C1187" t="s">
        <v>148</v>
      </c>
      <c r="D1187" t="s">
        <v>43</v>
      </c>
      <c r="E1187" t="s">
        <v>96</v>
      </c>
      <c r="F1187" t="s">
        <v>52</v>
      </c>
      <c r="G1187" t="s">
        <v>72</v>
      </c>
      <c r="H1187" t="s">
        <v>47</v>
      </c>
      <c r="I1187" t="s">
        <v>61</v>
      </c>
      <c r="J1187" s="1">
        <v>45969</v>
      </c>
      <c r="K1187" s="1">
        <v>45969</v>
      </c>
      <c r="L1187" s="3">
        <v>6100</v>
      </c>
      <c r="M1187" s="4">
        <v>0</v>
      </c>
      <c r="N1187" s="4">
        <v>0</v>
      </c>
      <c r="O1187" t="s">
        <v>79</v>
      </c>
      <c r="P1187">
        <v>2</v>
      </c>
      <c r="Q1187" t="str">
        <f>IFERROR(VLOOKUP(E1187,Lookups!$A$5:$B$24,2,FALSE),"Other")</f>
        <v>LinkedIn</v>
      </c>
      <c r="R1187" t="str">
        <f>IFERROR(VLOOKUP(F1187,Lookups!$D$5:$F$10,2,FALSE),"Unknown Product")</f>
        <v>NexaCRM Core</v>
      </c>
      <c r="S1187" t="str">
        <f>IFERROR(VLOOKUP(F1187,Lookups!$D$5:$F$10,3,FALSE),"Unknown")</f>
        <v>CRM</v>
      </c>
      <c r="T1187" t="str">
        <f t="shared" si="198"/>
        <v>SMB</v>
      </c>
      <c r="U1187" t="str">
        <f t="shared" si="199"/>
        <v>Lost</v>
      </c>
      <c r="V1187" s="3">
        <f t="shared" si="200"/>
        <v>0</v>
      </c>
      <c r="W1187" s="3">
        <f t="shared" si="201"/>
        <v>0</v>
      </c>
      <c r="X1187" s="5">
        <f t="shared" si="202"/>
        <v>8</v>
      </c>
      <c r="Y1187" s="5">
        <f>IF(U1187="Open",Lookups!$B$2-B1187,X1187)</f>
        <v>8</v>
      </c>
      <c r="Z1187" t="str">
        <f t="shared" si="203"/>
        <v>OK</v>
      </c>
      <c r="AA1187" t="str">
        <f t="shared" si="204"/>
        <v>2025-10</v>
      </c>
      <c r="AB1187" t="str">
        <f t="shared" si="205"/>
        <v>2025-11</v>
      </c>
      <c r="AC1187" t="str">
        <f t="shared" si="206"/>
        <v>Q4-2025</v>
      </c>
      <c r="AD1187" s="5">
        <f t="shared" si="207"/>
        <v>43</v>
      </c>
      <c r="AE1187" t="str">
        <f t="shared" si="208"/>
        <v>Lost</v>
      </c>
    </row>
    <row r="1188" spans="1:31">
      <c r="A1188" t="s">
        <v>1290</v>
      </c>
      <c r="B1188" s="1">
        <v>46119</v>
      </c>
      <c r="C1188" t="s">
        <v>86</v>
      </c>
      <c r="D1188" t="s">
        <v>87</v>
      </c>
      <c r="E1188" t="s">
        <v>70</v>
      </c>
      <c r="F1188" t="s">
        <v>67</v>
      </c>
      <c r="G1188" t="s">
        <v>99</v>
      </c>
      <c r="H1188" t="s">
        <v>47</v>
      </c>
      <c r="I1188" t="s">
        <v>61</v>
      </c>
      <c r="J1188" s="1">
        <v>46177</v>
      </c>
      <c r="K1188" s="1">
        <v>46177</v>
      </c>
      <c r="L1188" s="3">
        <v>44600</v>
      </c>
      <c r="M1188" s="4">
        <v>0</v>
      </c>
      <c r="N1188" s="4">
        <v>0</v>
      </c>
      <c r="O1188" t="s">
        <v>79</v>
      </c>
      <c r="P1188">
        <v>5</v>
      </c>
      <c r="Q1188" t="str">
        <f>IFERROR(VLOOKUP(E1188,Lookups!$A$5:$B$24,2,FALSE),"Other")</f>
        <v>LinkedIn</v>
      </c>
      <c r="R1188" t="str">
        <f>IFERROR(VLOOKUP(F1188,Lookups!$D$5:$F$10,2,FALSE),"Unknown Product")</f>
        <v>Revenue Operations Suite</v>
      </c>
      <c r="S1188" t="str">
        <f>IFERROR(VLOOKUP(F1188,Lookups!$D$5:$F$10,3,FALSE),"Unknown")</f>
        <v>Revenue Ops</v>
      </c>
      <c r="T1188" t="str">
        <f t="shared" si="198"/>
        <v>Mid-Market</v>
      </c>
      <c r="U1188" t="str">
        <f t="shared" si="199"/>
        <v>Lost</v>
      </c>
      <c r="V1188" s="3">
        <f t="shared" si="200"/>
        <v>0</v>
      </c>
      <c r="W1188" s="3">
        <f t="shared" si="201"/>
        <v>0</v>
      </c>
      <c r="X1188" s="5">
        <f t="shared" si="202"/>
        <v>58</v>
      </c>
      <c r="Y1188" s="5">
        <f>IF(U1188="Open",Lookups!$B$2-B1188,X1188)</f>
        <v>58</v>
      </c>
      <c r="Z1188" t="str">
        <f t="shared" si="203"/>
        <v>OK</v>
      </c>
      <c r="AA1188" t="str">
        <f t="shared" si="204"/>
        <v>2026-04</v>
      </c>
      <c r="AB1188" t="str">
        <f t="shared" si="205"/>
        <v>2026-06</v>
      </c>
      <c r="AC1188" t="str">
        <f t="shared" si="206"/>
        <v>Q2-2026</v>
      </c>
      <c r="AD1188" s="5">
        <f t="shared" si="207"/>
        <v>51</v>
      </c>
      <c r="AE1188" t="str">
        <f t="shared" si="208"/>
        <v>Lost</v>
      </c>
    </row>
    <row r="1189" spans="1:31">
      <c r="A1189" t="s">
        <v>1291</v>
      </c>
      <c r="B1189" s="1">
        <v>46133</v>
      </c>
      <c r="C1189" t="s">
        <v>64</v>
      </c>
      <c r="D1189" t="s">
        <v>57</v>
      </c>
      <c r="E1189" t="s">
        <v>127</v>
      </c>
      <c r="F1189" t="s">
        <v>52</v>
      </c>
      <c r="G1189" t="s">
        <v>112</v>
      </c>
      <c r="H1189" t="s">
        <v>53</v>
      </c>
      <c r="I1189" t="s">
        <v>77</v>
      </c>
      <c r="J1189" s="1">
        <v>46151</v>
      </c>
      <c r="K1189" s="1">
        <v>46151</v>
      </c>
      <c r="L1189" s="3">
        <v>15200</v>
      </c>
      <c r="M1189" s="4">
        <v>0.03</v>
      </c>
      <c r="N1189" s="4">
        <v>1</v>
      </c>
      <c r="P1189">
        <v>6</v>
      </c>
      <c r="Q1189" t="str">
        <f>IFERROR(VLOOKUP(E1189,Lookups!$A$5:$B$24,2,FALSE),"Other")</f>
        <v>Paid Search</v>
      </c>
      <c r="R1189" t="str">
        <f>IFERROR(VLOOKUP(F1189,Lookups!$D$5:$F$10,2,FALSE),"Unknown Product")</f>
        <v>NexaCRM Core</v>
      </c>
      <c r="S1189" t="str">
        <f>IFERROR(VLOOKUP(F1189,Lookups!$D$5:$F$10,3,FALSE),"Unknown")</f>
        <v>CRM</v>
      </c>
      <c r="T1189" t="str">
        <f t="shared" si="198"/>
        <v>SMB</v>
      </c>
      <c r="U1189" t="str">
        <f t="shared" si="199"/>
        <v>Won</v>
      </c>
      <c r="V1189" s="3">
        <f t="shared" si="200"/>
        <v>14744</v>
      </c>
      <c r="W1189" s="3">
        <f t="shared" si="201"/>
        <v>0</v>
      </c>
      <c r="X1189" s="5">
        <f t="shared" si="202"/>
        <v>18</v>
      </c>
      <c r="Y1189" s="5">
        <f>IF(U1189="Open",Lookups!$B$2-B1189,X1189)</f>
        <v>18</v>
      </c>
      <c r="Z1189" t="str">
        <f t="shared" si="203"/>
        <v>OK</v>
      </c>
      <c r="AA1189" t="str">
        <f t="shared" si="204"/>
        <v>2026-04</v>
      </c>
      <c r="AB1189" t="str">
        <f t="shared" si="205"/>
        <v>2026-05</v>
      </c>
      <c r="AC1189" t="str">
        <f t="shared" si="206"/>
        <v>Q2-2026</v>
      </c>
      <c r="AD1189" s="5">
        <f t="shared" si="207"/>
        <v>56</v>
      </c>
      <c r="AE1189" t="str">
        <f t="shared" si="208"/>
        <v>Won</v>
      </c>
    </row>
    <row r="1190" spans="1:31">
      <c r="A1190" t="s">
        <v>1292</v>
      </c>
      <c r="B1190" s="1">
        <v>45927</v>
      </c>
      <c r="C1190" t="s">
        <v>64</v>
      </c>
      <c r="D1190" t="s">
        <v>57</v>
      </c>
      <c r="E1190" t="s">
        <v>146</v>
      </c>
      <c r="F1190" t="s">
        <v>133</v>
      </c>
      <c r="G1190" t="s">
        <v>94</v>
      </c>
      <c r="H1190" t="s">
        <v>53</v>
      </c>
      <c r="I1190" t="s">
        <v>61</v>
      </c>
      <c r="J1190" s="1">
        <v>45993</v>
      </c>
      <c r="K1190" s="1">
        <v>45993</v>
      </c>
      <c r="L1190" s="3">
        <v>26100</v>
      </c>
      <c r="M1190" s="4">
        <v>0</v>
      </c>
      <c r="N1190" s="4">
        <v>0</v>
      </c>
      <c r="O1190" t="s">
        <v>79</v>
      </c>
      <c r="P1190">
        <v>3</v>
      </c>
      <c r="Q1190" t="str">
        <f>IFERROR(VLOOKUP(E1190,Lookups!$A$5:$B$24,2,FALSE),"Other")</f>
        <v>LinkedIn</v>
      </c>
      <c r="R1190" t="str">
        <f>IFERROR(VLOOKUP(F1190,Lookups!$D$5:$F$10,2,FALSE),"Unknown Product")</f>
        <v>Analytics Plus</v>
      </c>
      <c r="S1190" t="str">
        <f>IFERROR(VLOOKUP(F1190,Lookups!$D$5:$F$10,3,FALSE),"Unknown")</f>
        <v>Analytics</v>
      </c>
      <c r="T1190" t="str">
        <f t="shared" si="198"/>
        <v>Mid-Market</v>
      </c>
      <c r="U1190" t="str">
        <f t="shared" si="199"/>
        <v>Lost</v>
      </c>
      <c r="V1190" s="3">
        <f t="shared" si="200"/>
        <v>0</v>
      </c>
      <c r="W1190" s="3">
        <f t="shared" si="201"/>
        <v>0</v>
      </c>
      <c r="X1190" s="5">
        <f t="shared" si="202"/>
        <v>66</v>
      </c>
      <c r="Y1190" s="5">
        <f>IF(U1190="Open",Lookups!$B$2-B1190,X1190)</f>
        <v>66</v>
      </c>
      <c r="Z1190" t="str">
        <f t="shared" si="203"/>
        <v>OK</v>
      </c>
      <c r="AA1190" t="str">
        <f t="shared" si="204"/>
        <v>2025-09</v>
      </c>
      <c r="AB1190" t="str">
        <f t="shared" si="205"/>
        <v>2025-12</v>
      </c>
      <c r="AC1190" t="str">
        <f t="shared" si="206"/>
        <v>Q3-2025</v>
      </c>
      <c r="AD1190" s="5">
        <f t="shared" si="207"/>
        <v>59</v>
      </c>
      <c r="AE1190" t="str">
        <f t="shared" si="208"/>
        <v>Lost</v>
      </c>
    </row>
    <row r="1191" spans="1:31">
      <c r="A1191" t="s">
        <v>1293</v>
      </c>
      <c r="B1191" s="1">
        <v>45726</v>
      </c>
      <c r="C1191" t="s">
        <v>56</v>
      </c>
      <c r="D1191" t="s">
        <v>57</v>
      </c>
      <c r="E1191" t="s">
        <v>109</v>
      </c>
      <c r="F1191" t="s">
        <v>59</v>
      </c>
      <c r="G1191" t="s">
        <v>76</v>
      </c>
      <c r="H1191" t="s">
        <v>47</v>
      </c>
      <c r="I1191" t="s">
        <v>61</v>
      </c>
      <c r="J1191" s="1">
        <v>45805</v>
      </c>
      <c r="K1191" s="1">
        <v>45805</v>
      </c>
      <c r="L1191" s="3">
        <v>11900</v>
      </c>
      <c r="M1191" s="4">
        <v>0</v>
      </c>
      <c r="N1191" s="4">
        <v>0</v>
      </c>
      <c r="O1191" t="s">
        <v>116</v>
      </c>
      <c r="P1191">
        <v>4</v>
      </c>
      <c r="Q1191" t="str">
        <f>IFERROR(VLOOKUP(E1191,Lookups!$A$5:$B$24,2,FALSE),"Other")</f>
        <v>Outbound</v>
      </c>
      <c r="R1191" t="str">
        <f>IFERROR(VLOOKUP(F1191,Lookups!$D$5:$F$10,2,FALSE),"Unknown Product")</f>
        <v>NexaCRM Pro</v>
      </c>
      <c r="S1191" t="str">
        <f>IFERROR(VLOOKUP(F1191,Lookups!$D$5:$F$10,3,FALSE),"Unknown")</f>
        <v>CRM</v>
      </c>
      <c r="T1191" t="str">
        <f t="shared" si="198"/>
        <v>SMB</v>
      </c>
      <c r="U1191" t="str">
        <f t="shared" si="199"/>
        <v>Lost</v>
      </c>
      <c r="V1191" s="3">
        <f t="shared" si="200"/>
        <v>0</v>
      </c>
      <c r="W1191" s="3">
        <f t="shared" si="201"/>
        <v>0</v>
      </c>
      <c r="X1191" s="5">
        <f t="shared" si="202"/>
        <v>79</v>
      </c>
      <c r="Y1191" s="5">
        <f>IF(U1191="Open",Lookups!$B$2-B1191,X1191)</f>
        <v>79</v>
      </c>
      <c r="Z1191" t="str">
        <f t="shared" si="203"/>
        <v>OK</v>
      </c>
      <c r="AA1191" t="str">
        <f t="shared" si="204"/>
        <v>2025-03</v>
      </c>
      <c r="AB1191" t="str">
        <f t="shared" si="205"/>
        <v>2025-05</v>
      </c>
      <c r="AC1191" t="str">
        <f t="shared" si="206"/>
        <v>Q1-2025</v>
      </c>
      <c r="AD1191" s="5">
        <f t="shared" si="207"/>
        <v>43</v>
      </c>
      <c r="AE1191" t="str">
        <f t="shared" si="208"/>
        <v>Lost</v>
      </c>
    </row>
    <row r="1192" spans="1:31">
      <c r="A1192" t="s">
        <v>1294</v>
      </c>
      <c r="B1192" s="1">
        <v>45951</v>
      </c>
      <c r="C1192" t="s">
        <v>86</v>
      </c>
      <c r="D1192" t="s">
        <v>87</v>
      </c>
      <c r="E1192" t="s">
        <v>51</v>
      </c>
      <c r="F1192" t="s">
        <v>45</v>
      </c>
      <c r="G1192" t="s">
        <v>60</v>
      </c>
      <c r="H1192" t="s">
        <v>47</v>
      </c>
      <c r="I1192" t="s">
        <v>61</v>
      </c>
      <c r="J1192" s="1">
        <v>45970</v>
      </c>
      <c r="K1192" s="1">
        <v>45970</v>
      </c>
      <c r="L1192" s="3">
        <v>27700</v>
      </c>
      <c r="M1192" s="4">
        <v>0</v>
      </c>
      <c r="N1192" s="4">
        <v>0</v>
      </c>
      <c r="O1192" t="s">
        <v>116</v>
      </c>
      <c r="P1192">
        <v>4</v>
      </c>
      <c r="Q1192" t="str">
        <f>IFERROR(VLOOKUP(E1192,Lookups!$A$5:$B$24,2,FALSE),"Other")</f>
        <v>Paid Search</v>
      </c>
      <c r="R1192" t="str">
        <f>IFERROR(VLOOKUP(F1192,Lookups!$D$5:$F$10,2,FALSE),"Unknown Product")</f>
        <v>Service Cloud</v>
      </c>
      <c r="S1192" t="str">
        <f>IFERROR(VLOOKUP(F1192,Lookups!$D$5:$F$10,3,FALSE),"Unknown")</f>
        <v>Customer Service</v>
      </c>
      <c r="T1192" t="str">
        <f t="shared" si="198"/>
        <v>Mid-Market</v>
      </c>
      <c r="U1192" t="str">
        <f t="shared" si="199"/>
        <v>Lost</v>
      </c>
      <c r="V1192" s="3">
        <f t="shared" si="200"/>
        <v>0</v>
      </c>
      <c r="W1192" s="3">
        <f t="shared" si="201"/>
        <v>0</v>
      </c>
      <c r="X1192" s="5">
        <f t="shared" si="202"/>
        <v>19</v>
      </c>
      <c r="Y1192" s="5">
        <f>IF(U1192="Open",Lookups!$B$2-B1192,X1192)</f>
        <v>19</v>
      </c>
      <c r="Z1192" t="str">
        <f t="shared" si="203"/>
        <v>OK</v>
      </c>
      <c r="AA1192" t="str">
        <f t="shared" si="204"/>
        <v>2025-10</v>
      </c>
      <c r="AB1192" t="str">
        <f t="shared" si="205"/>
        <v>2025-11</v>
      </c>
      <c r="AC1192" t="str">
        <f t="shared" si="206"/>
        <v>Q4-2025</v>
      </c>
      <c r="AD1192" s="5">
        <f t="shared" si="207"/>
        <v>51</v>
      </c>
      <c r="AE1192" t="str">
        <f t="shared" si="208"/>
        <v>Lost</v>
      </c>
    </row>
    <row r="1193" spans="1:31">
      <c r="A1193" t="s">
        <v>1295</v>
      </c>
      <c r="B1193" s="1">
        <v>45784</v>
      </c>
      <c r="C1193" t="s">
        <v>56</v>
      </c>
      <c r="D1193" t="s">
        <v>57</v>
      </c>
      <c r="E1193" t="s">
        <v>138</v>
      </c>
      <c r="F1193" t="s">
        <v>67</v>
      </c>
      <c r="G1193" t="s">
        <v>112</v>
      </c>
      <c r="H1193" t="s">
        <v>53</v>
      </c>
      <c r="I1193" t="s">
        <v>48</v>
      </c>
      <c r="J1193" s="1">
        <v>45990</v>
      </c>
      <c r="K1193" s="1"/>
      <c r="L1193" s="3">
        <v>84500</v>
      </c>
      <c r="M1193" s="4">
        <v>0.03</v>
      </c>
      <c r="N1193" s="4">
        <v>0.85</v>
      </c>
      <c r="P1193">
        <v>5</v>
      </c>
      <c r="Q1193" t="str">
        <f>IFERROR(VLOOKUP(E1193,Lookups!$A$5:$B$24,2,FALSE),"Other")</f>
        <v>Organic Search</v>
      </c>
      <c r="R1193" t="str">
        <f>IFERROR(VLOOKUP(F1193,Lookups!$D$5:$F$10,2,FALSE),"Unknown Product")</f>
        <v>Revenue Operations Suite</v>
      </c>
      <c r="S1193" t="str">
        <f>IFERROR(VLOOKUP(F1193,Lookups!$D$5:$F$10,3,FALSE),"Unknown")</f>
        <v>Revenue Ops</v>
      </c>
      <c r="T1193" t="str">
        <f t="shared" si="198"/>
        <v>Enterprise</v>
      </c>
      <c r="U1193" t="str">
        <f t="shared" si="199"/>
        <v>Open</v>
      </c>
      <c r="V1193" s="3">
        <f t="shared" si="200"/>
        <v>0</v>
      </c>
      <c r="W1193" s="3">
        <f t="shared" si="201"/>
        <v>71825</v>
      </c>
      <c r="X1193" s="5" t="str">
        <f t="shared" si="202"/>
        <v/>
      </c>
      <c r="Y1193" s="5">
        <f>IF(U1193="Open",Lookups!$B$2-B1193,X1193)</f>
        <v>482</v>
      </c>
      <c r="Z1193" t="str">
        <f t="shared" si="203"/>
        <v>STALE</v>
      </c>
      <c r="AA1193" t="str">
        <f t="shared" si="204"/>
        <v>2025-05</v>
      </c>
      <c r="AB1193" t="str">
        <f t="shared" si="205"/>
        <v/>
      </c>
      <c r="AC1193" t="str">
        <f t="shared" si="206"/>
        <v>Q2-2025</v>
      </c>
      <c r="AD1193" s="5">
        <f t="shared" si="207"/>
        <v>77</v>
      </c>
      <c r="AE1193" t="str">
        <f t="shared" si="208"/>
        <v>Commit</v>
      </c>
    </row>
    <row r="1194" spans="1:31">
      <c r="A1194" t="s">
        <v>1296</v>
      </c>
      <c r="B1194" s="1">
        <v>46135</v>
      </c>
      <c r="C1194" t="s">
        <v>69</v>
      </c>
      <c r="D1194" t="s">
        <v>57</v>
      </c>
      <c r="E1194" t="s">
        <v>83</v>
      </c>
      <c r="F1194" t="s">
        <v>59</v>
      </c>
      <c r="G1194" t="s">
        <v>94</v>
      </c>
      <c r="H1194" t="s">
        <v>47</v>
      </c>
      <c r="I1194" t="s">
        <v>54</v>
      </c>
      <c r="J1194" s="1">
        <v>46231</v>
      </c>
      <c r="K1194" s="1"/>
      <c r="L1194" s="3">
        <v>23800</v>
      </c>
      <c r="M1194" s="4">
        <v>0</v>
      </c>
      <c r="N1194" s="4">
        <v>0.65</v>
      </c>
      <c r="P1194">
        <v>4</v>
      </c>
      <c r="Q1194" t="str">
        <f>IFERROR(VLOOKUP(E1194,Lookups!$A$5:$B$24,2,FALSE),"Other")</f>
        <v>Organic Search</v>
      </c>
      <c r="R1194" t="str">
        <f>IFERROR(VLOOKUP(F1194,Lookups!$D$5:$F$10,2,FALSE),"Unknown Product")</f>
        <v>NexaCRM Pro</v>
      </c>
      <c r="S1194" t="str">
        <f>IFERROR(VLOOKUP(F1194,Lookups!$D$5:$F$10,3,FALSE),"Unknown")</f>
        <v>CRM</v>
      </c>
      <c r="T1194" t="str">
        <f t="shared" si="198"/>
        <v>Mid-Market</v>
      </c>
      <c r="U1194" t="str">
        <f t="shared" si="199"/>
        <v>Open</v>
      </c>
      <c r="V1194" s="3">
        <f t="shared" si="200"/>
        <v>0</v>
      </c>
      <c r="W1194" s="3">
        <f t="shared" si="201"/>
        <v>15470</v>
      </c>
      <c r="X1194" s="5" t="str">
        <f t="shared" si="202"/>
        <v/>
      </c>
      <c r="Y1194" s="5">
        <f>IF(U1194="Open",Lookups!$B$2-B1194,X1194)</f>
        <v>131</v>
      </c>
      <c r="Z1194" t="str">
        <f t="shared" si="203"/>
        <v>STALE</v>
      </c>
      <c r="AA1194" t="str">
        <f t="shared" si="204"/>
        <v>2026-04</v>
      </c>
      <c r="AB1194" t="str">
        <f t="shared" si="205"/>
        <v/>
      </c>
      <c r="AC1194" t="str">
        <f t="shared" si="206"/>
        <v>Q2-2026</v>
      </c>
      <c r="AD1194" s="5">
        <f t="shared" si="207"/>
        <v>57</v>
      </c>
      <c r="AE1194" t="str">
        <f t="shared" si="208"/>
        <v>Best Case</v>
      </c>
    </row>
    <row r="1195" spans="1:31">
      <c r="A1195" t="s">
        <v>1297</v>
      </c>
      <c r="B1195" s="1">
        <v>46069</v>
      </c>
      <c r="C1195" t="s">
        <v>64</v>
      </c>
      <c r="D1195" t="s">
        <v>57</v>
      </c>
      <c r="E1195" t="s">
        <v>98</v>
      </c>
      <c r="F1195" t="s">
        <v>67</v>
      </c>
      <c r="G1195" t="s">
        <v>94</v>
      </c>
      <c r="H1195" t="s">
        <v>84</v>
      </c>
      <c r="I1195" t="s">
        <v>48</v>
      </c>
      <c r="J1195" s="1">
        <v>46234</v>
      </c>
      <c r="K1195" s="1"/>
      <c r="L1195" s="3">
        <v>119900</v>
      </c>
      <c r="M1195" s="4">
        <v>0</v>
      </c>
      <c r="N1195" s="4">
        <v>0.85</v>
      </c>
      <c r="P1195">
        <v>5</v>
      </c>
      <c r="Q1195" t="str">
        <f>IFERROR(VLOOKUP(E1195,Lookups!$A$5:$B$24,2,FALSE),"Other")</f>
        <v>Outbound</v>
      </c>
      <c r="R1195" t="str">
        <f>IFERROR(VLOOKUP(F1195,Lookups!$D$5:$F$10,2,FALSE),"Unknown Product")</f>
        <v>Revenue Operations Suite</v>
      </c>
      <c r="S1195" t="str">
        <f>IFERROR(VLOOKUP(F1195,Lookups!$D$5:$F$10,3,FALSE),"Unknown")</f>
        <v>Revenue Ops</v>
      </c>
      <c r="T1195" t="str">
        <f t="shared" si="198"/>
        <v>Enterprise</v>
      </c>
      <c r="U1195" t="str">
        <f t="shared" si="199"/>
        <v>Open</v>
      </c>
      <c r="V1195" s="3">
        <f t="shared" si="200"/>
        <v>0</v>
      </c>
      <c r="W1195" s="3">
        <f t="shared" si="201"/>
        <v>101915</v>
      </c>
      <c r="X1195" s="5" t="str">
        <f t="shared" si="202"/>
        <v/>
      </c>
      <c r="Y1195" s="5">
        <f>IF(U1195="Open",Lookups!$B$2-B1195,X1195)</f>
        <v>197</v>
      </c>
      <c r="Z1195" t="str">
        <f t="shared" si="203"/>
        <v>STALE</v>
      </c>
      <c r="AA1195" t="str">
        <f t="shared" si="204"/>
        <v>2026-02</v>
      </c>
      <c r="AB1195" t="str">
        <f t="shared" si="205"/>
        <v/>
      </c>
      <c r="AC1195" t="str">
        <f t="shared" si="206"/>
        <v>Q1-2026</v>
      </c>
      <c r="AD1195" s="5">
        <f t="shared" si="207"/>
        <v>74</v>
      </c>
      <c r="AE1195" t="str">
        <f t="shared" si="208"/>
        <v>Commit</v>
      </c>
    </row>
    <row r="1196" spans="1:31">
      <c r="A1196" t="s">
        <v>1298</v>
      </c>
      <c r="B1196" s="1">
        <v>46104</v>
      </c>
      <c r="C1196" t="s">
        <v>50</v>
      </c>
      <c r="D1196" t="s">
        <v>43</v>
      </c>
      <c r="E1196" t="s">
        <v>70</v>
      </c>
      <c r="F1196" t="s">
        <v>45</v>
      </c>
      <c r="G1196" t="s">
        <v>94</v>
      </c>
      <c r="H1196" t="s">
        <v>53</v>
      </c>
      <c r="I1196" t="s">
        <v>77</v>
      </c>
      <c r="J1196" s="1">
        <v>46160</v>
      </c>
      <c r="K1196" s="1">
        <v>46160</v>
      </c>
      <c r="L1196" s="3">
        <v>30100</v>
      </c>
      <c r="M1196" s="4">
        <v>0.12</v>
      </c>
      <c r="N1196" s="4">
        <v>1</v>
      </c>
      <c r="P1196">
        <v>6</v>
      </c>
      <c r="Q1196" t="str">
        <f>IFERROR(VLOOKUP(E1196,Lookups!$A$5:$B$24,2,FALSE),"Other")</f>
        <v>LinkedIn</v>
      </c>
      <c r="R1196" t="str">
        <f>IFERROR(VLOOKUP(F1196,Lookups!$D$5:$F$10,2,FALSE),"Unknown Product")</f>
        <v>Service Cloud</v>
      </c>
      <c r="S1196" t="str">
        <f>IFERROR(VLOOKUP(F1196,Lookups!$D$5:$F$10,3,FALSE),"Unknown")</f>
        <v>Customer Service</v>
      </c>
      <c r="T1196" t="str">
        <f t="shared" si="198"/>
        <v>Mid-Market</v>
      </c>
      <c r="U1196" t="str">
        <f t="shared" si="199"/>
        <v>Won</v>
      </c>
      <c r="V1196" s="3">
        <f t="shared" si="200"/>
        <v>26488</v>
      </c>
      <c r="W1196" s="3">
        <f t="shared" si="201"/>
        <v>0</v>
      </c>
      <c r="X1196" s="5">
        <f t="shared" si="202"/>
        <v>56</v>
      </c>
      <c r="Y1196" s="5">
        <f>IF(U1196="Open",Lookups!$B$2-B1196,X1196)</f>
        <v>56</v>
      </c>
      <c r="Z1196" t="str">
        <f t="shared" si="203"/>
        <v>OK</v>
      </c>
      <c r="AA1196" t="str">
        <f t="shared" si="204"/>
        <v>2026-03</v>
      </c>
      <c r="AB1196" t="str">
        <f t="shared" si="205"/>
        <v>2026-05</v>
      </c>
      <c r="AC1196" t="str">
        <f t="shared" si="206"/>
        <v>Q1-2026</v>
      </c>
      <c r="AD1196" s="5">
        <f t="shared" si="207"/>
        <v>59</v>
      </c>
      <c r="AE1196" t="str">
        <f t="shared" si="208"/>
        <v>Won</v>
      </c>
    </row>
    <row r="1197" spans="1:31">
      <c r="A1197" t="s">
        <v>1299</v>
      </c>
      <c r="B1197" s="1">
        <v>45807</v>
      </c>
      <c r="C1197" t="s">
        <v>69</v>
      </c>
      <c r="D1197" t="s">
        <v>57</v>
      </c>
      <c r="E1197" t="s">
        <v>96</v>
      </c>
      <c r="F1197" t="s">
        <v>59</v>
      </c>
      <c r="G1197" t="s">
        <v>72</v>
      </c>
      <c r="H1197" t="s">
        <v>47</v>
      </c>
      <c r="I1197" t="s">
        <v>61</v>
      </c>
      <c r="J1197" s="1">
        <v>45839</v>
      </c>
      <c r="K1197" s="1">
        <v>45839</v>
      </c>
      <c r="L1197" s="3">
        <v>12500</v>
      </c>
      <c r="M1197" s="4">
        <v>0</v>
      </c>
      <c r="N1197" s="4">
        <v>0</v>
      </c>
      <c r="O1197" t="s">
        <v>62</v>
      </c>
      <c r="P1197">
        <v>4</v>
      </c>
      <c r="Q1197" t="str">
        <f>IFERROR(VLOOKUP(E1197,Lookups!$A$5:$B$24,2,FALSE),"Other")</f>
        <v>LinkedIn</v>
      </c>
      <c r="R1197" t="str">
        <f>IFERROR(VLOOKUP(F1197,Lookups!$D$5:$F$10,2,FALSE),"Unknown Product")</f>
        <v>NexaCRM Pro</v>
      </c>
      <c r="S1197" t="str">
        <f>IFERROR(VLOOKUP(F1197,Lookups!$D$5:$F$10,3,FALSE),"Unknown")</f>
        <v>CRM</v>
      </c>
      <c r="T1197" t="str">
        <f t="shared" si="198"/>
        <v>SMB</v>
      </c>
      <c r="U1197" t="str">
        <f t="shared" si="199"/>
        <v>Lost</v>
      </c>
      <c r="V1197" s="3">
        <f t="shared" si="200"/>
        <v>0</v>
      </c>
      <c r="W1197" s="3">
        <f t="shared" si="201"/>
        <v>0</v>
      </c>
      <c r="X1197" s="5">
        <f t="shared" si="202"/>
        <v>32</v>
      </c>
      <c r="Y1197" s="5">
        <f>IF(U1197="Open",Lookups!$B$2-B1197,X1197)</f>
        <v>32</v>
      </c>
      <c r="Z1197" t="str">
        <f t="shared" si="203"/>
        <v>OK</v>
      </c>
      <c r="AA1197" t="str">
        <f t="shared" si="204"/>
        <v>2025-05</v>
      </c>
      <c r="AB1197" t="str">
        <f t="shared" si="205"/>
        <v>2025-07</v>
      </c>
      <c r="AC1197" t="str">
        <f t="shared" si="206"/>
        <v>Q2-2025</v>
      </c>
      <c r="AD1197" s="5">
        <f t="shared" si="207"/>
        <v>43</v>
      </c>
      <c r="AE1197" t="str">
        <f t="shared" si="208"/>
        <v>Lost</v>
      </c>
    </row>
    <row r="1198" spans="1:31">
      <c r="A1198" t="s">
        <v>1300</v>
      </c>
      <c r="B1198" s="1">
        <v>46163</v>
      </c>
      <c r="C1198" t="s">
        <v>90</v>
      </c>
      <c r="D1198" t="s">
        <v>57</v>
      </c>
      <c r="E1198" t="s">
        <v>138</v>
      </c>
      <c r="F1198" t="s">
        <v>52</v>
      </c>
      <c r="G1198" t="s">
        <v>60</v>
      </c>
      <c r="H1198" t="s">
        <v>47</v>
      </c>
      <c r="I1198" t="s">
        <v>61</v>
      </c>
      <c r="J1198" s="1">
        <v>46229</v>
      </c>
      <c r="K1198" s="1">
        <v>46229</v>
      </c>
      <c r="L1198" s="3">
        <v>6300</v>
      </c>
      <c r="M1198" s="4">
        <v>0</v>
      </c>
      <c r="N1198" s="4">
        <v>0</v>
      </c>
      <c r="O1198" t="s">
        <v>102</v>
      </c>
      <c r="P1198">
        <v>5</v>
      </c>
      <c r="Q1198" t="str">
        <f>IFERROR(VLOOKUP(E1198,Lookups!$A$5:$B$24,2,FALSE),"Other")</f>
        <v>Organic Search</v>
      </c>
      <c r="R1198" t="str">
        <f>IFERROR(VLOOKUP(F1198,Lookups!$D$5:$F$10,2,FALSE),"Unknown Product")</f>
        <v>NexaCRM Core</v>
      </c>
      <c r="S1198" t="str">
        <f>IFERROR(VLOOKUP(F1198,Lookups!$D$5:$F$10,3,FALSE),"Unknown")</f>
        <v>CRM</v>
      </c>
      <c r="T1198" t="str">
        <f t="shared" si="198"/>
        <v>SMB</v>
      </c>
      <c r="U1198" t="str">
        <f t="shared" si="199"/>
        <v>Lost</v>
      </c>
      <c r="V1198" s="3">
        <f t="shared" si="200"/>
        <v>0</v>
      </c>
      <c r="W1198" s="3">
        <f t="shared" si="201"/>
        <v>0</v>
      </c>
      <c r="X1198" s="5">
        <f t="shared" si="202"/>
        <v>66</v>
      </c>
      <c r="Y1198" s="5">
        <f>IF(U1198="Open",Lookups!$B$2-B1198,X1198)</f>
        <v>66</v>
      </c>
      <c r="Z1198" t="str">
        <f t="shared" si="203"/>
        <v>OK</v>
      </c>
      <c r="AA1198" t="str">
        <f t="shared" si="204"/>
        <v>2026-05</v>
      </c>
      <c r="AB1198" t="str">
        <f t="shared" si="205"/>
        <v>2026-07</v>
      </c>
      <c r="AC1198" t="str">
        <f t="shared" si="206"/>
        <v>Q2-2026</v>
      </c>
      <c r="AD1198" s="5">
        <f t="shared" si="207"/>
        <v>49</v>
      </c>
      <c r="AE1198" t="str">
        <f t="shared" si="208"/>
        <v>Lost</v>
      </c>
    </row>
    <row r="1199" spans="1:31">
      <c r="A1199" t="s">
        <v>1301</v>
      </c>
      <c r="B1199" s="1">
        <v>45857</v>
      </c>
      <c r="C1199" t="s">
        <v>148</v>
      </c>
      <c r="D1199" t="s">
        <v>43</v>
      </c>
      <c r="E1199" t="s">
        <v>119</v>
      </c>
      <c r="F1199" t="s">
        <v>45</v>
      </c>
      <c r="G1199" t="s">
        <v>76</v>
      </c>
      <c r="H1199" t="s">
        <v>84</v>
      </c>
      <c r="I1199" t="s">
        <v>77</v>
      </c>
      <c r="J1199" s="1">
        <v>45924</v>
      </c>
      <c r="K1199" s="1">
        <v>45924</v>
      </c>
      <c r="L1199" s="3">
        <v>58300</v>
      </c>
      <c r="M1199" s="4">
        <v>0.08</v>
      </c>
      <c r="N1199" s="4">
        <v>1</v>
      </c>
      <c r="P1199">
        <v>6</v>
      </c>
      <c r="Q1199" t="str">
        <f>IFERROR(VLOOKUP(E1199,Lookups!$A$5:$B$24,2,FALSE),"Other")</f>
        <v>Referral</v>
      </c>
      <c r="R1199" t="str">
        <f>IFERROR(VLOOKUP(F1199,Lookups!$D$5:$F$10,2,FALSE),"Unknown Product")</f>
        <v>Service Cloud</v>
      </c>
      <c r="S1199" t="str">
        <f>IFERROR(VLOOKUP(F1199,Lookups!$D$5:$F$10,3,FALSE),"Unknown")</f>
        <v>Customer Service</v>
      </c>
      <c r="T1199" t="str">
        <f t="shared" si="198"/>
        <v>Enterprise</v>
      </c>
      <c r="U1199" t="str">
        <f t="shared" si="199"/>
        <v>Won</v>
      </c>
      <c r="V1199" s="3">
        <f t="shared" si="200"/>
        <v>53636</v>
      </c>
      <c r="W1199" s="3">
        <f t="shared" si="201"/>
        <v>0</v>
      </c>
      <c r="X1199" s="5">
        <f t="shared" si="202"/>
        <v>67</v>
      </c>
      <c r="Y1199" s="5">
        <f>IF(U1199="Open",Lookups!$B$2-B1199,X1199)</f>
        <v>67</v>
      </c>
      <c r="Z1199" t="str">
        <f t="shared" si="203"/>
        <v>OK</v>
      </c>
      <c r="AA1199" t="str">
        <f t="shared" si="204"/>
        <v>2025-07</v>
      </c>
      <c r="AB1199" t="str">
        <f t="shared" si="205"/>
        <v>2025-09</v>
      </c>
      <c r="AC1199" t="str">
        <f t="shared" si="206"/>
        <v>Q3-2025</v>
      </c>
      <c r="AD1199" s="5">
        <f t="shared" si="207"/>
        <v>85</v>
      </c>
      <c r="AE1199" t="str">
        <f t="shared" si="208"/>
        <v>Won</v>
      </c>
    </row>
    <row r="1200" spans="1:31">
      <c r="A1200" t="s">
        <v>1302</v>
      </c>
      <c r="B1200" s="1">
        <v>45781</v>
      </c>
      <c r="C1200" t="s">
        <v>42</v>
      </c>
      <c r="D1200" t="s">
        <v>43</v>
      </c>
      <c r="E1200" t="s">
        <v>127</v>
      </c>
      <c r="F1200" t="s">
        <v>71</v>
      </c>
      <c r="G1200" t="s">
        <v>112</v>
      </c>
      <c r="H1200" t="s">
        <v>53</v>
      </c>
      <c r="I1200" t="s">
        <v>61</v>
      </c>
      <c r="J1200" s="1">
        <v>45846</v>
      </c>
      <c r="K1200" s="1">
        <v>45846</v>
      </c>
      <c r="L1200" s="3">
        <v>27400</v>
      </c>
      <c r="M1200" s="4">
        <v>0</v>
      </c>
      <c r="N1200" s="4">
        <v>0</v>
      </c>
      <c r="O1200" t="s">
        <v>102</v>
      </c>
      <c r="P1200">
        <v>4</v>
      </c>
      <c r="Q1200" t="str">
        <f>IFERROR(VLOOKUP(E1200,Lookups!$A$5:$B$24,2,FALSE),"Other")</f>
        <v>Paid Search</v>
      </c>
      <c r="R1200" t="str">
        <f>IFERROR(VLOOKUP(F1200,Lookups!$D$5:$F$10,2,FALSE),"Unknown Product")</f>
        <v>Marketing Automation</v>
      </c>
      <c r="S1200" t="str">
        <f>IFERROR(VLOOKUP(F1200,Lookups!$D$5:$F$10,3,FALSE),"Unknown")</f>
        <v>Marketing</v>
      </c>
      <c r="T1200" t="str">
        <f t="shared" si="198"/>
        <v>Mid-Market</v>
      </c>
      <c r="U1200" t="str">
        <f t="shared" si="199"/>
        <v>Lost</v>
      </c>
      <c r="V1200" s="3">
        <f t="shared" si="200"/>
        <v>0</v>
      </c>
      <c r="W1200" s="3">
        <f t="shared" si="201"/>
        <v>0</v>
      </c>
      <c r="X1200" s="5">
        <f t="shared" si="202"/>
        <v>65</v>
      </c>
      <c r="Y1200" s="5">
        <f>IF(U1200="Open",Lookups!$B$2-B1200,X1200)</f>
        <v>65</v>
      </c>
      <c r="Z1200" t="str">
        <f t="shared" si="203"/>
        <v>OK</v>
      </c>
      <c r="AA1200" t="str">
        <f t="shared" si="204"/>
        <v>2025-05</v>
      </c>
      <c r="AB1200" t="str">
        <f t="shared" si="205"/>
        <v>2025-07</v>
      </c>
      <c r="AC1200" t="str">
        <f t="shared" si="206"/>
        <v>Q2-2025</v>
      </c>
      <c r="AD1200" s="5">
        <f t="shared" si="207"/>
        <v>64</v>
      </c>
      <c r="AE1200" t="str">
        <f t="shared" si="208"/>
        <v>Lost</v>
      </c>
    </row>
    <row r="1201" spans="1:31">
      <c r="A1201" t="s">
        <v>1303</v>
      </c>
      <c r="B1201" s="1">
        <v>46218</v>
      </c>
      <c r="C1201" t="s">
        <v>90</v>
      </c>
      <c r="D1201" t="s">
        <v>57</v>
      </c>
      <c r="E1201" t="s">
        <v>127</v>
      </c>
      <c r="F1201" t="s">
        <v>45</v>
      </c>
      <c r="G1201" t="s">
        <v>112</v>
      </c>
      <c r="H1201" t="s">
        <v>47</v>
      </c>
      <c r="I1201" t="s">
        <v>61</v>
      </c>
      <c r="J1201" s="1">
        <v>46266</v>
      </c>
      <c r="K1201" s="1">
        <v>46266</v>
      </c>
      <c r="L1201" s="3">
        <v>23600</v>
      </c>
      <c r="M1201" s="4">
        <v>0</v>
      </c>
      <c r="N1201" s="4">
        <v>0</v>
      </c>
      <c r="O1201" t="s">
        <v>81</v>
      </c>
      <c r="P1201">
        <v>4</v>
      </c>
      <c r="Q1201" t="str">
        <f>IFERROR(VLOOKUP(E1201,Lookups!$A$5:$B$24,2,FALSE),"Other")</f>
        <v>Paid Search</v>
      </c>
      <c r="R1201" t="str">
        <f>IFERROR(VLOOKUP(F1201,Lookups!$D$5:$F$10,2,FALSE),"Unknown Product")</f>
        <v>Service Cloud</v>
      </c>
      <c r="S1201" t="str">
        <f>IFERROR(VLOOKUP(F1201,Lookups!$D$5:$F$10,3,FALSE),"Unknown")</f>
        <v>Customer Service</v>
      </c>
      <c r="T1201" t="str">
        <f t="shared" si="198"/>
        <v>Mid-Market</v>
      </c>
      <c r="U1201" t="str">
        <f t="shared" si="199"/>
        <v>Lost</v>
      </c>
      <c r="V1201" s="3">
        <f t="shared" si="200"/>
        <v>0</v>
      </c>
      <c r="W1201" s="3">
        <f t="shared" si="201"/>
        <v>0</v>
      </c>
      <c r="X1201" s="5">
        <f t="shared" si="202"/>
        <v>48</v>
      </c>
      <c r="Y1201" s="5">
        <f>IF(U1201="Open",Lookups!$B$2-B1201,X1201)</f>
        <v>48</v>
      </c>
      <c r="Z1201" t="str">
        <f t="shared" si="203"/>
        <v>OK</v>
      </c>
      <c r="AA1201" t="str">
        <f t="shared" si="204"/>
        <v>2026-07</v>
      </c>
      <c r="AB1201" t="str">
        <f t="shared" si="205"/>
        <v>2026-09</v>
      </c>
      <c r="AC1201" t="str">
        <f t="shared" si="206"/>
        <v>Q3-2026</v>
      </c>
      <c r="AD1201" s="5">
        <f t="shared" si="207"/>
        <v>56</v>
      </c>
      <c r="AE1201" t="str">
        <f t="shared" si="208"/>
        <v>Lost</v>
      </c>
    </row>
    <row r="1202" spans="1:31">
      <c r="A1202" t="s">
        <v>1304</v>
      </c>
      <c r="B1202" s="1">
        <v>46238</v>
      </c>
      <c r="C1202" t="s">
        <v>50</v>
      </c>
      <c r="D1202" t="s">
        <v>43</v>
      </c>
      <c r="E1202" t="s">
        <v>65</v>
      </c>
      <c r="F1202" t="s">
        <v>133</v>
      </c>
      <c r="G1202" t="s">
        <v>112</v>
      </c>
      <c r="H1202" t="s">
        <v>47</v>
      </c>
      <c r="I1202" t="s">
        <v>187</v>
      </c>
      <c r="J1202" s="1">
        <v>46253</v>
      </c>
      <c r="K1202" s="1"/>
      <c r="L1202" s="3">
        <v>21300</v>
      </c>
      <c r="M1202" s="4">
        <v>0</v>
      </c>
      <c r="N1202" s="4">
        <v>0.05</v>
      </c>
      <c r="P1202">
        <v>1</v>
      </c>
      <c r="Q1202" t="str">
        <f>IFERROR(VLOOKUP(E1202,Lookups!$A$5:$B$24,2,FALSE),"Other")</f>
        <v>Paid Search</v>
      </c>
      <c r="R1202" t="str">
        <f>IFERROR(VLOOKUP(F1202,Lookups!$D$5:$F$10,2,FALSE),"Unknown Product")</f>
        <v>Analytics Plus</v>
      </c>
      <c r="S1202" t="str">
        <f>IFERROR(VLOOKUP(F1202,Lookups!$D$5:$F$10,3,FALSE),"Unknown")</f>
        <v>Analytics</v>
      </c>
      <c r="T1202" t="str">
        <f t="shared" si="198"/>
        <v>Mid-Market</v>
      </c>
      <c r="U1202" t="str">
        <f t="shared" si="199"/>
        <v>Open</v>
      </c>
      <c r="V1202" s="3">
        <f t="shared" si="200"/>
        <v>0</v>
      </c>
      <c r="W1202" s="3">
        <f t="shared" si="201"/>
        <v>1065</v>
      </c>
      <c r="X1202" s="5" t="str">
        <f t="shared" si="202"/>
        <v/>
      </c>
      <c r="Y1202" s="5">
        <f>IF(U1202="Open",Lookups!$B$2-B1202,X1202)</f>
        <v>28</v>
      </c>
      <c r="Z1202" t="str">
        <f t="shared" si="203"/>
        <v>OK</v>
      </c>
      <c r="AA1202" t="str">
        <f t="shared" si="204"/>
        <v>2026-08</v>
      </c>
      <c r="AB1202" t="str">
        <f t="shared" si="205"/>
        <v/>
      </c>
      <c r="AC1202" t="str">
        <f t="shared" si="206"/>
        <v>Q3-2026</v>
      </c>
      <c r="AD1202" s="5">
        <f t="shared" si="207"/>
        <v>56</v>
      </c>
      <c r="AE1202" t="str">
        <f t="shared" si="208"/>
        <v>Pipeline</v>
      </c>
    </row>
    <row r="1203" spans="1:31">
      <c r="A1203" t="s">
        <v>1305</v>
      </c>
      <c r="B1203" s="1">
        <v>45823</v>
      </c>
      <c r="C1203" t="s">
        <v>90</v>
      </c>
      <c r="D1203" t="s">
        <v>57</v>
      </c>
      <c r="E1203" t="s">
        <v>96</v>
      </c>
      <c r="F1203" t="s">
        <v>52</v>
      </c>
      <c r="G1203" t="s">
        <v>72</v>
      </c>
      <c r="H1203" t="s">
        <v>47</v>
      </c>
      <c r="I1203" t="s">
        <v>61</v>
      </c>
      <c r="J1203" s="1">
        <v>45887</v>
      </c>
      <c r="K1203" s="1">
        <v>45887</v>
      </c>
      <c r="L1203" s="3">
        <v>4500</v>
      </c>
      <c r="M1203" s="4">
        <v>0</v>
      </c>
      <c r="N1203" s="4">
        <v>0</v>
      </c>
      <c r="O1203" t="s">
        <v>81</v>
      </c>
      <c r="P1203">
        <v>4</v>
      </c>
      <c r="Q1203" t="str">
        <f>IFERROR(VLOOKUP(E1203,Lookups!$A$5:$B$24,2,FALSE),"Other")</f>
        <v>LinkedIn</v>
      </c>
      <c r="R1203" t="str">
        <f>IFERROR(VLOOKUP(F1203,Lookups!$D$5:$F$10,2,FALSE),"Unknown Product")</f>
        <v>NexaCRM Core</v>
      </c>
      <c r="S1203" t="str">
        <f>IFERROR(VLOOKUP(F1203,Lookups!$D$5:$F$10,3,FALSE),"Unknown")</f>
        <v>CRM</v>
      </c>
      <c r="T1203" t="str">
        <f t="shared" si="198"/>
        <v>SMB</v>
      </c>
      <c r="U1203" t="str">
        <f t="shared" si="199"/>
        <v>Lost</v>
      </c>
      <c r="V1203" s="3">
        <f t="shared" si="200"/>
        <v>0</v>
      </c>
      <c r="W1203" s="3">
        <f t="shared" si="201"/>
        <v>0</v>
      </c>
      <c r="X1203" s="5">
        <f t="shared" si="202"/>
        <v>64</v>
      </c>
      <c r="Y1203" s="5">
        <f>IF(U1203="Open",Lookups!$B$2-B1203,X1203)</f>
        <v>64</v>
      </c>
      <c r="Z1203" t="str">
        <f t="shared" si="203"/>
        <v>OK</v>
      </c>
      <c r="AA1203" t="str">
        <f t="shared" si="204"/>
        <v>2025-06</v>
      </c>
      <c r="AB1203" t="str">
        <f t="shared" si="205"/>
        <v>2025-08</v>
      </c>
      <c r="AC1203" t="str">
        <f t="shared" si="206"/>
        <v>Q2-2025</v>
      </c>
      <c r="AD1203" s="5">
        <f t="shared" si="207"/>
        <v>43</v>
      </c>
      <c r="AE1203" t="str">
        <f t="shared" si="208"/>
        <v>Lost</v>
      </c>
    </row>
    <row r="1204" spans="1:31">
      <c r="A1204" t="s">
        <v>1306</v>
      </c>
      <c r="B1204" s="1">
        <v>45922</v>
      </c>
      <c r="C1204" t="s">
        <v>69</v>
      </c>
      <c r="D1204" t="s">
        <v>57</v>
      </c>
      <c r="E1204" t="s">
        <v>44</v>
      </c>
      <c r="F1204" t="s">
        <v>133</v>
      </c>
      <c r="G1204" t="s">
        <v>76</v>
      </c>
      <c r="H1204" t="s">
        <v>47</v>
      </c>
      <c r="I1204" t="s">
        <v>61</v>
      </c>
      <c r="J1204" s="1">
        <v>45963</v>
      </c>
      <c r="K1204" s="1">
        <v>45963</v>
      </c>
      <c r="L1204" s="3">
        <v>14200</v>
      </c>
      <c r="M1204" s="4">
        <v>0</v>
      </c>
      <c r="N1204" s="4">
        <v>0</v>
      </c>
      <c r="O1204" t="s">
        <v>81</v>
      </c>
      <c r="P1204">
        <v>2</v>
      </c>
      <c r="Q1204" t="str">
        <f>IFERROR(VLOOKUP(E1204,Lookups!$A$5:$B$24,2,FALSE),"Other")</f>
        <v>Organic Search</v>
      </c>
      <c r="R1204" t="str">
        <f>IFERROR(VLOOKUP(F1204,Lookups!$D$5:$F$10,2,FALSE),"Unknown Product")</f>
        <v>Analytics Plus</v>
      </c>
      <c r="S1204" t="str">
        <f>IFERROR(VLOOKUP(F1204,Lookups!$D$5:$F$10,3,FALSE),"Unknown")</f>
        <v>Analytics</v>
      </c>
      <c r="T1204" t="str">
        <f t="shared" si="198"/>
        <v>SMB</v>
      </c>
      <c r="U1204" t="str">
        <f t="shared" si="199"/>
        <v>Lost</v>
      </c>
      <c r="V1204" s="3">
        <f t="shared" si="200"/>
        <v>0</v>
      </c>
      <c r="W1204" s="3">
        <f t="shared" si="201"/>
        <v>0</v>
      </c>
      <c r="X1204" s="5">
        <f t="shared" si="202"/>
        <v>41</v>
      </c>
      <c r="Y1204" s="5">
        <f>IF(U1204="Open",Lookups!$B$2-B1204,X1204)</f>
        <v>41</v>
      </c>
      <c r="Z1204" t="str">
        <f t="shared" si="203"/>
        <v>OK</v>
      </c>
      <c r="AA1204" t="str">
        <f t="shared" si="204"/>
        <v>2025-09</v>
      </c>
      <c r="AB1204" t="str">
        <f t="shared" si="205"/>
        <v>2025-11</v>
      </c>
      <c r="AC1204" t="str">
        <f t="shared" si="206"/>
        <v>Q3-2025</v>
      </c>
      <c r="AD1204" s="5">
        <f t="shared" si="207"/>
        <v>49</v>
      </c>
      <c r="AE1204" t="str">
        <f t="shared" si="208"/>
        <v>Lost</v>
      </c>
    </row>
    <row r="1205" spans="1:31">
      <c r="A1205" t="s">
        <v>1307</v>
      </c>
      <c r="B1205" s="1">
        <v>46132</v>
      </c>
      <c r="C1205" t="s">
        <v>64</v>
      </c>
      <c r="D1205" t="s">
        <v>57</v>
      </c>
      <c r="E1205" t="s">
        <v>65</v>
      </c>
      <c r="F1205" t="s">
        <v>71</v>
      </c>
      <c r="G1205" t="s">
        <v>99</v>
      </c>
      <c r="H1205" t="s">
        <v>53</v>
      </c>
      <c r="I1205" t="s">
        <v>61</v>
      </c>
      <c r="J1205" s="1">
        <v>46174</v>
      </c>
      <c r="K1205" s="1">
        <v>46174</v>
      </c>
      <c r="L1205" s="3">
        <v>24400</v>
      </c>
      <c r="M1205" s="4">
        <v>0</v>
      </c>
      <c r="N1205" s="4">
        <v>0</v>
      </c>
      <c r="O1205" t="s">
        <v>62</v>
      </c>
      <c r="P1205">
        <v>4</v>
      </c>
      <c r="Q1205" t="str">
        <f>IFERROR(VLOOKUP(E1205,Lookups!$A$5:$B$24,2,FALSE),"Other")</f>
        <v>Paid Search</v>
      </c>
      <c r="R1205" t="str">
        <f>IFERROR(VLOOKUP(F1205,Lookups!$D$5:$F$10,2,FALSE),"Unknown Product")</f>
        <v>Marketing Automation</v>
      </c>
      <c r="S1205" t="str">
        <f>IFERROR(VLOOKUP(F1205,Lookups!$D$5:$F$10,3,FALSE),"Unknown")</f>
        <v>Marketing</v>
      </c>
      <c r="T1205" t="str">
        <f t="shared" si="198"/>
        <v>Mid-Market</v>
      </c>
      <c r="U1205" t="str">
        <f t="shared" si="199"/>
        <v>Lost</v>
      </c>
      <c r="V1205" s="3">
        <f t="shared" si="200"/>
        <v>0</v>
      </c>
      <c r="W1205" s="3">
        <f t="shared" si="201"/>
        <v>0</v>
      </c>
      <c r="X1205" s="5">
        <f t="shared" si="202"/>
        <v>42</v>
      </c>
      <c r="Y1205" s="5">
        <f>IF(U1205="Open",Lookups!$B$2-B1205,X1205)</f>
        <v>42</v>
      </c>
      <c r="Z1205" t="str">
        <f t="shared" si="203"/>
        <v>OK</v>
      </c>
      <c r="AA1205" t="str">
        <f t="shared" si="204"/>
        <v>2026-04</v>
      </c>
      <c r="AB1205" t="str">
        <f t="shared" si="205"/>
        <v>2026-06</v>
      </c>
      <c r="AC1205" t="str">
        <f t="shared" si="206"/>
        <v>Q2-2026</v>
      </c>
      <c r="AD1205" s="5">
        <f t="shared" si="207"/>
        <v>59</v>
      </c>
      <c r="AE1205" t="str">
        <f t="shared" si="208"/>
        <v>Lost</v>
      </c>
    </row>
    <row r="1206" spans="1:31">
      <c r="A1206" t="s">
        <v>1308</v>
      </c>
      <c r="B1206" s="1">
        <v>45915</v>
      </c>
      <c r="C1206" t="s">
        <v>56</v>
      </c>
      <c r="D1206" t="s">
        <v>57</v>
      </c>
      <c r="E1206" t="s">
        <v>98</v>
      </c>
      <c r="F1206" t="s">
        <v>59</v>
      </c>
      <c r="G1206" t="s">
        <v>46</v>
      </c>
      <c r="H1206" t="s">
        <v>47</v>
      </c>
      <c r="I1206" t="s">
        <v>61</v>
      </c>
      <c r="J1206" s="1">
        <v>45946</v>
      </c>
      <c r="K1206" s="1">
        <v>45946</v>
      </c>
      <c r="L1206" s="3">
        <v>15900</v>
      </c>
      <c r="M1206" s="4">
        <v>0</v>
      </c>
      <c r="N1206" s="4">
        <v>0</v>
      </c>
      <c r="O1206" t="s">
        <v>81</v>
      </c>
      <c r="P1206">
        <v>5</v>
      </c>
      <c r="Q1206" t="str">
        <f>IFERROR(VLOOKUP(E1206,Lookups!$A$5:$B$24,2,FALSE),"Other")</f>
        <v>Outbound</v>
      </c>
      <c r="R1206" t="str">
        <f>IFERROR(VLOOKUP(F1206,Lookups!$D$5:$F$10,2,FALSE),"Unknown Product")</f>
        <v>NexaCRM Pro</v>
      </c>
      <c r="S1206" t="str">
        <f>IFERROR(VLOOKUP(F1206,Lookups!$D$5:$F$10,3,FALSE),"Unknown")</f>
        <v>CRM</v>
      </c>
      <c r="T1206" t="str">
        <f t="shared" si="198"/>
        <v>SMB</v>
      </c>
      <c r="U1206" t="str">
        <f t="shared" si="199"/>
        <v>Lost</v>
      </c>
      <c r="V1206" s="3">
        <f t="shared" si="200"/>
        <v>0</v>
      </c>
      <c r="W1206" s="3">
        <f t="shared" si="201"/>
        <v>0</v>
      </c>
      <c r="X1206" s="5">
        <f t="shared" si="202"/>
        <v>31</v>
      </c>
      <c r="Y1206" s="5">
        <f>IF(U1206="Open",Lookups!$B$2-B1206,X1206)</f>
        <v>31</v>
      </c>
      <c r="Z1206" t="str">
        <f t="shared" si="203"/>
        <v>OK</v>
      </c>
      <c r="AA1206" t="str">
        <f t="shared" si="204"/>
        <v>2025-09</v>
      </c>
      <c r="AB1206" t="str">
        <f t="shared" si="205"/>
        <v>2025-10</v>
      </c>
      <c r="AC1206" t="str">
        <f t="shared" si="206"/>
        <v>Q3-2025</v>
      </c>
      <c r="AD1206" s="5">
        <f t="shared" si="207"/>
        <v>43</v>
      </c>
      <c r="AE1206" t="str">
        <f t="shared" si="208"/>
        <v>Lost</v>
      </c>
    </row>
    <row r="1207" spans="1:31">
      <c r="A1207" t="s">
        <v>1309</v>
      </c>
      <c r="B1207" s="1">
        <v>45809</v>
      </c>
      <c r="C1207" t="s">
        <v>148</v>
      </c>
      <c r="D1207" t="s">
        <v>43</v>
      </c>
      <c r="E1207" t="s">
        <v>138</v>
      </c>
      <c r="F1207" t="s">
        <v>52</v>
      </c>
      <c r="G1207" t="s">
        <v>60</v>
      </c>
      <c r="H1207" t="s">
        <v>47</v>
      </c>
      <c r="I1207" t="s">
        <v>61</v>
      </c>
      <c r="J1207" s="1">
        <v>45883</v>
      </c>
      <c r="K1207" s="1">
        <v>45883</v>
      </c>
      <c r="L1207" s="3">
        <v>8800</v>
      </c>
      <c r="M1207" s="4">
        <v>0</v>
      </c>
      <c r="N1207" s="4">
        <v>0</v>
      </c>
      <c r="O1207" t="s">
        <v>62</v>
      </c>
      <c r="P1207">
        <v>4</v>
      </c>
      <c r="Q1207" t="str">
        <f>IFERROR(VLOOKUP(E1207,Lookups!$A$5:$B$24,2,FALSE),"Other")</f>
        <v>Organic Search</v>
      </c>
      <c r="R1207" t="str">
        <f>IFERROR(VLOOKUP(F1207,Lookups!$D$5:$F$10,2,FALSE),"Unknown Product")</f>
        <v>NexaCRM Core</v>
      </c>
      <c r="S1207" t="str">
        <f>IFERROR(VLOOKUP(F1207,Lookups!$D$5:$F$10,3,FALSE),"Unknown")</f>
        <v>CRM</v>
      </c>
      <c r="T1207" t="str">
        <f t="shared" si="198"/>
        <v>SMB</v>
      </c>
      <c r="U1207" t="str">
        <f t="shared" si="199"/>
        <v>Lost</v>
      </c>
      <c r="V1207" s="3">
        <f t="shared" si="200"/>
        <v>0</v>
      </c>
      <c r="W1207" s="3">
        <f t="shared" si="201"/>
        <v>0</v>
      </c>
      <c r="X1207" s="5">
        <f t="shared" si="202"/>
        <v>74</v>
      </c>
      <c r="Y1207" s="5">
        <f>IF(U1207="Open",Lookups!$B$2-B1207,X1207)</f>
        <v>74</v>
      </c>
      <c r="Z1207" t="str">
        <f t="shared" si="203"/>
        <v>OK</v>
      </c>
      <c r="AA1207" t="str">
        <f t="shared" si="204"/>
        <v>2025-06</v>
      </c>
      <c r="AB1207" t="str">
        <f t="shared" si="205"/>
        <v>2025-08</v>
      </c>
      <c r="AC1207" t="str">
        <f t="shared" si="206"/>
        <v>Q2-2025</v>
      </c>
      <c r="AD1207" s="5">
        <f t="shared" si="207"/>
        <v>49</v>
      </c>
      <c r="AE1207" t="str">
        <f t="shared" si="208"/>
        <v>Lost</v>
      </c>
    </row>
    <row r="1208" spans="1:31">
      <c r="A1208" t="s">
        <v>1310</v>
      </c>
      <c r="B1208" s="1">
        <v>46103</v>
      </c>
      <c r="C1208" t="s">
        <v>86</v>
      </c>
      <c r="D1208" t="s">
        <v>87</v>
      </c>
      <c r="E1208" t="s">
        <v>146</v>
      </c>
      <c r="F1208" t="s">
        <v>59</v>
      </c>
      <c r="G1208" t="s">
        <v>72</v>
      </c>
      <c r="H1208" t="s">
        <v>47</v>
      </c>
      <c r="I1208" t="s">
        <v>61</v>
      </c>
      <c r="J1208" s="1">
        <v>46127</v>
      </c>
      <c r="K1208" s="1">
        <v>46127</v>
      </c>
      <c r="L1208" s="3">
        <v>19300</v>
      </c>
      <c r="M1208" s="4">
        <v>0</v>
      </c>
      <c r="N1208" s="4">
        <v>0</v>
      </c>
      <c r="O1208" t="s">
        <v>110</v>
      </c>
      <c r="P1208">
        <v>5</v>
      </c>
      <c r="Q1208" t="str">
        <f>IFERROR(VLOOKUP(E1208,Lookups!$A$5:$B$24,2,FALSE),"Other")</f>
        <v>LinkedIn</v>
      </c>
      <c r="R1208" t="str">
        <f>IFERROR(VLOOKUP(F1208,Lookups!$D$5:$F$10,2,FALSE),"Unknown Product")</f>
        <v>NexaCRM Pro</v>
      </c>
      <c r="S1208" t="str">
        <f>IFERROR(VLOOKUP(F1208,Lookups!$D$5:$F$10,3,FALSE),"Unknown")</f>
        <v>CRM</v>
      </c>
      <c r="T1208" t="str">
        <f t="shared" si="198"/>
        <v>SMB</v>
      </c>
      <c r="U1208" t="str">
        <f t="shared" si="199"/>
        <v>Lost</v>
      </c>
      <c r="V1208" s="3">
        <f t="shared" si="200"/>
        <v>0</v>
      </c>
      <c r="W1208" s="3">
        <f t="shared" si="201"/>
        <v>0</v>
      </c>
      <c r="X1208" s="5">
        <f t="shared" si="202"/>
        <v>24</v>
      </c>
      <c r="Y1208" s="5">
        <f>IF(U1208="Open",Lookups!$B$2-B1208,X1208)</f>
        <v>24</v>
      </c>
      <c r="Z1208" t="str">
        <f t="shared" si="203"/>
        <v>OK</v>
      </c>
      <c r="AA1208" t="str">
        <f t="shared" si="204"/>
        <v>2026-03</v>
      </c>
      <c r="AB1208" t="str">
        <f t="shared" si="205"/>
        <v>2026-04</v>
      </c>
      <c r="AC1208" t="str">
        <f t="shared" si="206"/>
        <v>Q1-2026</v>
      </c>
      <c r="AD1208" s="5">
        <f t="shared" si="207"/>
        <v>43</v>
      </c>
      <c r="AE1208" t="str">
        <f t="shared" si="208"/>
        <v>Lost</v>
      </c>
    </row>
    <row r="1209" spans="1:31">
      <c r="A1209" t="s">
        <v>1311</v>
      </c>
      <c r="B1209" s="1">
        <v>46010</v>
      </c>
      <c r="C1209" t="s">
        <v>69</v>
      </c>
      <c r="D1209" t="s">
        <v>57</v>
      </c>
      <c r="E1209" t="s">
        <v>119</v>
      </c>
      <c r="F1209" t="s">
        <v>59</v>
      </c>
      <c r="G1209" t="s">
        <v>76</v>
      </c>
      <c r="H1209" t="s">
        <v>47</v>
      </c>
      <c r="I1209" t="s">
        <v>61</v>
      </c>
      <c r="J1209" s="1">
        <v>46054</v>
      </c>
      <c r="K1209" s="1">
        <v>46054</v>
      </c>
      <c r="L1209" s="3">
        <v>14800</v>
      </c>
      <c r="M1209" s="4">
        <v>0</v>
      </c>
      <c r="N1209" s="4">
        <v>0</v>
      </c>
      <c r="O1209" t="s">
        <v>62</v>
      </c>
      <c r="P1209">
        <v>3</v>
      </c>
      <c r="Q1209" t="str">
        <f>IFERROR(VLOOKUP(E1209,Lookups!$A$5:$B$24,2,FALSE),"Other")</f>
        <v>Referral</v>
      </c>
      <c r="R1209" t="str">
        <f>IFERROR(VLOOKUP(F1209,Lookups!$D$5:$F$10,2,FALSE),"Unknown Product")</f>
        <v>NexaCRM Pro</v>
      </c>
      <c r="S1209" t="str">
        <f>IFERROR(VLOOKUP(F1209,Lookups!$D$5:$F$10,3,FALSE),"Unknown")</f>
        <v>CRM</v>
      </c>
      <c r="T1209" t="str">
        <f t="shared" si="198"/>
        <v>SMB</v>
      </c>
      <c r="U1209" t="str">
        <f t="shared" si="199"/>
        <v>Lost</v>
      </c>
      <c r="V1209" s="3">
        <f t="shared" si="200"/>
        <v>0</v>
      </c>
      <c r="W1209" s="3">
        <f t="shared" si="201"/>
        <v>0</v>
      </c>
      <c r="X1209" s="5">
        <f t="shared" si="202"/>
        <v>44</v>
      </c>
      <c r="Y1209" s="5">
        <f>IF(U1209="Open",Lookups!$B$2-B1209,X1209)</f>
        <v>44</v>
      </c>
      <c r="Z1209" t="str">
        <f t="shared" si="203"/>
        <v>OK</v>
      </c>
      <c r="AA1209" t="str">
        <f t="shared" si="204"/>
        <v>2025-12</v>
      </c>
      <c r="AB1209" t="str">
        <f t="shared" si="205"/>
        <v>2026-02</v>
      </c>
      <c r="AC1209" t="str">
        <f t="shared" si="206"/>
        <v>Q4-2025</v>
      </c>
      <c r="AD1209" s="5">
        <f t="shared" si="207"/>
        <v>54</v>
      </c>
      <c r="AE1209" t="str">
        <f t="shared" si="208"/>
        <v>Lost</v>
      </c>
    </row>
    <row r="1210" spans="1:31">
      <c r="A1210" t="s">
        <v>1312</v>
      </c>
      <c r="B1210" s="1">
        <v>46013</v>
      </c>
      <c r="C1210" t="s">
        <v>69</v>
      </c>
      <c r="D1210" t="s">
        <v>57</v>
      </c>
      <c r="E1210" t="s">
        <v>65</v>
      </c>
      <c r="F1210" t="s">
        <v>45</v>
      </c>
      <c r="G1210" t="s">
        <v>72</v>
      </c>
      <c r="H1210" t="s">
        <v>47</v>
      </c>
      <c r="I1210" t="s">
        <v>61</v>
      </c>
      <c r="J1210" s="1">
        <v>46065</v>
      </c>
      <c r="K1210" s="1">
        <v>46065</v>
      </c>
      <c r="L1210" s="3">
        <v>25300</v>
      </c>
      <c r="M1210" s="4">
        <v>0</v>
      </c>
      <c r="N1210" s="4">
        <v>0</v>
      </c>
      <c r="O1210" t="s">
        <v>81</v>
      </c>
      <c r="P1210">
        <v>5</v>
      </c>
      <c r="Q1210" t="str">
        <f>IFERROR(VLOOKUP(E1210,Lookups!$A$5:$B$24,2,FALSE),"Other")</f>
        <v>Paid Search</v>
      </c>
      <c r="R1210" t="str">
        <f>IFERROR(VLOOKUP(F1210,Lookups!$D$5:$F$10,2,FALSE),"Unknown Product")</f>
        <v>Service Cloud</v>
      </c>
      <c r="S1210" t="str">
        <f>IFERROR(VLOOKUP(F1210,Lookups!$D$5:$F$10,3,FALSE),"Unknown")</f>
        <v>Customer Service</v>
      </c>
      <c r="T1210" t="str">
        <f t="shared" si="198"/>
        <v>Mid-Market</v>
      </c>
      <c r="U1210" t="str">
        <f t="shared" si="199"/>
        <v>Lost</v>
      </c>
      <c r="V1210" s="3">
        <f t="shared" si="200"/>
        <v>0</v>
      </c>
      <c r="W1210" s="3">
        <f t="shared" si="201"/>
        <v>0</v>
      </c>
      <c r="X1210" s="5">
        <f t="shared" si="202"/>
        <v>52</v>
      </c>
      <c r="Y1210" s="5">
        <f>IF(U1210="Open",Lookups!$B$2-B1210,X1210)</f>
        <v>52</v>
      </c>
      <c r="Z1210" t="str">
        <f t="shared" si="203"/>
        <v>OK</v>
      </c>
      <c r="AA1210" t="str">
        <f t="shared" si="204"/>
        <v>2025-12</v>
      </c>
      <c r="AB1210" t="str">
        <f t="shared" si="205"/>
        <v>2026-02</v>
      </c>
      <c r="AC1210" t="str">
        <f t="shared" si="206"/>
        <v>Q4-2025</v>
      </c>
      <c r="AD1210" s="5">
        <f t="shared" si="207"/>
        <v>51</v>
      </c>
      <c r="AE1210" t="str">
        <f t="shared" si="208"/>
        <v>Lost</v>
      </c>
    </row>
    <row r="1211" spans="1:31">
      <c r="A1211" t="s">
        <v>1313</v>
      </c>
      <c r="B1211" s="1">
        <v>45792</v>
      </c>
      <c r="C1211" t="s">
        <v>64</v>
      </c>
      <c r="D1211" t="s">
        <v>57</v>
      </c>
      <c r="E1211" t="s">
        <v>92</v>
      </c>
      <c r="F1211" t="s">
        <v>133</v>
      </c>
      <c r="G1211" t="s">
        <v>76</v>
      </c>
      <c r="H1211" t="s">
        <v>53</v>
      </c>
      <c r="I1211" t="s">
        <v>48</v>
      </c>
      <c r="J1211" s="1">
        <v>45974</v>
      </c>
      <c r="K1211" s="1"/>
      <c r="L1211" s="3">
        <v>41100</v>
      </c>
      <c r="M1211" s="4">
        <v>0</v>
      </c>
      <c r="N1211" s="4">
        <v>0.85</v>
      </c>
      <c r="P1211">
        <v>5</v>
      </c>
      <c r="Q1211" t="str">
        <f>IFERROR(VLOOKUP(E1211,Lookups!$A$5:$B$24,2,FALSE),"Other")</f>
        <v>Webinar</v>
      </c>
      <c r="R1211" t="str">
        <f>IFERROR(VLOOKUP(F1211,Lookups!$D$5:$F$10,2,FALSE),"Unknown Product")</f>
        <v>Analytics Plus</v>
      </c>
      <c r="S1211" t="str">
        <f>IFERROR(VLOOKUP(F1211,Lookups!$D$5:$F$10,3,FALSE),"Unknown")</f>
        <v>Analytics</v>
      </c>
      <c r="T1211" t="str">
        <f t="shared" si="198"/>
        <v>Mid-Market</v>
      </c>
      <c r="U1211" t="str">
        <f t="shared" si="199"/>
        <v>Open</v>
      </c>
      <c r="V1211" s="3">
        <f t="shared" si="200"/>
        <v>0</v>
      </c>
      <c r="W1211" s="3">
        <f t="shared" si="201"/>
        <v>34935</v>
      </c>
      <c r="X1211" s="5" t="str">
        <f t="shared" si="202"/>
        <v/>
      </c>
      <c r="Y1211" s="5">
        <f>IF(U1211="Open",Lookups!$B$2-B1211,X1211)</f>
        <v>474</v>
      </c>
      <c r="Z1211" t="str">
        <f t="shared" si="203"/>
        <v>STALE</v>
      </c>
      <c r="AA1211" t="str">
        <f t="shared" si="204"/>
        <v>2025-05</v>
      </c>
      <c r="AB1211" t="str">
        <f t="shared" si="205"/>
        <v/>
      </c>
      <c r="AC1211" t="str">
        <f t="shared" si="206"/>
        <v>Q2-2025</v>
      </c>
      <c r="AD1211" s="5">
        <f t="shared" si="207"/>
        <v>59</v>
      </c>
      <c r="AE1211" t="str">
        <f t="shared" si="208"/>
        <v>Commit</v>
      </c>
    </row>
    <row r="1212" spans="1:31">
      <c r="A1212" t="s">
        <v>1314</v>
      </c>
      <c r="B1212" s="1">
        <v>46049</v>
      </c>
      <c r="C1212" t="s">
        <v>50</v>
      </c>
      <c r="D1212" t="s">
        <v>43</v>
      </c>
      <c r="E1212" t="s">
        <v>146</v>
      </c>
      <c r="F1212" t="s">
        <v>45</v>
      </c>
      <c r="G1212" t="s">
        <v>112</v>
      </c>
      <c r="H1212" t="s">
        <v>53</v>
      </c>
      <c r="I1212" t="s">
        <v>61</v>
      </c>
      <c r="J1212" s="1">
        <v>46094</v>
      </c>
      <c r="K1212" s="1">
        <v>46094</v>
      </c>
      <c r="L1212" s="3">
        <v>44800</v>
      </c>
      <c r="M1212" s="4">
        <v>0</v>
      </c>
      <c r="N1212" s="4">
        <v>0</v>
      </c>
      <c r="O1212" t="s">
        <v>110</v>
      </c>
      <c r="P1212">
        <v>3</v>
      </c>
      <c r="Q1212" t="str">
        <f>IFERROR(VLOOKUP(E1212,Lookups!$A$5:$B$24,2,FALSE),"Other")</f>
        <v>LinkedIn</v>
      </c>
      <c r="R1212" t="str">
        <f>IFERROR(VLOOKUP(F1212,Lookups!$D$5:$F$10,2,FALSE),"Unknown Product")</f>
        <v>Service Cloud</v>
      </c>
      <c r="S1212" t="str">
        <f>IFERROR(VLOOKUP(F1212,Lookups!$D$5:$F$10,3,FALSE),"Unknown")</f>
        <v>Customer Service</v>
      </c>
      <c r="T1212" t="str">
        <f t="shared" si="198"/>
        <v>Mid-Market</v>
      </c>
      <c r="U1212" t="str">
        <f t="shared" si="199"/>
        <v>Lost</v>
      </c>
      <c r="V1212" s="3">
        <f t="shared" si="200"/>
        <v>0</v>
      </c>
      <c r="W1212" s="3">
        <f t="shared" si="201"/>
        <v>0</v>
      </c>
      <c r="X1212" s="5">
        <f t="shared" si="202"/>
        <v>45</v>
      </c>
      <c r="Y1212" s="5">
        <f>IF(U1212="Open",Lookups!$B$2-B1212,X1212)</f>
        <v>45</v>
      </c>
      <c r="Z1212" t="str">
        <f t="shared" si="203"/>
        <v>OK</v>
      </c>
      <c r="AA1212" t="str">
        <f t="shared" si="204"/>
        <v>2026-01</v>
      </c>
      <c r="AB1212" t="str">
        <f t="shared" si="205"/>
        <v>2026-03</v>
      </c>
      <c r="AC1212" t="str">
        <f t="shared" si="206"/>
        <v>Q1-2026</v>
      </c>
      <c r="AD1212" s="5">
        <f t="shared" si="207"/>
        <v>64</v>
      </c>
      <c r="AE1212" t="str">
        <f t="shared" si="208"/>
        <v>Lost</v>
      </c>
    </row>
    <row r="1213" spans="1:31">
      <c r="A1213" t="s">
        <v>1315</v>
      </c>
      <c r="B1213" s="1">
        <v>46121</v>
      </c>
      <c r="C1213" t="s">
        <v>50</v>
      </c>
      <c r="D1213" t="s">
        <v>43</v>
      </c>
      <c r="E1213" t="s">
        <v>115</v>
      </c>
      <c r="F1213" t="s">
        <v>52</v>
      </c>
      <c r="G1213" t="s">
        <v>46</v>
      </c>
      <c r="H1213" t="s">
        <v>53</v>
      </c>
      <c r="I1213" t="s">
        <v>77</v>
      </c>
      <c r="J1213" s="1">
        <v>46206</v>
      </c>
      <c r="K1213" s="1">
        <v>46206</v>
      </c>
      <c r="L1213" s="3">
        <v>8800</v>
      </c>
      <c r="M1213" s="4">
        <v>0.1</v>
      </c>
      <c r="N1213" s="4">
        <v>1</v>
      </c>
      <c r="P1213">
        <v>6</v>
      </c>
      <c r="Q1213" t="str">
        <f>IFERROR(VLOOKUP(E1213,Lookups!$A$5:$B$24,2,FALSE),"Other")</f>
        <v>Outbound</v>
      </c>
      <c r="R1213" t="str">
        <f>IFERROR(VLOOKUP(F1213,Lookups!$D$5:$F$10,2,FALSE),"Unknown Product")</f>
        <v>NexaCRM Core</v>
      </c>
      <c r="S1213" t="str">
        <f>IFERROR(VLOOKUP(F1213,Lookups!$D$5:$F$10,3,FALSE),"Unknown")</f>
        <v>CRM</v>
      </c>
      <c r="T1213" t="str">
        <f t="shared" si="198"/>
        <v>SMB</v>
      </c>
      <c r="U1213" t="str">
        <f t="shared" si="199"/>
        <v>Won</v>
      </c>
      <c r="V1213" s="3">
        <f t="shared" si="200"/>
        <v>7920</v>
      </c>
      <c r="W1213" s="3">
        <f t="shared" si="201"/>
        <v>0</v>
      </c>
      <c r="X1213" s="5">
        <f t="shared" si="202"/>
        <v>85</v>
      </c>
      <c r="Y1213" s="5">
        <f>IF(U1213="Open",Lookups!$B$2-B1213,X1213)</f>
        <v>85</v>
      </c>
      <c r="Z1213" t="str">
        <f t="shared" si="203"/>
        <v>OK</v>
      </c>
      <c r="AA1213" t="str">
        <f t="shared" si="204"/>
        <v>2026-04</v>
      </c>
      <c r="AB1213" t="str">
        <f t="shared" si="205"/>
        <v>2026-07</v>
      </c>
      <c r="AC1213" t="str">
        <f t="shared" si="206"/>
        <v>Q2-2026</v>
      </c>
      <c r="AD1213" s="5">
        <f t="shared" si="207"/>
        <v>51</v>
      </c>
      <c r="AE1213" t="str">
        <f t="shared" si="208"/>
        <v>Won</v>
      </c>
    </row>
    <row r="1214" spans="1:31">
      <c r="A1214" t="s">
        <v>1316</v>
      </c>
      <c r="B1214" s="1">
        <v>46057</v>
      </c>
      <c r="C1214" t="s">
        <v>56</v>
      </c>
      <c r="D1214" t="s">
        <v>57</v>
      </c>
      <c r="E1214" t="s">
        <v>107</v>
      </c>
      <c r="F1214" t="s">
        <v>45</v>
      </c>
      <c r="G1214" t="s">
        <v>72</v>
      </c>
      <c r="H1214" t="s">
        <v>47</v>
      </c>
      <c r="I1214" t="s">
        <v>77</v>
      </c>
      <c r="J1214" s="1">
        <v>46077</v>
      </c>
      <c r="K1214" s="1">
        <v>46077</v>
      </c>
      <c r="L1214" s="3">
        <v>16500</v>
      </c>
      <c r="M1214" s="4">
        <v>0.05</v>
      </c>
      <c r="N1214" s="4">
        <v>1</v>
      </c>
      <c r="P1214">
        <v>6</v>
      </c>
      <c r="Q1214" t="str">
        <f>IFERROR(VLOOKUP(E1214,Lookups!$A$5:$B$24,2,FALSE),"Other")</f>
        <v>Referral</v>
      </c>
      <c r="R1214" t="str">
        <f>IFERROR(VLOOKUP(F1214,Lookups!$D$5:$F$10,2,FALSE),"Unknown Product")</f>
        <v>Service Cloud</v>
      </c>
      <c r="S1214" t="str">
        <f>IFERROR(VLOOKUP(F1214,Lookups!$D$5:$F$10,3,FALSE),"Unknown")</f>
        <v>Customer Service</v>
      </c>
      <c r="T1214" t="str">
        <f t="shared" si="198"/>
        <v>SMB</v>
      </c>
      <c r="U1214" t="str">
        <f t="shared" si="199"/>
        <v>Won</v>
      </c>
      <c r="V1214" s="3">
        <f t="shared" si="200"/>
        <v>15675</v>
      </c>
      <c r="W1214" s="3">
        <f t="shared" si="201"/>
        <v>0</v>
      </c>
      <c r="X1214" s="5">
        <f t="shared" si="202"/>
        <v>20</v>
      </c>
      <c r="Y1214" s="5">
        <f>IF(U1214="Open",Lookups!$B$2-B1214,X1214)</f>
        <v>20</v>
      </c>
      <c r="Z1214" t="str">
        <f t="shared" si="203"/>
        <v>OK</v>
      </c>
      <c r="AA1214" t="str">
        <f t="shared" si="204"/>
        <v>2026-02</v>
      </c>
      <c r="AB1214" t="str">
        <f t="shared" si="205"/>
        <v>2026-02</v>
      </c>
      <c r="AC1214" t="str">
        <f t="shared" si="206"/>
        <v>Q1-2026</v>
      </c>
      <c r="AD1214" s="5">
        <f t="shared" si="207"/>
        <v>54</v>
      </c>
      <c r="AE1214" t="str">
        <f t="shared" si="208"/>
        <v>Won</v>
      </c>
    </row>
    <row r="1215" spans="1:31">
      <c r="A1215" t="s">
        <v>1317</v>
      </c>
      <c r="B1215" s="1">
        <v>46244</v>
      </c>
      <c r="C1215" t="s">
        <v>64</v>
      </c>
      <c r="D1215" t="s">
        <v>57</v>
      </c>
      <c r="E1215" t="s">
        <v>109</v>
      </c>
      <c r="F1215" t="s">
        <v>45</v>
      </c>
      <c r="G1215" t="s">
        <v>76</v>
      </c>
      <c r="H1215" t="s">
        <v>47</v>
      </c>
      <c r="I1215" t="s">
        <v>187</v>
      </c>
      <c r="J1215" s="1">
        <v>46263</v>
      </c>
      <c r="K1215" s="1"/>
      <c r="L1215" s="3">
        <v>19000</v>
      </c>
      <c r="M1215" s="4">
        <v>0</v>
      </c>
      <c r="N1215" s="4">
        <v>0.05</v>
      </c>
      <c r="P1215">
        <v>1</v>
      </c>
      <c r="Q1215" t="str">
        <f>IFERROR(VLOOKUP(E1215,Lookups!$A$5:$B$24,2,FALSE),"Other")</f>
        <v>Outbound</v>
      </c>
      <c r="R1215" t="str">
        <f>IFERROR(VLOOKUP(F1215,Lookups!$D$5:$F$10,2,FALSE),"Unknown Product")</f>
        <v>Service Cloud</v>
      </c>
      <c r="S1215" t="str">
        <f>IFERROR(VLOOKUP(F1215,Lookups!$D$5:$F$10,3,FALSE),"Unknown")</f>
        <v>Customer Service</v>
      </c>
      <c r="T1215" t="str">
        <f t="shared" si="198"/>
        <v>SMB</v>
      </c>
      <c r="U1215" t="str">
        <f t="shared" si="199"/>
        <v>Open</v>
      </c>
      <c r="V1215" s="3">
        <f t="shared" si="200"/>
        <v>0</v>
      </c>
      <c r="W1215" s="3">
        <f t="shared" si="201"/>
        <v>950</v>
      </c>
      <c r="X1215" s="5" t="str">
        <f t="shared" si="202"/>
        <v/>
      </c>
      <c r="Y1215" s="5">
        <f>IF(U1215="Open",Lookups!$B$2-B1215,X1215)</f>
        <v>22</v>
      </c>
      <c r="Z1215" t="str">
        <f t="shared" si="203"/>
        <v>OK</v>
      </c>
      <c r="AA1215" t="str">
        <f t="shared" si="204"/>
        <v>2026-08</v>
      </c>
      <c r="AB1215" t="str">
        <f t="shared" si="205"/>
        <v/>
      </c>
      <c r="AC1215" t="str">
        <f t="shared" si="206"/>
        <v>Q3-2026</v>
      </c>
      <c r="AD1215" s="5">
        <f t="shared" si="207"/>
        <v>43</v>
      </c>
      <c r="AE1215" t="str">
        <f t="shared" si="208"/>
        <v>Pipeline</v>
      </c>
    </row>
    <row r="1216" spans="1:31">
      <c r="A1216" t="s">
        <v>1318</v>
      </c>
      <c r="B1216" s="1">
        <v>46185</v>
      </c>
      <c r="C1216" t="s">
        <v>90</v>
      </c>
      <c r="D1216" t="s">
        <v>57</v>
      </c>
      <c r="E1216" t="s">
        <v>65</v>
      </c>
      <c r="F1216" t="s">
        <v>45</v>
      </c>
      <c r="G1216" t="s">
        <v>94</v>
      </c>
      <c r="H1216" t="s">
        <v>53</v>
      </c>
      <c r="I1216" t="s">
        <v>61</v>
      </c>
      <c r="J1216" s="1">
        <v>46218</v>
      </c>
      <c r="K1216" s="1">
        <v>46218</v>
      </c>
      <c r="L1216" s="3">
        <v>24900</v>
      </c>
      <c r="M1216" s="4">
        <v>0</v>
      </c>
      <c r="N1216" s="4">
        <v>0</v>
      </c>
      <c r="O1216" t="s">
        <v>116</v>
      </c>
      <c r="P1216">
        <v>2</v>
      </c>
      <c r="Q1216" t="str">
        <f>IFERROR(VLOOKUP(E1216,Lookups!$A$5:$B$24,2,FALSE),"Other")</f>
        <v>Paid Search</v>
      </c>
      <c r="R1216" t="str">
        <f>IFERROR(VLOOKUP(F1216,Lookups!$D$5:$F$10,2,FALSE),"Unknown Product")</f>
        <v>Service Cloud</v>
      </c>
      <c r="S1216" t="str">
        <f>IFERROR(VLOOKUP(F1216,Lookups!$D$5:$F$10,3,FALSE),"Unknown")</f>
        <v>Customer Service</v>
      </c>
      <c r="T1216" t="str">
        <f t="shared" si="198"/>
        <v>Mid-Market</v>
      </c>
      <c r="U1216" t="str">
        <f t="shared" si="199"/>
        <v>Lost</v>
      </c>
      <c r="V1216" s="3">
        <f t="shared" si="200"/>
        <v>0</v>
      </c>
      <c r="W1216" s="3">
        <f t="shared" si="201"/>
        <v>0</v>
      </c>
      <c r="X1216" s="5">
        <f t="shared" si="202"/>
        <v>33</v>
      </c>
      <c r="Y1216" s="5">
        <f>IF(U1216="Open",Lookups!$B$2-B1216,X1216)</f>
        <v>33</v>
      </c>
      <c r="Z1216" t="str">
        <f t="shared" si="203"/>
        <v>OK</v>
      </c>
      <c r="AA1216" t="str">
        <f t="shared" si="204"/>
        <v>2026-06</v>
      </c>
      <c r="AB1216" t="str">
        <f t="shared" si="205"/>
        <v>2026-07</v>
      </c>
      <c r="AC1216" t="str">
        <f t="shared" si="206"/>
        <v>Q2-2026</v>
      </c>
      <c r="AD1216" s="5">
        <f t="shared" si="207"/>
        <v>59</v>
      </c>
      <c r="AE1216" t="str">
        <f t="shared" si="208"/>
        <v>Lost</v>
      </c>
    </row>
    <row r="1217" spans="1:31">
      <c r="A1217" t="s">
        <v>1319</v>
      </c>
      <c r="B1217" s="1">
        <v>45967</v>
      </c>
      <c r="C1217" t="s">
        <v>69</v>
      </c>
      <c r="D1217" t="s">
        <v>57</v>
      </c>
      <c r="E1217" t="s">
        <v>83</v>
      </c>
      <c r="F1217" t="s">
        <v>45</v>
      </c>
      <c r="G1217" t="s">
        <v>46</v>
      </c>
      <c r="H1217" t="s">
        <v>53</v>
      </c>
      <c r="I1217" t="s">
        <v>48</v>
      </c>
      <c r="J1217" s="1">
        <v>46196</v>
      </c>
      <c r="K1217" s="1"/>
      <c r="L1217" s="3">
        <v>46800</v>
      </c>
      <c r="M1217" s="4">
        <v>0</v>
      </c>
      <c r="N1217" s="4">
        <v>0.85</v>
      </c>
      <c r="P1217">
        <v>5</v>
      </c>
      <c r="Q1217" t="str">
        <f>IFERROR(VLOOKUP(E1217,Lookups!$A$5:$B$24,2,FALSE),"Other")</f>
        <v>Organic Search</v>
      </c>
      <c r="R1217" t="str">
        <f>IFERROR(VLOOKUP(F1217,Lookups!$D$5:$F$10,2,FALSE),"Unknown Product")</f>
        <v>Service Cloud</v>
      </c>
      <c r="S1217" t="str">
        <f>IFERROR(VLOOKUP(F1217,Lookups!$D$5:$F$10,3,FALSE),"Unknown")</f>
        <v>Customer Service</v>
      </c>
      <c r="T1217" t="str">
        <f t="shared" si="198"/>
        <v>Mid-Market</v>
      </c>
      <c r="U1217" t="str">
        <f t="shared" si="199"/>
        <v>Open</v>
      </c>
      <c r="V1217" s="3">
        <f t="shared" si="200"/>
        <v>0</v>
      </c>
      <c r="W1217" s="3">
        <f t="shared" si="201"/>
        <v>39780</v>
      </c>
      <c r="X1217" s="5" t="str">
        <f t="shared" si="202"/>
        <v/>
      </c>
      <c r="Y1217" s="5">
        <f>IF(U1217="Open",Lookups!$B$2-B1217,X1217)</f>
        <v>299</v>
      </c>
      <c r="Z1217" t="str">
        <f t="shared" si="203"/>
        <v>STALE</v>
      </c>
      <c r="AA1217" t="str">
        <f t="shared" si="204"/>
        <v>2025-11</v>
      </c>
      <c r="AB1217" t="str">
        <f t="shared" si="205"/>
        <v/>
      </c>
      <c r="AC1217" t="str">
        <f t="shared" si="206"/>
        <v>Q4-2025</v>
      </c>
      <c r="AD1217" s="5">
        <f t="shared" si="207"/>
        <v>65</v>
      </c>
      <c r="AE1217" t="str">
        <f t="shared" si="208"/>
        <v>Commit</v>
      </c>
    </row>
    <row r="1218" spans="1:31">
      <c r="A1218" t="s">
        <v>1320</v>
      </c>
      <c r="B1218" s="1">
        <v>46033</v>
      </c>
      <c r="C1218" t="s">
        <v>56</v>
      </c>
      <c r="D1218" t="s">
        <v>57</v>
      </c>
      <c r="E1218" t="s">
        <v>109</v>
      </c>
      <c r="F1218" t="s">
        <v>67</v>
      </c>
      <c r="G1218" t="s">
        <v>60</v>
      </c>
      <c r="H1218" t="s">
        <v>84</v>
      </c>
      <c r="I1218" t="s">
        <v>48</v>
      </c>
      <c r="J1218" s="1">
        <v>46218</v>
      </c>
      <c r="K1218" s="1"/>
      <c r="L1218" s="3">
        <v>145800</v>
      </c>
      <c r="M1218" s="4">
        <v>0.03</v>
      </c>
      <c r="N1218" s="4">
        <v>0.85</v>
      </c>
      <c r="P1218">
        <v>5</v>
      </c>
      <c r="Q1218" t="str">
        <f>IFERROR(VLOOKUP(E1218,Lookups!$A$5:$B$24,2,FALSE),"Other")</f>
        <v>Outbound</v>
      </c>
      <c r="R1218" t="str">
        <f>IFERROR(VLOOKUP(F1218,Lookups!$D$5:$F$10,2,FALSE),"Unknown Product")</f>
        <v>Revenue Operations Suite</v>
      </c>
      <c r="S1218" t="str">
        <f>IFERROR(VLOOKUP(F1218,Lookups!$D$5:$F$10,3,FALSE),"Unknown")</f>
        <v>Revenue Ops</v>
      </c>
      <c r="T1218" t="str">
        <f t="shared" ref="T1218:T1281" si="209">IF(L1218&gt;=50000,"Enterprise",IF(L1218&gt;=20000,"Mid-Market","SMB"))</f>
        <v>Enterprise</v>
      </c>
      <c r="U1218" t="str">
        <f t="shared" ref="U1218:U1281" si="210">IF(I1218="Closed Won","Won",IF(I1218="Closed Lost","Lost","Open"))</f>
        <v>Open</v>
      </c>
      <c r="V1218" s="3">
        <f t="shared" ref="V1218:V1281" si="211">IF(U1218="Won",L1218*(1-M1218),0)</f>
        <v>0</v>
      </c>
      <c r="W1218" s="3">
        <f t="shared" ref="W1218:W1281" si="212">IF(U1218="Open",L1218*N1218,0)</f>
        <v>123930</v>
      </c>
      <c r="X1218" s="5" t="str">
        <f t="shared" ref="X1218:X1281" si="213">IF(U1218="Open","",IFERROR(K1218-B1218,""))</f>
        <v/>
      </c>
      <c r="Y1218" s="5">
        <f>IF(U1218="Open",Lookups!$B$2-B1218,X1218)</f>
        <v>233</v>
      </c>
      <c r="Z1218" t="str">
        <f t="shared" ref="Z1218:Z1281" si="214">IF(AND(U1218="Open",Y1218&gt;30),"STALE","OK")</f>
        <v>STALE</v>
      </c>
      <c r="AA1218" t="str">
        <f t="shared" ref="AA1218:AA1281" si="215">TEXT(B1218,"yyyy-mm")</f>
        <v>2026-01</v>
      </c>
      <c r="AB1218" t="str">
        <f t="shared" ref="AB1218:AB1281" si="216">IF(K1218="","",TEXT(K1218,"yyyy-mm"))</f>
        <v/>
      </c>
      <c r="AC1218" t="str">
        <f t="shared" ref="AC1218:AC1281" si="217">"Q"&amp;ROUNDUP(MONTH(B1218)/3,0)&amp;"-"&amp;YEAR(B1218)</f>
        <v>Q1-2026</v>
      </c>
      <c r="AD1218" s="5">
        <f t="shared" ref="AD1218:AD1281" si="218">MIN(100,IF(H1218="Enterprise",30,IF(H1218="Mid-Market",22,14))+IF(T1218="Enterprise",25,IF(T1218="Mid-Market",18,10))+IF(Q1218="Referral",25,IF(Q1218="Organic Search",20,IF(Q1218="Email",18,14)))+IF(G1218="Technology",10,5))</f>
        <v>74</v>
      </c>
      <c r="AE1218" t="str">
        <f t="shared" ref="AE1218:AE1281" si="219">IF(U1218&lt;&gt;"Open",U1218,IF(N1218&gt;=0.8,"Commit",IF(N1218&gt;=0.5,"Best Case","Pipeline")))</f>
        <v>Commit</v>
      </c>
    </row>
    <row r="1219" spans="1:31">
      <c r="A1219" t="s">
        <v>1321</v>
      </c>
      <c r="B1219" s="1">
        <v>46112</v>
      </c>
      <c r="C1219" t="s">
        <v>90</v>
      </c>
      <c r="D1219" t="s">
        <v>57</v>
      </c>
      <c r="E1219" t="s">
        <v>70</v>
      </c>
      <c r="F1219" t="s">
        <v>59</v>
      </c>
      <c r="G1219" t="s">
        <v>76</v>
      </c>
      <c r="H1219" t="s">
        <v>47</v>
      </c>
      <c r="I1219" t="s">
        <v>61</v>
      </c>
      <c r="J1219" s="1">
        <v>46134</v>
      </c>
      <c r="K1219" s="1">
        <v>46134</v>
      </c>
      <c r="L1219" s="3">
        <v>22900</v>
      </c>
      <c r="M1219" s="4">
        <v>0</v>
      </c>
      <c r="N1219" s="4">
        <v>0</v>
      </c>
      <c r="O1219" t="s">
        <v>102</v>
      </c>
      <c r="P1219">
        <v>3</v>
      </c>
      <c r="Q1219" t="str">
        <f>IFERROR(VLOOKUP(E1219,Lookups!$A$5:$B$24,2,FALSE),"Other")</f>
        <v>LinkedIn</v>
      </c>
      <c r="R1219" t="str">
        <f>IFERROR(VLOOKUP(F1219,Lookups!$D$5:$F$10,2,FALSE),"Unknown Product")</f>
        <v>NexaCRM Pro</v>
      </c>
      <c r="S1219" t="str">
        <f>IFERROR(VLOOKUP(F1219,Lookups!$D$5:$F$10,3,FALSE),"Unknown")</f>
        <v>CRM</v>
      </c>
      <c r="T1219" t="str">
        <f t="shared" si="209"/>
        <v>Mid-Market</v>
      </c>
      <c r="U1219" t="str">
        <f t="shared" si="210"/>
        <v>Lost</v>
      </c>
      <c r="V1219" s="3">
        <f t="shared" si="211"/>
        <v>0</v>
      </c>
      <c r="W1219" s="3">
        <f t="shared" si="212"/>
        <v>0</v>
      </c>
      <c r="X1219" s="5">
        <f t="shared" si="213"/>
        <v>22</v>
      </c>
      <c r="Y1219" s="5">
        <f>IF(U1219="Open",Lookups!$B$2-B1219,X1219)</f>
        <v>22</v>
      </c>
      <c r="Z1219" t="str">
        <f t="shared" si="214"/>
        <v>OK</v>
      </c>
      <c r="AA1219" t="str">
        <f t="shared" si="215"/>
        <v>2026-03</v>
      </c>
      <c r="AB1219" t="str">
        <f t="shared" si="216"/>
        <v>2026-04</v>
      </c>
      <c r="AC1219" t="str">
        <f t="shared" si="217"/>
        <v>Q1-2026</v>
      </c>
      <c r="AD1219" s="5">
        <f t="shared" si="218"/>
        <v>51</v>
      </c>
      <c r="AE1219" t="str">
        <f t="shared" si="219"/>
        <v>Lost</v>
      </c>
    </row>
    <row r="1220" spans="1:31">
      <c r="A1220" t="s">
        <v>1322</v>
      </c>
      <c r="B1220" s="1">
        <v>45949</v>
      </c>
      <c r="C1220" t="s">
        <v>148</v>
      </c>
      <c r="D1220" t="s">
        <v>43</v>
      </c>
      <c r="E1220" t="s">
        <v>146</v>
      </c>
      <c r="F1220" t="s">
        <v>133</v>
      </c>
      <c r="G1220" t="s">
        <v>46</v>
      </c>
      <c r="H1220" t="s">
        <v>53</v>
      </c>
      <c r="I1220" t="s">
        <v>61</v>
      </c>
      <c r="J1220" s="1">
        <v>45981</v>
      </c>
      <c r="K1220" s="1">
        <v>45981</v>
      </c>
      <c r="L1220" s="3">
        <v>24000</v>
      </c>
      <c r="M1220" s="4">
        <v>0</v>
      </c>
      <c r="N1220" s="4">
        <v>0</v>
      </c>
      <c r="O1220" t="s">
        <v>62</v>
      </c>
      <c r="P1220">
        <v>4</v>
      </c>
      <c r="Q1220" t="str">
        <f>IFERROR(VLOOKUP(E1220,Lookups!$A$5:$B$24,2,FALSE),"Other")</f>
        <v>LinkedIn</v>
      </c>
      <c r="R1220" t="str">
        <f>IFERROR(VLOOKUP(F1220,Lookups!$D$5:$F$10,2,FALSE),"Unknown Product")</f>
        <v>Analytics Plus</v>
      </c>
      <c r="S1220" t="str">
        <f>IFERROR(VLOOKUP(F1220,Lookups!$D$5:$F$10,3,FALSE),"Unknown")</f>
        <v>Analytics</v>
      </c>
      <c r="T1220" t="str">
        <f t="shared" si="209"/>
        <v>Mid-Market</v>
      </c>
      <c r="U1220" t="str">
        <f t="shared" si="210"/>
        <v>Lost</v>
      </c>
      <c r="V1220" s="3">
        <f t="shared" si="211"/>
        <v>0</v>
      </c>
      <c r="W1220" s="3">
        <f t="shared" si="212"/>
        <v>0</v>
      </c>
      <c r="X1220" s="5">
        <f t="shared" si="213"/>
        <v>32</v>
      </c>
      <c r="Y1220" s="5">
        <f>IF(U1220="Open",Lookups!$B$2-B1220,X1220)</f>
        <v>32</v>
      </c>
      <c r="Z1220" t="str">
        <f t="shared" si="214"/>
        <v>OK</v>
      </c>
      <c r="AA1220" t="str">
        <f t="shared" si="215"/>
        <v>2025-10</v>
      </c>
      <c r="AB1220" t="str">
        <f t="shared" si="216"/>
        <v>2025-11</v>
      </c>
      <c r="AC1220" t="str">
        <f t="shared" si="217"/>
        <v>Q4-2025</v>
      </c>
      <c r="AD1220" s="5">
        <f t="shared" si="218"/>
        <v>59</v>
      </c>
      <c r="AE1220" t="str">
        <f t="shared" si="219"/>
        <v>Lost</v>
      </c>
    </row>
    <row r="1221" spans="1:31">
      <c r="A1221" t="s">
        <v>1323</v>
      </c>
      <c r="B1221" s="1">
        <v>45846</v>
      </c>
      <c r="C1221" t="s">
        <v>50</v>
      </c>
      <c r="D1221" t="s">
        <v>43</v>
      </c>
      <c r="E1221" t="s">
        <v>146</v>
      </c>
      <c r="F1221" t="s">
        <v>133</v>
      </c>
      <c r="G1221" t="s">
        <v>94</v>
      </c>
      <c r="H1221" t="s">
        <v>47</v>
      </c>
      <c r="I1221" t="s">
        <v>61</v>
      </c>
      <c r="J1221" s="1">
        <v>45910</v>
      </c>
      <c r="K1221" s="1">
        <v>45910</v>
      </c>
      <c r="L1221" s="3">
        <v>12900</v>
      </c>
      <c r="M1221" s="4">
        <v>0</v>
      </c>
      <c r="N1221" s="4">
        <v>0</v>
      </c>
      <c r="O1221" t="s">
        <v>110</v>
      </c>
      <c r="P1221">
        <v>2</v>
      </c>
      <c r="Q1221" t="str">
        <f>IFERROR(VLOOKUP(E1221,Lookups!$A$5:$B$24,2,FALSE),"Other")</f>
        <v>LinkedIn</v>
      </c>
      <c r="R1221" t="str">
        <f>IFERROR(VLOOKUP(F1221,Lookups!$D$5:$F$10,2,FALSE),"Unknown Product")</f>
        <v>Analytics Plus</v>
      </c>
      <c r="S1221" t="str">
        <f>IFERROR(VLOOKUP(F1221,Lookups!$D$5:$F$10,3,FALSE),"Unknown")</f>
        <v>Analytics</v>
      </c>
      <c r="T1221" t="str">
        <f t="shared" si="209"/>
        <v>SMB</v>
      </c>
      <c r="U1221" t="str">
        <f t="shared" si="210"/>
        <v>Lost</v>
      </c>
      <c r="V1221" s="3">
        <f t="shared" si="211"/>
        <v>0</v>
      </c>
      <c r="W1221" s="3">
        <f t="shared" si="212"/>
        <v>0</v>
      </c>
      <c r="X1221" s="5">
        <f t="shared" si="213"/>
        <v>64</v>
      </c>
      <c r="Y1221" s="5">
        <f>IF(U1221="Open",Lookups!$B$2-B1221,X1221)</f>
        <v>64</v>
      </c>
      <c r="Z1221" t="str">
        <f t="shared" si="214"/>
        <v>OK</v>
      </c>
      <c r="AA1221" t="str">
        <f t="shared" si="215"/>
        <v>2025-07</v>
      </c>
      <c r="AB1221" t="str">
        <f t="shared" si="216"/>
        <v>2025-09</v>
      </c>
      <c r="AC1221" t="str">
        <f t="shared" si="217"/>
        <v>Q3-2025</v>
      </c>
      <c r="AD1221" s="5">
        <f t="shared" si="218"/>
        <v>43</v>
      </c>
      <c r="AE1221" t="str">
        <f t="shared" si="219"/>
        <v>Lost</v>
      </c>
    </row>
    <row r="1222" spans="1:31">
      <c r="A1222" t="s">
        <v>1324</v>
      </c>
      <c r="B1222" s="1">
        <v>46177</v>
      </c>
      <c r="C1222" t="s">
        <v>50</v>
      </c>
      <c r="D1222" t="s">
        <v>43</v>
      </c>
      <c r="E1222" t="s">
        <v>119</v>
      </c>
      <c r="F1222" t="s">
        <v>45</v>
      </c>
      <c r="G1222" t="s">
        <v>46</v>
      </c>
      <c r="H1222" t="s">
        <v>53</v>
      </c>
      <c r="I1222" t="s">
        <v>77</v>
      </c>
      <c r="J1222" s="1">
        <v>46226</v>
      </c>
      <c r="K1222" s="1">
        <v>46226</v>
      </c>
      <c r="L1222" s="3">
        <v>22400</v>
      </c>
      <c r="M1222" s="4">
        <v>0.03</v>
      </c>
      <c r="N1222" s="4">
        <v>1</v>
      </c>
      <c r="P1222">
        <v>6</v>
      </c>
      <c r="Q1222" t="str">
        <f>IFERROR(VLOOKUP(E1222,Lookups!$A$5:$B$24,2,FALSE),"Other")</f>
        <v>Referral</v>
      </c>
      <c r="R1222" t="str">
        <f>IFERROR(VLOOKUP(F1222,Lookups!$D$5:$F$10,2,FALSE),"Unknown Product")</f>
        <v>Service Cloud</v>
      </c>
      <c r="S1222" t="str">
        <f>IFERROR(VLOOKUP(F1222,Lookups!$D$5:$F$10,3,FALSE),"Unknown")</f>
        <v>Customer Service</v>
      </c>
      <c r="T1222" t="str">
        <f t="shared" si="209"/>
        <v>Mid-Market</v>
      </c>
      <c r="U1222" t="str">
        <f t="shared" si="210"/>
        <v>Won</v>
      </c>
      <c r="V1222" s="3">
        <f t="shared" si="211"/>
        <v>21728</v>
      </c>
      <c r="W1222" s="3">
        <f t="shared" si="212"/>
        <v>0</v>
      </c>
      <c r="X1222" s="5">
        <f t="shared" si="213"/>
        <v>49</v>
      </c>
      <c r="Y1222" s="5">
        <f>IF(U1222="Open",Lookups!$B$2-B1222,X1222)</f>
        <v>49</v>
      </c>
      <c r="Z1222" t="str">
        <f t="shared" si="214"/>
        <v>OK</v>
      </c>
      <c r="AA1222" t="str">
        <f t="shared" si="215"/>
        <v>2026-06</v>
      </c>
      <c r="AB1222" t="str">
        <f t="shared" si="216"/>
        <v>2026-07</v>
      </c>
      <c r="AC1222" t="str">
        <f t="shared" si="217"/>
        <v>Q2-2026</v>
      </c>
      <c r="AD1222" s="5">
        <f t="shared" si="218"/>
        <v>70</v>
      </c>
      <c r="AE1222" t="str">
        <f t="shared" si="219"/>
        <v>Won</v>
      </c>
    </row>
    <row r="1223" spans="1:31">
      <c r="A1223" t="s">
        <v>1325</v>
      </c>
      <c r="B1223" s="1">
        <v>45801</v>
      </c>
      <c r="C1223" t="s">
        <v>42</v>
      </c>
      <c r="D1223" t="s">
        <v>43</v>
      </c>
      <c r="E1223" t="s">
        <v>65</v>
      </c>
      <c r="F1223" t="s">
        <v>45</v>
      </c>
      <c r="G1223" t="s">
        <v>72</v>
      </c>
      <c r="H1223" t="s">
        <v>84</v>
      </c>
      <c r="I1223" t="s">
        <v>61</v>
      </c>
      <c r="J1223" s="1">
        <v>45848</v>
      </c>
      <c r="K1223" s="1">
        <v>45848</v>
      </c>
      <c r="L1223" s="3">
        <v>59600</v>
      </c>
      <c r="M1223" s="4">
        <v>0</v>
      </c>
      <c r="N1223" s="4">
        <v>0</v>
      </c>
      <c r="O1223" t="s">
        <v>116</v>
      </c>
      <c r="P1223">
        <v>2</v>
      </c>
      <c r="Q1223" t="str">
        <f>IFERROR(VLOOKUP(E1223,Lookups!$A$5:$B$24,2,FALSE),"Other")</f>
        <v>Paid Search</v>
      </c>
      <c r="R1223" t="str">
        <f>IFERROR(VLOOKUP(F1223,Lookups!$D$5:$F$10,2,FALSE),"Unknown Product")</f>
        <v>Service Cloud</v>
      </c>
      <c r="S1223" t="str">
        <f>IFERROR(VLOOKUP(F1223,Lookups!$D$5:$F$10,3,FALSE),"Unknown")</f>
        <v>Customer Service</v>
      </c>
      <c r="T1223" t="str">
        <f t="shared" si="209"/>
        <v>Enterprise</v>
      </c>
      <c r="U1223" t="str">
        <f t="shared" si="210"/>
        <v>Lost</v>
      </c>
      <c r="V1223" s="3">
        <f t="shared" si="211"/>
        <v>0</v>
      </c>
      <c r="W1223" s="3">
        <f t="shared" si="212"/>
        <v>0</v>
      </c>
      <c r="X1223" s="5">
        <f t="shared" si="213"/>
        <v>47</v>
      </c>
      <c r="Y1223" s="5">
        <f>IF(U1223="Open",Lookups!$B$2-B1223,X1223)</f>
        <v>47</v>
      </c>
      <c r="Z1223" t="str">
        <f t="shared" si="214"/>
        <v>OK</v>
      </c>
      <c r="AA1223" t="str">
        <f t="shared" si="215"/>
        <v>2025-05</v>
      </c>
      <c r="AB1223" t="str">
        <f t="shared" si="216"/>
        <v>2025-07</v>
      </c>
      <c r="AC1223" t="str">
        <f t="shared" si="217"/>
        <v>Q2-2025</v>
      </c>
      <c r="AD1223" s="5">
        <f t="shared" si="218"/>
        <v>74</v>
      </c>
      <c r="AE1223" t="str">
        <f t="shared" si="219"/>
        <v>Lost</v>
      </c>
    </row>
    <row r="1224" spans="1:31">
      <c r="A1224" t="s">
        <v>1326</v>
      </c>
      <c r="B1224" s="1">
        <v>45696</v>
      </c>
      <c r="C1224" t="s">
        <v>42</v>
      </c>
      <c r="D1224" t="s">
        <v>43</v>
      </c>
      <c r="E1224" t="s">
        <v>51</v>
      </c>
      <c r="F1224" t="s">
        <v>71</v>
      </c>
      <c r="G1224" t="s">
        <v>112</v>
      </c>
      <c r="H1224" t="s">
        <v>47</v>
      </c>
      <c r="I1224" t="s">
        <v>77</v>
      </c>
      <c r="J1224" s="1">
        <v>45792</v>
      </c>
      <c r="K1224" s="1">
        <v>45792</v>
      </c>
      <c r="L1224" s="3">
        <v>11600</v>
      </c>
      <c r="M1224" s="4">
        <v>0</v>
      </c>
      <c r="N1224" s="4">
        <v>1</v>
      </c>
      <c r="P1224">
        <v>6</v>
      </c>
      <c r="Q1224" t="str">
        <f>IFERROR(VLOOKUP(E1224,Lookups!$A$5:$B$24,2,FALSE),"Other")</f>
        <v>Paid Search</v>
      </c>
      <c r="R1224" t="str">
        <f>IFERROR(VLOOKUP(F1224,Lookups!$D$5:$F$10,2,FALSE),"Unknown Product")</f>
        <v>Marketing Automation</v>
      </c>
      <c r="S1224" t="str">
        <f>IFERROR(VLOOKUP(F1224,Lookups!$D$5:$F$10,3,FALSE),"Unknown")</f>
        <v>Marketing</v>
      </c>
      <c r="T1224" t="str">
        <f t="shared" si="209"/>
        <v>SMB</v>
      </c>
      <c r="U1224" t="str">
        <f t="shared" si="210"/>
        <v>Won</v>
      </c>
      <c r="V1224" s="3">
        <f t="shared" si="211"/>
        <v>11600</v>
      </c>
      <c r="W1224" s="3">
        <f t="shared" si="212"/>
        <v>0</v>
      </c>
      <c r="X1224" s="5">
        <f t="shared" si="213"/>
        <v>96</v>
      </c>
      <c r="Y1224" s="5">
        <f>IF(U1224="Open",Lookups!$B$2-B1224,X1224)</f>
        <v>96</v>
      </c>
      <c r="Z1224" t="str">
        <f t="shared" si="214"/>
        <v>OK</v>
      </c>
      <c r="AA1224" t="str">
        <f t="shared" si="215"/>
        <v>2025-02</v>
      </c>
      <c r="AB1224" t="str">
        <f t="shared" si="216"/>
        <v>2025-05</v>
      </c>
      <c r="AC1224" t="str">
        <f t="shared" si="217"/>
        <v>Q1-2025</v>
      </c>
      <c r="AD1224" s="5">
        <f t="shared" si="218"/>
        <v>48</v>
      </c>
      <c r="AE1224" t="str">
        <f t="shared" si="219"/>
        <v>Won</v>
      </c>
    </row>
    <row r="1225" spans="1:31">
      <c r="A1225" t="s">
        <v>1327</v>
      </c>
      <c r="B1225" s="1">
        <v>46051</v>
      </c>
      <c r="C1225" t="s">
        <v>148</v>
      </c>
      <c r="D1225" t="s">
        <v>43</v>
      </c>
      <c r="E1225" t="s">
        <v>104</v>
      </c>
      <c r="F1225" t="s">
        <v>45</v>
      </c>
      <c r="G1225" t="s">
        <v>94</v>
      </c>
      <c r="H1225" t="s">
        <v>53</v>
      </c>
      <c r="I1225" t="s">
        <v>61</v>
      </c>
      <c r="J1225" s="1">
        <v>46104</v>
      </c>
      <c r="K1225" s="1">
        <v>46104</v>
      </c>
      <c r="L1225" s="3">
        <v>22600</v>
      </c>
      <c r="M1225" s="4">
        <v>0</v>
      </c>
      <c r="N1225" s="4">
        <v>0</v>
      </c>
      <c r="O1225" t="s">
        <v>81</v>
      </c>
      <c r="P1225">
        <v>5</v>
      </c>
      <c r="Q1225" t="str">
        <f>IFERROR(VLOOKUP(E1225,Lookups!$A$5:$B$24,2,FALSE),"Other")</f>
        <v>Other</v>
      </c>
      <c r="R1225" t="str">
        <f>IFERROR(VLOOKUP(F1225,Lookups!$D$5:$F$10,2,FALSE),"Unknown Product")</f>
        <v>Service Cloud</v>
      </c>
      <c r="S1225" t="str">
        <f>IFERROR(VLOOKUP(F1225,Lookups!$D$5:$F$10,3,FALSE),"Unknown")</f>
        <v>Customer Service</v>
      </c>
      <c r="T1225" t="str">
        <f t="shared" si="209"/>
        <v>Mid-Market</v>
      </c>
      <c r="U1225" t="str">
        <f t="shared" si="210"/>
        <v>Lost</v>
      </c>
      <c r="V1225" s="3">
        <f t="shared" si="211"/>
        <v>0</v>
      </c>
      <c r="W1225" s="3">
        <f t="shared" si="212"/>
        <v>0</v>
      </c>
      <c r="X1225" s="5">
        <f t="shared" si="213"/>
        <v>53</v>
      </c>
      <c r="Y1225" s="5">
        <f>IF(U1225="Open",Lookups!$B$2-B1225,X1225)</f>
        <v>53</v>
      </c>
      <c r="Z1225" t="str">
        <f t="shared" si="214"/>
        <v>OK</v>
      </c>
      <c r="AA1225" t="str">
        <f t="shared" si="215"/>
        <v>2026-01</v>
      </c>
      <c r="AB1225" t="str">
        <f t="shared" si="216"/>
        <v>2026-03</v>
      </c>
      <c r="AC1225" t="str">
        <f t="shared" si="217"/>
        <v>Q1-2026</v>
      </c>
      <c r="AD1225" s="5">
        <f t="shared" si="218"/>
        <v>59</v>
      </c>
      <c r="AE1225" t="str">
        <f t="shared" si="219"/>
        <v>Lost</v>
      </c>
    </row>
    <row r="1226" spans="1:31">
      <c r="A1226" t="s">
        <v>1328</v>
      </c>
      <c r="B1226" s="1">
        <v>45711</v>
      </c>
      <c r="C1226" t="s">
        <v>69</v>
      </c>
      <c r="D1226" t="s">
        <v>57</v>
      </c>
      <c r="E1226" t="s">
        <v>44</v>
      </c>
      <c r="F1226" t="s">
        <v>59</v>
      </c>
      <c r="G1226" t="s">
        <v>99</v>
      </c>
      <c r="H1226" t="s">
        <v>53</v>
      </c>
      <c r="I1226" t="s">
        <v>61</v>
      </c>
      <c r="J1226" s="1">
        <v>45767</v>
      </c>
      <c r="K1226" s="1">
        <v>45767</v>
      </c>
      <c r="L1226" s="3">
        <v>30400</v>
      </c>
      <c r="M1226" s="4">
        <v>0</v>
      </c>
      <c r="N1226" s="4">
        <v>0</v>
      </c>
      <c r="O1226" t="s">
        <v>81</v>
      </c>
      <c r="P1226">
        <v>4</v>
      </c>
      <c r="Q1226" t="str">
        <f>IFERROR(VLOOKUP(E1226,Lookups!$A$5:$B$24,2,FALSE),"Other")</f>
        <v>Organic Search</v>
      </c>
      <c r="R1226" t="str">
        <f>IFERROR(VLOOKUP(F1226,Lookups!$D$5:$F$10,2,FALSE),"Unknown Product")</f>
        <v>NexaCRM Pro</v>
      </c>
      <c r="S1226" t="str">
        <f>IFERROR(VLOOKUP(F1226,Lookups!$D$5:$F$10,3,FALSE),"Unknown")</f>
        <v>CRM</v>
      </c>
      <c r="T1226" t="str">
        <f t="shared" si="209"/>
        <v>Mid-Market</v>
      </c>
      <c r="U1226" t="str">
        <f t="shared" si="210"/>
        <v>Lost</v>
      </c>
      <c r="V1226" s="3">
        <f t="shared" si="211"/>
        <v>0</v>
      </c>
      <c r="W1226" s="3">
        <f t="shared" si="212"/>
        <v>0</v>
      </c>
      <c r="X1226" s="5">
        <f t="shared" si="213"/>
        <v>56</v>
      </c>
      <c r="Y1226" s="5">
        <f>IF(U1226="Open",Lookups!$B$2-B1226,X1226)</f>
        <v>56</v>
      </c>
      <c r="Z1226" t="str">
        <f t="shared" si="214"/>
        <v>OK</v>
      </c>
      <c r="AA1226" t="str">
        <f t="shared" si="215"/>
        <v>2025-02</v>
      </c>
      <c r="AB1226" t="str">
        <f t="shared" si="216"/>
        <v>2025-04</v>
      </c>
      <c r="AC1226" t="str">
        <f t="shared" si="217"/>
        <v>Q1-2025</v>
      </c>
      <c r="AD1226" s="5">
        <f t="shared" si="218"/>
        <v>65</v>
      </c>
      <c r="AE1226" t="str">
        <f t="shared" si="219"/>
        <v>Lost</v>
      </c>
    </row>
    <row r="1227" spans="1:31">
      <c r="A1227" t="s">
        <v>1329</v>
      </c>
      <c r="B1227" s="1">
        <v>46046</v>
      </c>
      <c r="C1227" t="s">
        <v>50</v>
      </c>
      <c r="D1227" t="s">
        <v>43</v>
      </c>
      <c r="E1227" t="s">
        <v>107</v>
      </c>
      <c r="F1227" t="s">
        <v>52</v>
      </c>
      <c r="G1227" t="s">
        <v>72</v>
      </c>
      <c r="H1227" t="s">
        <v>47</v>
      </c>
      <c r="I1227" t="s">
        <v>61</v>
      </c>
      <c r="J1227" s="1">
        <v>46111</v>
      </c>
      <c r="K1227" s="1">
        <v>46111</v>
      </c>
      <c r="L1227" s="3">
        <v>6800</v>
      </c>
      <c r="M1227" s="4">
        <v>0</v>
      </c>
      <c r="N1227" s="4">
        <v>0</v>
      </c>
      <c r="O1227" t="s">
        <v>102</v>
      </c>
      <c r="P1227">
        <v>4</v>
      </c>
      <c r="Q1227" t="str">
        <f>IFERROR(VLOOKUP(E1227,Lookups!$A$5:$B$24,2,FALSE),"Other")</f>
        <v>Referral</v>
      </c>
      <c r="R1227" t="str">
        <f>IFERROR(VLOOKUP(F1227,Lookups!$D$5:$F$10,2,FALSE),"Unknown Product")</f>
        <v>NexaCRM Core</v>
      </c>
      <c r="S1227" t="str">
        <f>IFERROR(VLOOKUP(F1227,Lookups!$D$5:$F$10,3,FALSE),"Unknown")</f>
        <v>CRM</v>
      </c>
      <c r="T1227" t="str">
        <f t="shared" si="209"/>
        <v>SMB</v>
      </c>
      <c r="U1227" t="str">
        <f t="shared" si="210"/>
        <v>Lost</v>
      </c>
      <c r="V1227" s="3">
        <f t="shared" si="211"/>
        <v>0</v>
      </c>
      <c r="W1227" s="3">
        <f t="shared" si="212"/>
        <v>0</v>
      </c>
      <c r="X1227" s="5">
        <f t="shared" si="213"/>
        <v>65</v>
      </c>
      <c r="Y1227" s="5">
        <f>IF(U1227="Open",Lookups!$B$2-B1227,X1227)</f>
        <v>65</v>
      </c>
      <c r="Z1227" t="str">
        <f t="shared" si="214"/>
        <v>OK</v>
      </c>
      <c r="AA1227" t="str">
        <f t="shared" si="215"/>
        <v>2026-01</v>
      </c>
      <c r="AB1227" t="str">
        <f t="shared" si="216"/>
        <v>2026-03</v>
      </c>
      <c r="AC1227" t="str">
        <f t="shared" si="217"/>
        <v>Q1-2026</v>
      </c>
      <c r="AD1227" s="5">
        <f t="shared" si="218"/>
        <v>54</v>
      </c>
      <c r="AE1227" t="str">
        <f t="shared" si="219"/>
        <v>Lost</v>
      </c>
    </row>
    <row r="1228" spans="1:31">
      <c r="A1228" t="s">
        <v>1330</v>
      </c>
      <c r="B1228" s="1">
        <v>46059</v>
      </c>
      <c r="C1228" t="s">
        <v>148</v>
      </c>
      <c r="D1228" t="s">
        <v>43</v>
      </c>
      <c r="E1228" t="s">
        <v>109</v>
      </c>
      <c r="F1228" t="s">
        <v>67</v>
      </c>
      <c r="G1228" t="s">
        <v>112</v>
      </c>
      <c r="H1228" t="s">
        <v>47</v>
      </c>
      <c r="I1228" t="s">
        <v>61</v>
      </c>
      <c r="J1228" s="1">
        <v>46109</v>
      </c>
      <c r="K1228" s="1">
        <v>46109</v>
      </c>
      <c r="L1228" s="3">
        <v>46500</v>
      </c>
      <c r="M1228" s="4">
        <v>0</v>
      </c>
      <c r="N1228" s="4">
        <v>0</v>
      </c>
      <c r="O1228" t="s">
        <v>116</v>
      </c>
      <c r="P1228">
        <v>3</v>
      </c>
      <c r="Q1228" t="str">
        <f>IFERROR(VLOOKUP(E1228,Lookups!$A$5:$B$24,2,FALSE),"Other")</f>
        <v>Outbound</v>
      </c>
      <c r="R1228" t="str">
        <f>IFERROR(VLOOKUP(F1228,Lookups!$D$5:$F$10,2,FALSE),"Unknown Product")</f>
        <v>Revenue Operations Suite</v>
      </c>
      <c r="S1228" t="str">
        <f>IFERROR(VLOOKUP(F1228,Lookups!$D$5:$F$10,3,FALSE),"Unknown")</f>
        <v>Revenue Ops</v>
      </c>
      <c r="T1228" t="str">
        <f t="shared" si="209"/>
        <v>Mid-Market</v>
      </c>
      <c r="U1228" t="str">
        <f t="shared" si="210"/>
        <v>Lost</v>
      </c>
      <c r="V1228" s="3">
        <f t="shared" si="211"/>
        <v>0</v>
      </c>
      <c r="W1228" s="3">
        <f t="shared" si="212"/>
        <v>0</v>
      </c>
      <c r="X1228" s="5">
        <f t="shared" si="213"/>
        <v>50</v>
      </c>
      <c r="Y1228" s="5">
        <f>IF(U1228="Open",Lookups!$B$2-B1228,X1228)</f>
        <v>50</v>
      </c>
      <c r="Z1228" t="str">
        <f t="shared" si="214"/>
        <v>OK</v>
      </c>
      <c r="AA1228" t="str">
        <f t="shared" si="215"/>
        <v>2026-02</v>
      </c>
      <c r="AB1228" t="str">
        <f t="shared" si="216"/>
        <v>2026-03</v>
      </c>
      <c r="AC1228" t="str">
        <f t="shared" si="217"/>
        <v>Q1-2026</v>
      </c>
      <c r="AD1228" s="5">
        <f t="shared" si="218"/>
        <v>56</v>
      </c>
      <c r="AE1228" t="str">
        <f t="shared" si="219"/>
        <v>Lost</v>
      </c>
    </row>
    <row r="1229" spans="1:31">
      <c r="A1229" t="s">
        <v>1331</v>
      </c>
      <c r="B1229" s="1">
        <v>46195</v>
      </c>
      <c r="C1229" t="s">
        <v>42</v>
      </c>
      <c r="D1229" t="s">
        <v>43</v>
      </c>
      <c r="E1229" t="s">
        <v>115</v>
      </c>
      <c r="F1229" t="s">
        <v>52</v>
      </c>
      <c r="G1229" t="s">
        <v>46</v>
      </c>
      <c r="H1229" t="s">
        <v>47</v>
      </c>
      <c r="I1229" t="s">
        <v>61</v>
      </c>
      <c r="J1229" s="1">
        <v>46246</v>
      </c>
      <c r="K1229" s="1">
        <v>46246</v>
      </c>
      <c r="L1229" s="3">
        <v>5300</v>
      </c>
      <c r="M1229" s="4">
        <v>0</v>
      </c>
      <c r="N1229" s="4">
        <v>0</v>
      </c>
      <c r="O1229" t="s">
        <v>62</v>
      </c>
      <c r="P1229">
        <v>5</v>
      </c>
      <c r="Q1229" t="str">
        <f>IFERROR(VLOOKUP(E1229,Lookups!$A$5:$B$24,2,FALSE),"Other")</f>
        <v>Outbound</v>
      </c>
      <c r="R1229" t="str">
        <f>IFERROR(VLOOKUP(F1229,Lookups!$D$5:$F$10,2,FALSE),"Unknown Product")</f>
        <v>NexaCRM Core</v>
      </c>
      <c r="S1229" t="str">
        <f>IFERROR(VLOOKUP(F1229,Lookups!$D$5:$F$10,3,FALSE),"Unknown")</f>
        <v>CRM</v>
      </c>
      <c r="T1229" t="str">
        <f t="shared" si="209"/>
        <v>SMB</v>
      </c>
      <c r="U1229" t="str">
        <f t="shared" si="210"/>
        <v>Lost</v>
      </c>
      <c r="V1229" s="3">
        <f t="shared" si="211"/>
        <v>0</v>
      </c>
      <c r="W1229" s="3">
        <f t="shared" si="212"/>
        <v>0</v>
      </c>
      <c r="X1229" s="5">
        <f t="shared" si="213"/>
        <v>51</v>
      </c>
      <c r="Y1229" s="5">
        <f>IF(U1229="Open",Lookups!$B$2-B1229,X1229)</f>
        <v>51</v>
      </c>
      <c r="Z1229" t="str">
        <f t="shared" si="214"/>
        <v>OK</v>
      </c>
      <c r="AA1229" t="str">
        <f t="shared" si="215"/>
        <v>2026-06</v>
      </c>
      <c r="AB1229" t="str">
        <f t="shared" si="216"/>
        <v>2026-08</v>
      </c>
      <c r="AC1229" t="str">
        <f t="shared" si="217"/>
        <v>Q2-2026</v>
      </c>
      <c r="AD1229" s="5">
        <f t="shared" si="218"/>
        <v>43</v>
      </c>
      <c r="AE1229" t="str">
        <f t="shared" si="219"/>
        <v>Lost</v>
      </c>
    </row>
    <row r="1230" spans="1:31">
      <c r="A1230" t="s">
        <v>1332</v>
      </c>
      <c r="B1230" s="1">
        <v>46058</v>
      </c>
      <c r="C1230" t="s">
        <v>69</v>
      </c>
      <c r="D1230" t="s">
        <v>57</v>
      </c>
      <c r="E1230" t="s">
        <v>146</v>
      </c>
      <c r="F1230" t="s">
        <v>52</v>
      </c>
      <c r="G1230" t="s">
        <v>60</v>
      </c>
      <c r="H1230" t="s">
        <v>47</v>
      </c>
      <c r="I1230" t="s">
        <v>61</v>
      </c>
      <c r="J1230" s="1">
        <v>46086</v>
      </c>
      <c r="K1230" s="1">
        <v>46086</v>
      </c>
      <c r="L1230" s="3">
        <v>6600</v>
      </c>
      <c r="M1230" s="4">
        <v>0</v>
      </c>
      <c r="N1230" s="4">
        <v>0</v>
      </c>
      <c r="O1230" t="s">
        <v>102</v>
      </c>
      <c r="P1230">
        <v>2</v>
      </c>
      <c r="Q1230" t="str">
        <f>IFERROR(VLOOKUP(E1230,Lookups!$A$5:$B$24,2,FALSE),"Other")</f>
        <v>LinkedIn</v>
      </c>
      <c r="R1230" t="str">
        <f>IFERROR(VLOOKUP(F1230,Lookups!$D$5:$F$10,2,FALSE),"Unknown Product")</f>
        <v>NexaCRM Core</v>
      </c>
      <c r="S1230" t="str">
        <f>IFERROR(VLOOKUP(F1230,Lookups!$D$5:$F$10,3,FALSE),"Unknown")</f>
        <v>CRM</v>
      </c>
      <c r="T1230" t="str">
        <f t="shared" si="209"/>
        <v>SMB</v>
      </c>
      <c r="U1230" t="str">
        <f t="shared" si="210"/>
        <v>Lost</v>
      </c>
      <c r="V1230" s="3">
        <f t="shared" si="211"/>
        <v>0</v>
      </c>
      <c r="W1230" s="3">
        <f t="shared" si="212"/>
        <v>0</v>
      </c>
      <c r="X1230" s="5">
        <f t="shared" si="213"/>
        <v>28</v>
      </c>
      <c r="Y1230" s="5">
        <f>IF(U1230="Open",Lookups!$B$2-B1230,X1230)</f>
        <v>28</v>
      </c>
      <c r="Z1230" t="str">
        <f t="shared" si="214"/>
        <v>OK</v>
      </c>
      <c r="AA1230" t="str">
        <f t="shared" si="215"/>
        <v>2026-02</v>
      </c>
      <c r="AB1230" t="str">
        <f t="shared" si="216"/>
        <v>2026-03</v>
      </c>
      <c r="AC1230" t="str">
        <f t="shared" si="217"/>
        <v>Q1-2026</v>
      </c>
      <c r="AD1230" s="5">
        <f t="shared" si="218"/>
        <v>43</v>
      </c>
      <c r="AE1230" t="str">
        <f t="shared" si="219"/>
        <v>Lost</v>
      </c>
    </row>
    <row r="1231" spans="1:31">
      <c r="A1231" t="s">
        <v>1333</v>
      </c>
      <c r="B1231" s="1">
        <v>45927</v>
      </c>
      <c r="C1231" t="s">
        <v>69</v>
      </c>
      <c r="D1231" t="s">
        <v>57</v>
      </c>
      <c r="E1231" t="s">
        <v>83</v>
      </c>
      <c r="F1231" t="s">
        <v>133</v>
      </c>
      <c r="G1231" t="s">
        <v>76</v>
      </c>
      <c r="H1231" t="s">
        <v>53</v>
      </c>
      <c r="I1231" t="s">
        <v>61</v>
      </c>
      <c r="J1231" s="1">
        <v>46000</v>
      </c>
      <c r="K1231" s="1">
        <v>46000</v>
      </c>
      <c r="L1231" s="3">
        <v>35900</v>
      </c>
      <c r="M1231" s="4">
        <v>0</v>
      </c>
      <c r="N1231" s="4">
        <v>0</v>
      </c>
      <c r="O1231" t="s">
        <v>79</v>
      </c>
      <c r="P1231">
        <v>4</v>
      </c>
      <c r="Q1231" t="str">
        <f>IFERROR(VLOOKUP(E1231,Lookups!$A$5:$B$24,2,FALSE),"Other")</f>
        <v>Organic Search</v>
      </c>
      <c r="R1231" t="str">
        <f>IFERROR(VLOOKUP(F1231,Lookups!$D$5:$F$10,2,FALSE),"Unknown Product")</f>
        <v>Analytics Plus</v>
      </c>
      <c r="S1231" t="str">
        <f>IFERROR(VLOOKUP(F1231,Lookups!$D$5:$F$10,3,FALSE),"Unknown")</f>
        <v>Analytics</v>
      </c>
      <c r="T1231" t="str">
        <f t="shared" si="209"/>
        <v>Mid-Market</v>
      </c>
      <c r="U1231" t="str">
        <f t="shared" si="210"/>
        <v>Lost</v>
      </c>
      <c r="V1231" s="3">
        <f t="shared" si="211"/>
        <v>0</v>
      </c>
      <c r="W1231" s="3">
        <f t="shared" si="212"/>
        <v>0</v>
      </c>
      <c r="X1231" s="5">
        <f t="shared" si="213"/>
        <v>73</v>
      </c>
      <c r="Y1231" s="5">
        <f>IF(U1231="Open",Lookups!$B$2-B1231,X1231)</f>
        <v>73</v>
      </c>
      <c r="Z1231" t="str">
        <f t="shared" si="214"/>
        <v>OK</v>
      </c>
      <c r="AA1231" t="str">
        <f t="shared" si="215"/>
        <v>2025-09</v>
      </c>
      <c r="AB1231" t="str">
        <f t="shared" si="216"/>
        <v>2025-12</v>
      </c>
      <c r="AC1231" t="str">
        <f t="shared" si="217"/>
        <v>Q3-2025</v>
      </c>
      <c r="AD1231" s="5">
        <f t="shared" si="218"/>
        <v>65</v>
      </c>
      <c r="AE1231" t="str">
        <f t="shared" si="219"/>
        <v>Lost</v>
      </c>
    </row>
    <row r="1232" spans="1:31">
      <c r="A1232" t="s">
        <v>1334</v>
      </c>
      <c r="B1232" s="1">
        <v>45945</v>
      </c>
      <c r="C1232" t="s">
        <v>86</v>
      </c>
      <c r="D1232" t="s">
        <v>87</v>
      </c>
      <c r="E1232" t="s">
        <v>83</v>
      </c>
      <c r="F1232" t="s">
        <v>67</v>
      </c>
      <c r="G1232" t="s">
        <v>112</v>
      </c>
      <c r="H1232" t="s">
        <v>53</v>
      </c>
      <c r="I1232" t="s">
        <v>61</v>
      </c>
      <c r="J1232" s="1">
        <v>46017</v>
      </c>
      <c r="K1232" s="1">
        <v>46017</v>
      </c>
      <c r="L1232" s="3">
        <v>65300</v>
      </c>
      <c r="M1232" s="4">
        <v>0</v>
      </c>
      <c r="N1232" s="4">
        <v>0</v>
      </c>
      <c r="O1232" t="s">
        <v>116</v>
      </c>
      <c r="P1232">
        <v>2</v>
      </c>
      <c r="Q1232" t="str">
        <f>IFERROR(VLOOKUP(E1232,Lookups!$A$5:$B$24,2,FALSE),"Other")</f>
        <v>Organic Search</v>
      </c>
      <c r="R1232" t="str">
        <f>IFERROR(VLOOKUP(F1232,Lookups!$D$5:$F$10,2,FALSE),"Unknown Product")</f>
        <v>Revenue Operations Suite</v>
      </c>
      <c r="S1232" t="str">
        <f>IFERROR(VLOOKUP(F1232,Lookups!$D$5:$F$10,3,FALSE),"Unknown")</f>
        <v>Revenue Ops</v>
      </c>
      <c r="T1232" t="str">
        <f t="shared" si="209"/>
        <v>Enterprise</v>
      </c>
      <c r="U1232" t="str">
        <f t="shared" si="210"/>
        <v>Lost</v>
      </c>
      <c r="V1232" s="3">
        <f t="shared" si="211"/>
        <v>0</v>
      </c>
      <c r="W1232" s="3">
        <f t="shared" si="212"/>
        <v>0</v>
      </c>
      <c r="X1232" s="5">
        <f t="shared" si="213"/>
        <v>72</v>
      </c>
      <c r="Y1232" s="5">
        <f>IF(U1232="Open",Lookups!$B$2-B1232,X1232)</f>
        <v>72</v>
      </c>
      <c r="Z1232" t="str">
        <f t="shared" si="214"/>
        <v>OK</v>
      </c>
      <c r="AA1232" t="str">
        <f t="shared" si="215"/>
        <v>2025-10</v>
      </c>
      <c r="AB1232" t="str">
        <f t="shared" si="216"/>
        <v>2025-12</v>
      </c>
      <c r="AC1232" t="str">
        <f t="shared" si="217"/>
        <v>Q4-2025</v>
      </c>
      <c r="AD1232" s="5">
        <f t="shared" si="218"/>
        <v>77</v>
      </c>
      <c r="AE1232" t="str">
        <f t="shared" si="219"/>
        <v>Lost</v>
      </c>
    </row>
    <row r="1233" spans="1:31">
      <c r="A1233" t="s">
        <v>1335</v>
      </c>
      <c r="B1233" s="1">
        <v>46241</v>
      </c>
      <c r="C1233" t="s">
        <v>42</v>
      </c>
      <c r="D1233" t="s">
        <v>43</v>
      </c>
      <c r="E1233" t="s">
        <v>127</v>
      </c>
      <c r="F1233" t="s">
        <v>133</v>
      </c>
      <c r="G1233" t="s">
        <v>99</v>
      </c>
      <c r="H1233" t="s">
        <v>47</v>
      </c>
      <c r="I1233" t="s">
        <v>187</v>
      </c>
      <c r="J1233" s="1">
        <v>46255</v>
      </c>
      <c r="K1233" s="1"/>
      <c r="L1233" s="3">
        <v>19800</v>
      </c>
      <c r="M1233" s="4">
        <v>0</v>
      </c>
      <c r="N1233" s="4">
        <v>0.05</v>
      </c>
      <c r="P1233">
        <v>1</v>
      </c>
      <c r="Q1233" t="str">
        <f>IFERROR(VLOOKUP(E1233,Lookups!$A$5:$B$24,2,FALSE),"Other")</f>
        <v>Paid Search</v>
      </c>
      <c r="R1233" t="str">
        <f>IFERROR(VLOOKUP(F1233,Lookups!$D$5:$F$10,2,FALSE),"Unknown Product")</f>
        <v>Analytics Plus</v>
      </c>
      <c r="S1233" t="str">
        <f>IFERROR(VLOOKUP(F1233,Lookups!$D$5:$F$10,3,FALSE),"Unknown")</f>
        <v>Analytics</v>
      </c>
      <c r="T1233" t="str">
        <f t="shared" si="209"/>
        <v>SMB</v>
      </c>
      <c r="U1233" t="str">
        <f t="shared" si="210"/>
        <v>Open</v>
      </c>
      <c r="V1233" s="3">
        <f t="shared" si="211"/>
        <v>0</v>
      </c>
      <c r="W1233" s="3">
        <f t="shared" si="212"/>
        <v>990</v>
      </c>
      <c r="X1233" s="5" t="str">
        <f t="shared" si="213"/>
        <v/>
      </c>
      <c r="Y1233" s="5">
        <f>IF(U1233="Open",Lookups!$B$2-B1233,X1233)</f>
        <v>25</v>
      </c>
      <c r="Z1233" t="str">
        <f t="shared" si="214"/>
        <v>OK</v>
      </c>
      <c r="AA1233" t="str">
        <f t="shared" si="215"/>
        <v>2026-08</v>
      </c>
      <c r="AB1233" t="str">
        <f t="shared" si="216"/>
        <v/>
      </c>
      <c r="AC1233" t="str">
        <f t="shared" si="217"/>
        <v>Q3-2026</v>
      </c>
      <c r="AD1233" s="5">
        <f t="shared" si="218"/>
        <v>43</v>
      </c>
      <c r="AE1233" t="str">
        <f t="shared" si="219"/>
        <v>Pipeline</v>
      </c>
    </row>
    <row r="1234" spans="1:31">
      <c r="A1234" t="s">
        <v>1336</v>
      </c>
      <c r="B1234" s="1">
        <v>46150</v>
      </c>
      <c r="C1234" t="s">
        <v>90</v>
      </c>
      <c r="D1234" t="s">
        <v>57</v>
      </c>
      <c r="E1234" t="s">
        <v>160</v>
      </c>
      <c r="F1234" t="s">
        <v>52</v>
      </c>
      <c r="G1234" t="s">
        <v>99</v>
      </c>
      <c r="H1234" t="s">
        <v>47</v>
      </c>
      <c r="I1234" t="s">
        <v>77</v>
      </c>
      <c r="J1234" s="1">
        <v>46232</v>
      </c>
      <c r="K1234" s="1">
        <v>46232</v>
      </c>
      <c r="L1234" s="3">
        <v>6300</v>
      </c>
      <c r="M1234" s="4">
        <v>0.12</v>
      </c>
      <c r="N1234" s="4">
        <v>1</v>
      </c>
      <c r="P1234">
        <v>6</v>
      </c>
      <c r="Q1234" t="str">
        <f>IFERROR(VLOOKUP(E1234,Lookups!$A$5:$B$24,2,FALSE),"Other")</f>
        <v>Email</v>
      </c>
      <c r="R1234" t="str">
        <f>IFERROR(VLOOKUP(F1234,Lookups!$D$5:$F$10,2,FALSE),"Unknown Product")</f>
        <v>NexaCRM Core</v>
      </c>
      <c r="S1234" t="str">
        <f>IFERROR(VLOOKUP(F1234,Lookups!$D$5:$F$10,3,FALSE),"Unknown")</f>
        <v>CRM</v>
      </c>
      <c r="T1234" t="str">
        <f t="shared" si="209"/>
        <v>SMB</v>
      </c>
      <c r="U1234" t="str">
        <f t="shared" si="210"/>
        <v>Won</v>
      </c>
      <c r="V1234" s="3">
        <f t="shared" si="211"/>
        <v>5544</v>
      </c>
      <c r="W1234" s="3">
        <f t="shared" si="212"/>
        <v>0</v>
      </c>
      <c r="X1234" s="5">
        <f t="shared" si="213"/>
        <v>82</v>
      </c>
      <c r="Y1234" s="5">
        <f>IF(U1234="Open",Lookups!$B$2-B1234,X1234)</f>
        <v>82</v>
      </c>
      <c r="Z1234" t="str">
        <f t="shared" si="214"/>
        <v>OK</v>
      </c>
      <c r="AA1234" t="str">
        <f t="shared" si="215"/>
        <v>2026-05</v>
      </c>
      <c r="AB1234" t="str">
        <f t="shared" si="216"/>
        <v>2026-07</v>
      </c>
      <c r="AC1234" t="str">
        <f t="shared" si="217"/>
        <v>Q2-2026</v>
      </c>
      <c r="AD1234" s="5">
        <f t="shared" si="218"/>
        <v>47</v>
      </c>
      <c r="AE1234" t="str">
        <f t="shared" si="219"/>
        <v>Won</v>
      </c>
    </row>
    <row r="1235" spans="1:31">
      <c r="A1235" t="s">
        <v>1337</v>
      </c>
      <c r="B1235" s="1">
        <v>45791</v>
      </c>
      <c r="C1235" t="s">
        <v>56</v>
      </c>
      <c r="D1235" t="s">
        <v>57</v>
      </c>
      <c r="E1235" t="s">
        <v>65</v>
      </c>
      <c r="F1235" t="s">
        <v>52</v>
      </c>
      <c r="G1235" t="s">
        <v>94</v>
      </c>
      <c r="H1235" t="s">
        <v>53</v>
      </c>
      <c r="I1235" t="s">
        <v>77</v>
      </c>
      <c r="J1235" s="1">
        <v>45845</v>
      </c>
      <c r="K1235" s="1">
        <v>45845</v>
      </c>
      <c r="L1235" s="3">
        <v>12300</v>
      </c>
      <c r="M1235" s="4">
        <v>0.08</v>
      </c>
      <c r="N1235" s="4">
        <v>1</v>
      </c>
      <c r="P1235">
        <v>6</v>
      </c>
      <c r="Q1235" t="str">
        <f>IFERROR(VLOOKUP(E1235,Lookups!$A$5:$B$24,2,FALSE),"Other")</f>
        <v>Paid Search</v>
      </c>
      <c r="R1235" t="str">
        <f>IFERROR(VLOOKUP(F1235,Lookups!$D$5:$F$10,2,FALSE),"Unknown Product")</f>
        <v>NexaCRM Core</v>
      </c>
      <c r="S1235" t="str">
        <f>IFERROR(VLOOKUP(F1235,Lookups!$D$5:$F$10,3,FALSE),"Unknown")</f>
        <v>CRM</v>
      </c>
      <c r="T1235" t="str">
        <f t="shared" si="209"/>
        <v>SMB</v>
      </c>
      <c r="U1235" t="str">
        <f t="shared" si="210"/>
        <v>Won</v>
      </c>
      <c r="V1235" s="3">
        <f t="shared" si="211"/>
        <v>11316</v>
      </c>
      <c r="W1235" s="3">
        <f t="shared" si="212"/>
        <v>0</v>
      </c>
      <c r="X1235" s="5">
        <f t="shared" si="213"/>
        <v>54</v>
      </c>
      <c r="Y1235" s="5">
        <f>IF(U1235="Open",Lookups!$B$2-B1235,X1235)</f>
        <v>54</v>
      </c>
      <c r="Z1235" t="str">
        <f t="shared" si="214"/>
        <v>OK</v>
      </c>
      <c r="AA1235" t="str">
        <f t="shared" si="215"/>
        <v>2025-05</v>
      </c>
      <c r="AB1235" t="str">
        <f t="shared" si="216"/>
        <v>2025-07</v>
      </c>
      <c r="AC1235" t="str">
        <f t="shared" si="217"/>
        <v>Q2-2025</v>
      </c>
      <c r="AD1235" s="5">
        <f t="shared" si="218"/>
        <v>51</v>
      </c>
      <c r="AE1235" t="str">
        <f t="shared" si="219"/>
        <v>Won</v>
      </c>
    </row>
    <row r="1236" spans="1:31">
      <c r="A1236" t="s">
        <v>1338</v>
      </c>
      <c r="B1236" s="1">
        <v>45696</v>
      </c>
      <c r="C1236" t="s">
        <v>50</v>
      </c>
      <c r="D1236" t="s">
        <v>43</v>
      </c>
      <c r="E1236" t="s">
        <v>109</v>
      </c>
      <c r="F1236" t="s">
        <v>71</v>
      </c>
      <c r="G1236" t="s">
        <v>72</v>
      </c>
      <c r="H1236" t="s">
        <v>47</v>
      </c>
      <c r="I1236" t="s">
        <v>61</v>
      </c>
      <c r="J1236" s="1">
        <v>45765</v>
      </c>
      <c r="K1236" s="1">
        <v>45765</v>
      </c>
      <c r="L1236" s="3">
        <v>17200</v>
      </c>
      <c r="M1236" s="4">
        <v>0</v>
      </c>
      <c r="N1236" s="4">
        <v>0</v>
      </c>
      <c r="O1236" t="s">
        <v>81</v>
      </c>
      <c r="P1236">
        <v>4</v>
      </c>
      <c r="Q1236" t="str">
        <f>IFERROR(VLOOKUP(E1236,Lookups!$A$5:$B$24,2,FALSE),"Other")</f>
        <v>Outbound</v>
      </c>
      <c r="R1236" t="str">
        <f>IFERROR(VLOOKUP(F1236,Lookups!$D$5:$F$10,2,FALSE),"Unknown Product")</f>
        <v>Marketing Automation</v>
      </c>
      <c r="S1236" t="str">
        <f>IFERROR(VLOOKUP(F1236,Lookups!$D$5:$F$10,3,FALSE),"Unknown")</f>
        <v>Marketing</v>
      </c>
      <c r="T1236" t="str">
        <f t="shared" si="209"/>
        <v>SMB</v>
      </c>
      <c r="U1236" t="str">
        <f t="shared" si="210"/>
        <v>Lost</v>
      </c>
      <c r="V1236" s="3">
        <f t="shared" si="211"/>
        <v>0</v>
      </c>
      <c r="W1236" s="3">
        <f t="shared" si="212"/>
        <v>0</v>
      </c>
      <c r="X1236" s="5">
        <f t="shared" si="213"/>
        <v>69</v>
      </c>
      <c r="Y1236" s="5">
        <f>IF(U1236="Open",Lookups!$B$2-B1236,X1236)</f>
        <v>69</v>
      </c>
      <c r="Z1236" t="str">
        <f t="shared" si="214"/>
        <v>OK</v>
      </c>
      <c r="AA1236" t="str">
        <f t="shared" si="215"/>
        <v>2025-02</v>
      </c>
      <c r="AB1236" t="str">
        <f t="shared" si="216"/>
        <v>2025-04</v>
      </c>
      <c r="AC1236" t="str">
        <f t="shared" si="217"/>
        <v>Q1-2025</v>
      </c>
      <c r="AD1236" s="5">
        <f t="shared" si="218"/>
        <v>43</v>
      </c>
      <c r="AE1236" t="str">
        <f t="shared" si="219"/>
        <v>Lost</v>
      </c>
    </row>
    <row r="1237" spans="1:31">
      <c r="A1237" t="s">
        <v>1339</v>
      </c>
      <c r="B1237" s="1">
        <v>45908</v>
      </c>
      <c r="C1237" t="s">
        <v>86</v>
      </c>
      <c r="D1237" t="s">
        <v>87</v>
      </c>
      <c r="E1237" t="s">
        <v>115</v>
      </c>
      <c r="F1237" t="s">
        <v>59</v>
      </c>
      <c r="G1237" t="s">
        <v>112</v>
      </c>
      <c r="H1237" t="s">
        <v>47</v>
      </c>
      <c r="I1237" t="s">
        <v>77</v>
      </c>
      <c r="J1237" s="1">
        <v>45994</v>
      </c>
      <c r="K1237" s="1">
        <v>45994</v>
      </c>
      <c r="L1237" s="3">
        <v>14400</v>
      </c>
      <c r="M1237" s="4">
        <v>0.12</v>
      </c>
      <c r="N1237" s="4">
        <v>1</v>
      </c>
      <c r="P1237">
        <v>6</v>
      </c>
      <c r="Q1237" t="str">
        <f>IFERROR(VLOOKUP(E1237,Lookups!$A$5:$B$24,2,FALSE),"Other")</f>
        <v>Outbound</v>
      </c>
      <c r="R1237" t="str">
        <f>IFERROR(VLOOKUP(F1237,Lookups!$D$5:$F$10,2,FALSE),"Unknown Product")</f>
        <v>NexaCRM Pro</v>
      </c>
      <c r="S1237" t="str">
        <f>IFERROR(VLOOKUP(F1237,Lookups!$D$5:$F$10,3,FALSE),"Unknown")</f>
        <v>CRM</v>
      </c>
      <c r="T1237" t="str">
        <f t="shared" si="209"/>
        <v>SMB</v>
      </c>
      <c r="U1237" t="str">
        <f t="shared" si="210"/>
        <v>Won</v>
      </c>
      <c r="V1237" s="3">
        <f t="shared" si="211"/>
        <v>12672</v>
      </c>
      <c r="W1237" s="3">
        <f t="shared" si="212"/>
        <v>0</v>
      </c>
      <c r="X1237" s="5">
        <f t="shared" si="213"/>
        <v>86</v>
      </c>
      <c r="Y1237" s="5">
        <f>IF(U1237="Open",Lookups!$B$2-B1237,X1237)</f>
        <v>86</v>
      </c>
      <c r="Z1237" t="str">
        <f t="shared" si="214"/>
        <v>OK</v>
      </c>
      <c r="AA1237" t="str">
        <f t="shared" si="215"/>
        <v>2025-09</v>
      </c>
      <c r="AB1237" t="str">
        <f t="shared" si="216"/>
        <v>2025-12</v>
      </c>
      <c r="AC1237" t="str">
        <f t="shared" si="217"/>
        <v>Q3-2025</v>
      </c>
      <c r="AD1237" s="5">
        <f t="shared" si="218"/>
        <v>48</v>
      </c>
      <c r="AE1237" t="str">
        <f t="shared" si="219"/>
        <v>Won</v>
      </c>
    </row>
    <row r="1238" spans="1:31">
      <c r="A1238" t="s">
        <v>1340</v>
      </c>
      <c r="B1238" s="1">
        <v>45936</v>
      </c>
      <c r="C1238" t="s">
        <v>86</v>
      </c>
      <c r="D1238" t="s">
        <v>87</v>
      </c>
      <c r="E1238" t="s">
        <v>123</v>
      </c>
      <c r="F1238" t="s">
        <v>133</v>
      </c>
      <c r="G1238" t="s">
        <v>94</v>
      </c>
      <c r="H1238" t="s">
        <v>53</v>
      </c>
      <c r="I1238" t="s">
        <v>77</v>
      </c>
      <c r="J1238" s="1">
        <v>45962</v>
      </c>
      <c r="K1238" s="1">
        <v>45962</v>
      </c>
      <c r="L1238" s="3">
        <v>31600</v>
      </c>
      <c r="M1238" s="4">
        <v>0.03</v>
      </c>
      <c r="N1238" s="4">
        <v>1</v>
      </c>
      <c r="P1238">
        <v>6</v>
      </c>
      <c r="Q1238" t="str">
        <f>IFERROR(VLOOKUP(E1238,Lookups!$A$5:$B$24,2,FALSE),"Other")</f>
        <v>Email</v>
      </c>
      <c r="R1238" t="str">
        <f>IFERROR(VLOOKUP(F1238,Lookups!$D$5:$F$10,2,FALSE),"Unknown Product")</f>
        <v>Analytics Plus</v>
      </c>
      <c r="S1238" t="str">
        <f>IFERROR(VLOOKUP(F1238,Lookups!$D$5:$F$10,3,FALSE),"Unknown")</f>
        <v>Analytics</v>
      </c>
      <c r="T1238" t="str">
        <f t="shared" si="209"/>
        <v>Mid-Market</v>
      </c>
      <c r="U1238" t="str">
        <f t="shared" si="210"/>
        <v>Won</v>
      </c>
      <c r="V1238" s="3">
        <f t="shared" si="211"/>
        <v>30652</v>
      </c>
      <c r="W1238" s="3">
        <f t="shared" si="212"/>
        <v>0</v>
      </c>
      <c r="X1238" s="5">
        <f t="shared" si="213"/>
        <v>26</v>
      </c>
      <c r="Y1238" s="5">
        <f>IF(U1238="Open",Lookups!$B$2-B1238,X1238)</f>
        <v>26</v>
      </c>
      <c r="Z1238" t="str">
        <f t="shared" si="214"/>
        <v>OK</v>
      </c>
      <c r="AA1238" t="str">
        <f t="shared" si="215"/>
        <v>2025-10</v>
      </c>
      <c r="AB1238" t="str">
        <f t="shared" si="216"/>
        <v>2025-11</v>
      </c>
      <c r="AC1238" t="str">
        <f t="shared" si="217"/>
        <v>Q4-2025</v>
      </c>
      <c r="AD1238" s="5">
        <f t="shared" si="218"/>
        <v>63</v>
      </c>
      <c r="AE1238" t="str">
        <f t="shared" si="219"/>
        <v>Won</v>
      </c>
    </row>
    <row r="1239" spans="1:31">
      <c r="A1239" t="s">
        <v>1341</v>
      </c>
      <c r="B1239" s="1">
        <v>45985</v>
      </c>
      <c r="C1239" t="s">
        <v>90</v>
      </c>
      <c r="D1239" t="s">
        <v>57</v>
      </c>
      <c r="E1239" t="s">
        <v>107</v>
      </c>
      <c r="F1239" t="s">
        <v>52</v>
      </c>
      <c r="G1239" t="s">
        <v>99</v>
      </c>
      <c r="H1239" t="s">
        <v>47</v>
      </c>
      <c r="I1239" t="s">
        <v>61</v>
      </c>
      <c r="J1239" s="1">
        <v>46070</v>
      </c>
      <c r="K1239" s="1">
        <v>46070</v>
      </c>
      <c r="L1239" s="3">
        <v>9800</v>
      </c>
      <c r="M1239" s="4">
        <v>0</v>
      </c>
      <c r="N1239" s="4">
        <v>0</v>
      </c>
      <c r="O1239" t="s">
        <v>81</v>
      </c>
      <c r="P1239">
        <v>3</v>
      </c>
      <c r="Q1239" t="str">
        <f>IFERROR(VLOOKUP(E1239,Lookups!$A$5:$B$24,2,FALSE),"Other")</f>
        <v>Referral</v>
      </c>
      <c r="R1239" t="str">
        <f>IFERROR(VLOOKUP(F1239,Lookups!$D$5:$F$10,2,FALSE),"Unknown Product")</f>
        <v>NexaCRM Core</v>
      </c>
      <c r="S1239" t="str">
        <f>IFERROR(VLOOKUP(F1239,Lookups!$D$5:$F$10,3,FALSE),"Unknown")</f>
        <v>CRM</v>
      </c>
      <c r="T1239" t="str">
        <f t="shared" si="209"/>
        <v>SMB</v>
      </c>
      <c r="U1239" t="str">
        <f t="shared" si="210"/>
        <v>Lost</v>
      </c>
      <c r="V1239" s="3">
        <f t="shared" si="211"/>
        <v>0</v>
      </c>
      <c r="W1239" s="3">
        <f t="shared" si="212"/>
        <v>0</v>
      </c>
      <c r="X1239" s="5">
        <f t="shared" si="213"/>
        <v>85</v>
      </c>
      <c r="Y1239" s="5">
        <f>IF(U1239="Open",Lookups!$B$2-B1239,X1239)</f>
        <v>85</v>
      </c>
      <c r="Z1239" t="str">
        <f t="shared" si="214"/>
        <v>OK</v>
      </c>
      <c r="AA1239" t="str">
        <f t="shared" si="215"/>
        <v>2025-11</v>
      </c>
      <c r="AB1239" t="str">
        <f t="shared" si="216"/>
        <v>2026-02</v>
      </c>
      <c r="AC1239" t="str">
        <f t="shared" si="217"/>
        <v>Q4-2025</v>
      </c>
      <c r="AD1239" s="5">
        <f t="shared" si="218"/>
        <v>54</v>
      </c>
      <c r="AE1239" t="str">
        <f t="shared" si="219"/>
        <v>Lost</v>
      </c>
    </row>
    <row r="1240" spans="1:31">
      <c r="A1240" t="s">
        <v>1342</v>
      </c>
      <c r="B1240" s="1">
        <v>45836</v>
      </c>
      <c r="C1240" t="s">
        <v>148</v>
      </c>
      <c r="D1240" t="s">
        <v>43</v>
      </c>
      <c r="E1240" t="s">
        <v>109</v>
      </c>
      <c r="F1240" t="s">
        <v>52</v>
      </c>
      <c r="G1240" t="s">
        <v>112</v>
      </c>
      <c r="H1240" t="s">
        <v>47</v>
      </c>
      <c r="I1240" t="s">
        <v>48</v>
      </c>
      <c r="J1240" s="1">
        <v>46185</v>
      </c>
      <c r="K1240" s="1"/>
      <c r="L1240" s="3">
        <v>10300</v>
      </c>
      <c r="M1240" s="4">
        <v>0</v>
      </c>
      <c r="N1240" s="4">
        <v>0.85</v>
      </c>
      <c r="P1240">
        <v>5</v>
      </c>
      <c r="Q1240" t="str">
        <f>IFERROR(VLOOKUP(E1240,Lookups!$A$5:$B$24,2,FALSE),"Other")</f>
        <v>Outbound</v>
      </c>
      <c r="R1240" t="str">
        <f>IFERROR(VLOOKUP(F1240,Lookups!$D$5:$F$10,2,FALSE),"Unknown Product")</f>
        <v>NexaCRM Core</v>
      </c>
      <c r="S1240" t="str">
        <f>IFERROR(VLOOKUP(F1240,Lookups!$D$5:$F$10,3,FALSE),"Unknown")</f>
        <v>CRM</v>
      </c>
      <c r="T1240" t="str">
        <f t="shared" si="209"/>
        <v>SMB</v>
      </c>
      <c r="U1240" t="str">
        <f t="shared" si="210"/>
        <v>Open</v>
      </c>
      <c r="V1240" s="3">
        <f t="shared" si="211"/>
        <v>0</v>
      </c>
      <c r="W1240" s="3">
        <f t="shared" si="212"/>
        <v>8755</v>
      </c>
      <c r="X1240" s="5" t="str">
        <f t="shared" si="213"/>
        <v/>
      </c>
      <c r="Y1240" s="5">
        <f>IF(U1240="Open",Lookups!$B$2-B1240,X1240)</f>
        <v>430</v>
      </c>
      <c r="Z1240" t="str">
        <f t="shared" si="214"/>
        <v>STALE</v>
      </c>
      <c r="AA1240" t="str">
        <f t="shared" si="215"/>
        <v>2025-06</v>
      </c>
      <c r="AB1240" t="str">
        <f t="shared" si="216"/>
        <v/>
      </c>
      <c r="AC1240" t="str">
        <f t="shared" si="217"/>
        <v>Q2-2025</v>
      </c>
      <c r="AD1240" s="5">
        <f t="shared" si="218"/>
        <v>48</v>
      </c>
      <c r="AE1240" t="str">
        <f t="shared" si="219"/>
        <v>Commit</v>
      </c>
    </row>
    <row r="1241" spans="1:31">
      <c r="A1241" t="s">
        <v>1343</v>
      </c>
      <c r="B1241" s="1">
        <v>46081</v>
      </c>
      <c r="C1241" t="s">
        <v>69</v>
      </c>
      <c r="D1241" t="s">
        <v>57</v>
      </c>
      <c r="E1241" t="s">
        <v>166</v>
      </c>
      <c r="F1241" t="s">
        <v>52</v>
      </c>
      <c r="G1241" t="s">
        <v>94</v>
      </c>
      <c r="H1241" t="s">
        <v>47</v>
      </c>
      <c r="I1241" t="s">
        <v>61</v>
      </c>
      <c r="J1241" s="1">
        <v>46150</v>
      </c>
      <c r="K1241" s="1">
        <v>46150</v>
      </c>
      <c r="L1241" s="3">
        <v>4700</v>
      </c>
      <c r="M1241" s="4">
        <v>0</v>
      </c>
      <c r="N1241" s="4">
        <v>0</v>
      </c>
      <c r="O1241" t="s">
        <v>102</v>
      </c>
      <c r="P1241">
        <v>5</v>
      </c>
      <c r="Q1241" t="str">
        <f>IFERROR(VLOOKUP(E1241,Lookups!$A$5:$B$24,2,FALSE),"Other")</f>
        <v>Referral</v>
      </c>
      <c r="R1241" t="str">
        <f>IFERROR(VLOOKUP(F1241,Lookups!$D$5:$F$10,2,FALSE),"Unknown Product")</f>
        <v>NexaCRM Core</v>
      </c>
      <c r="S1241" t="str">
        <f>IFERROR(VLOOKUP(F1241,Lookups!$D$5:$F$10,3,FALSE),"Unknown")</f>
        <v>CRM</v>
      </c>
      <c r="T1241" t="str">
        <f t="shared" si="209"/>
        <v>SMB</v>
      </c>
      <c r="U1241" t="str">
        <f t="shared" si="210"/>
        <v>Lost</v>
      </c>
      <c r="V1241" s="3">
        <f t="shared" si="211"/>
        <v>0</v>
      </c>
      <c r="W1241" s="3">
        <f t="shared" si="212"/>
        <v>0</v>
      </c>
      <c r="X1241" s="5">
        <f t="shared" si="213"/>
        <v>69</v>
      </c>
      <c r="Y1241" s="5">
        <f>IF(U1241="Open",Lookups!$B$2-B1241,X1241)</f>
        <v>69</v>
      </c>
      <c r="Z1241" t="str">
        <f t="shared" si="214"/>
        <v>OK</v>
      </c>
      <c r="AA1241" t="str">
        <f t="shared" si="215"/>
        <v>2026-02</v>
      </c>
      <c r="AB1241" t="str">
        <f t="shared" si="216"/>
        <v>2026-05</v>
      </c>
      <c r="AC1241" t="str">
        <f t="shared" si="217"/>
        <v>Q1-2026</v>
      </c>
      <c r="AD1241" s="5">
        <f t="shared" si="218"/>
        <v>54</v>
      </c>
      <c r="AE1241" t="str">
        <f t="shared" si="219"/>
        <v>Lost</v>
      </c>
    </row>
    <row r="1242" spans="1:31">
      <c r="A1242" t="s">
        <v>1344</v>
      </c>
      <c r="B1242" s="1">
        <v>46242</v>
      </c>
      <c r="C1242" t="s">
        <v>86</v>
      </c>
      <c r="D1242" t="s">
        <v>87</v>
      </c>
      <c r="E1242" t="s">
        <v>138</v>
      </c>
      <c r="F1242" t="s">
        <v>45</v>
      </c>
      <c r="G1242" t="s">
        <v>72</v>
      </c>
      <c r="H1242" t="s">
        <v>47</v>
      </c>
      <c r="I1242" t="s">
        <v>77</v>
      </c>
      <c r="J1242" s="1">
        <v>46266</v>
      </c>
      <c r="K1242" s="1">
        <v>46266</v>
      </c>
      <c r="L1242" s="3">
        <v>19600</v>
      </c>
      <c r="M1242" s="4">
        <v>0.03</v>
      </c>
      <c r="N1242" s="4">
        <v>1</v>
      </c>
      <c r="P1242">
        <v>6</v>
      </c>
      <c r="Q1242" t="str">
        <f>IFERROR(VLOOKUP(E1242,Lookups!$A$5:$B$24,2,FALSE),"Other")</f>
        <v>Organic Search</v>
      </c>
      <c r="R1242" t="str">
        <f>IFERROR(VLOOKUP(F1242,Lookups!$D$5:$F$10,2,FALSE),"Unknown Product")</f>
        <v>Service Cloud</v>
      </c>
      <c r="S1242" t="str">
        <f>IFERROR(VLOOKUP(F1242,Lookups!$D$5:$F$10,3,FALSE),"Unknown")</f>
        <v>Customer Service</v>
      </c>
      <c r="T1242" t="str">
        <f t="shared" si="209"/>
        <v>SMB</v>
      </c>
      <c r="U1242" t="str">
        <f t="shared" si="210"/>
        <v>Won</v>
      </c>
      <c r="V1242" s="3">
        <f t="shared" si="211"/>
        <v>19012</v>
      </c>
      <c r="W1242" s="3">
        <f t="shared" si="212"/>
        <v>0</v>
      </c>
      <c r="X1242" s="5">
        <f t="shared" si="213"/>
        <v>24</v>
      </c>
      <c r="Y1242" s="5">
        <f>IF(U1242="Open",Lookups!$B$2-B1242,X1242)</f>
        <v>24</v>
      </c>
      <c r="Z1242" t="str">
        <f t="shared" si="214"/>
        <v>OK</v>
      </c>
      <c r="AA1242" t="str">
        <f t="shared" si="215"/>
        <v>2026-08</v>
      </c>
      <c r="AB1242" t="str">
        <f t="shared" si="216"/>
        <v>2026-09</v>
      </c>
      <c r="AC1242" t="str">
        <f t="shared" si="217"/>
        <v>Q3-2026</v>
      </c>
      <c r="AD1242" s="5">
        <f t="shared" si="218"/>
        <v>49</v>
      </c>
      <c r="AE1242" t="str">
        <f t="shared" si="219"/>
        <v>Won</v>
      </c>
    </row>
    <row r="1243" spans="1:31">
      <c r="A1243" t="s">
        <v>1345</v>
      </c>
      <c r="B1243" s="1">
        <v>45855</v>
      </c>
      <c r="C1243" t="s">
        <v>148</v>
      </c>
      <c r="D1243" t="s">
        <v>43</v>
      </c>
      <c r="E1243" t="s">
        <v>44</v>
      </c>
      <c r="F1243" t="s">
        <v>45</v>
      </c>
      <c r="G1243" t="s">
        <v>76</v>
      </c>
      <c r="H1243" t="s">
        <v>53</v>
      </c>
      <c r="I1243" t="s">
        <v>48</v>
      </c>
      <c r="J1243" s="1">
        <v>46224</v>
      </c>
      <c r="K1243" s="1"/>
      <c r="L1243" s="3">
        <v>32300</v>
      </c>
      <c r="M1243" s="4">
        <v>0</v>
      </c>
      <c r="N1243" s="4">
        <v>0.85</v>
      </c>
      <c r="P1243">
        <v>5</v>
      </c>
      <c r="Q1243" t="str">
        <f>IFERROR(VLOOKUP(E1243,Lookups!$A$5:$B$24,2,FALSE),"Other")</f>
        <v>Organic Search</v>
      </c>
      <c r="R1243" t="str">
        <f>IFERROR(VLOOKUP(F1243,Lookups!$D$5:$F$10,2,FALSE),"Unknown Product")</f>
        <v>Service Cloud</v>
      </c>
      <c r="S1243" t="str">
        <f>IFERROR(VLOOKUP(F1243,Lookups!$D$5:$F$10,3,FALSE),"Unknown")</f>
        <v>Customer Service</v>
      </c>
      <c r="T1243" t="str">
        <f t="shared" si="209"/>
        <v>Mid-Market</v>
      </c>
      <c r="U1243" t="str">
        <f t="shared" si="210"/>
        <v>Open</v>
      </c>
      <c r="V1243" s="3">
        <f t="shared" si="211"/>
        <v>0</v>
      </c>
      <c r="W1243" s="3">
        <f t="shared" si="212"/>
        <v>27455</v>
      </c>
      <c r="X1243" s="5" t="str">
        <f t="shared" si="213"/>
        <v/>
      </c>
      <c r="Y1243" s="5">
        <f>IF(U1243="Open",Lookups!$B$2-B1243,X1243)</f>
        <v>411</v>
      </c>
      <c r="Z1243" t="str">
        <f t="shared" si="214"/>
        <v>STALE</v>
      </c>
      <c r="AA1243" t="str">
        <f t="shared" si="215"/>
        <v>2025-07</v>
      </c>
      <c r="AB1243" t="str">
        <f t="shared" si="216"/>
        <v/>
      </c>
      <c r="AC1243" t="str">
        <f t="shared" si="217"/>
        <v>Q3-2025</v>
      </c>
      <c r="AD1243" s="5">
        <f t="shared" si="218"/>
        <v>65</v>
      </c>
      <c r="AE1243" t="str">
        <f t="shared" si="219"/>
        <v>Commit</v>
      </c>
    </row>
    <row r="1244" spans="1:31">
      <c r="A1244" t="s">
        <v>1346</v>
      </c>
      <c r="B1244" s="1">
        <v>45676</v>
      </c>
      <c r="C1244" t="s">
        <v>148</v>
      </c>
      <c r="D1244" t="s">
        <v>43</v>
      </c>
      <c r="E1244" t="s">
        <v>146</v>
      </c>
      <c r="F1244" t="s">
        <v>52</v>
      </c>
      <c r="G1244" t="s">
        <v>94</v>
      </c>
      <c r="H1244" t="s">
        <v>53</v>
      </c>
      <c r="I1244" t="s">
        <v>77</v>
      </c>
      <c r="J1244" s="1">
        <v>45738</v>
      </c>
      <c r="K1244" s="1">
        <v>45738</v>
      </c>
      <c r="L1244" s="3">
        <v>17200</v>
      </c>
      <c r="M1244" s="4">
        <v>0.08</v>
      </c>
      <c r="N1244" s="4">
        <v>1</v>
      </c>
      <c r="P1244">
        <v>6</v>
      </c>
      <c r="Q1244" t="str">
        <f>IFERROR(VLOOKUP(E1244,Lookups!$A$5:$B$24,2,FALSE),"Other")</f>
        <v>LinkedIn</v>
      </c>
      <c r="R1244" t="str">
        <f>IFERROR(VLOOKUP(F1244,Lookups!$D$5:$F$10,2,FALSE),"Unknown Product")</f>
        <v>NexaCRM Core</v>
      </c>
      <c r="S1244" t="str">
        <f>IFERROR(VLOOKUP(F1244,Lookups!$D$5:$F$10,3,FALSE),"Unknown")</f>
        <v>CRM</v>
      </c>
      <c r="T1244" t="str">
        <f t="shared" si="209"/>
        <v>SMB</v>
      </c>
      <c r="U1244" t="str">
        <f t="shared" si="210"/>
        <v>Won</v>
      </c>
      <c r="V1244" s="3">
        <f t="shared" si="211"/>
        <v>15824</v>
      </c>
      <c r="W1244" s="3">
        <f t="shared" si="212"/>
        <v>0</v>
      </c>
      <c r="X1244" s="5">
        <f t="shared" si="213"/>
        <v>62</v>
      </c>
      <c r="Y1244" s="5">
        <f>IF(U1244="Open",Lookups!$B$2-B1244,X1244)</f>
        <v>62</v>
      </c>
      <c r="Z1244" t="str">
        <f t="shared" si="214"/>
        <v>OK</v>
      </c>
      <c r="AA1244" t="str">
        <f t="shared" si="215"/>
        <v>2025-01</v>
      </c>
      <c r="AB1244" t="str">
        <f t="shared" si="216"/>
        <v>2025-03</v>
      </c>
      <c r="AC1244" t="str">
        <f t="shared" si="217"/>
        <v>Q1-2025</v>
      </c>
      <c r="AD1244" s="5">
        <f t="shared" si="218"/>
        <v>51</v>
      </c>
      <c r="AE1244" t="str">
        <f t="shared" si="219"/>
        <v>Won</v>
      </c>
    </row>
    <row r="1245" spans="1:31">
      <c r="A1245" t="s">
        <v>1347</v>
      </c>
      <c r="B1245" s="1">
        <v>45677</v>
      </c>
      <c r="C1245" t="s">
        <v>42</v>
      </c>
      <c r="D1245" t="s">
        <v>43</v>
      </c>
      <c r="E1245" t="s">
        <v>98</v>
      </c>
      <c r="F1245" t="s">
        <v>52</v>
      </c>
      <c r="G1245" t="s">
        <v>99</v>
      </c>
      <c r="H1245" t="s">
        <v>47</v>
      </c>
      <c r="I1245" t="s">
        <v>61</v>
      </c>
      <c r="J1245" s="1">
        <v>45721</v>
      </c>
      <c r="K1245" s="1">
        <v>45721</v>
      </c>
      <c r="L1245" s="3">
        <v>6300</v>
      </c>
      <c r="M1245" s="4">
        <v>0</v>
      </c>
      <c r="N1245" s="4">
        <v>0</v>
      </c>
      <c r="O1245" t="s">
        <v>102</v>
      </c>
      <c r="P1245">
        <v>3</v>
      </c>
      <c r="Q1245" t="str">
        <f>IFERROR(VLOOKUP(E1245,Lookups!$A$5:$B$24,2,FALSE),"Other")</f>
        <v>Outbound</v>
      </c>
      <c r="R1245" t="str">
        <f>IFERROR(VLOOKUP(F1245,Lookups!$D$5:$F$10,2,FALSE),"Unknown Product")</f>
        <v>NexaCRM Core</v>
      </c>
      <c r="S1245" t="str">
        <f>IFERROR(VLOOKUP(F1245,Lookups!$D$5:$F$10,3,FALSE),"Unknown")</f>
        <v>CRM</v>
      </c>
      <c r="T1245" t="str">
        <f t="shared" si="209"/>
        <v>SMB</v>
      </c>
      <c r="U1245" t="str">
        <f t="shared" si="210"/>
        <v>Lost</v>
      </c>
      <c r="V1245" s="3">
        <f t="shared" si="211"/>
        <v>0</v>
      </c>
      <c r="W1245" s="3">
        <f t="shared" si="212"/>
        <v>0</v>
      </c>
      <c r="X1245" s="5">
        <f t="shared" si="213"/>
        <v>44</v>
      </c>
      <c r="Y1245" s="5">
        <f>IF(U1245="Open",Lookups!$B$2-B1245,X1245)</f>
        <v>44</v>
      </c>
      <c r="Z1245" t="str">
        <f t="shared" si="214"/>
        <v>OK</v>
      </c>
      <c r="AA1245" t="str">
        <f t="shared" si="215"/>
        <v>2025-01</v>
      </c>
      <c r="AB1245" t="str">
        <f t="shared" si="216"/>
        <v>2025-03</v>
      </c>
      <c r="AC1245" t="str">
        <f t="shared" si="217"/>
        <v>Q1-2025</v>
      </c>
      <c r="AD1245" s="5">
        <f t="shared" si="218"/>
        <v>43</v>
      </c>
      <c r="AE1245" t="str">
        <f t="shared" si="219"/>
        <v>Lost</v>
      </c>
    </row>
    <row r="1246" spans="1:31">
      <c r="A1246" t="s">
        <v>1348</v>
      </c>
      <c r="B1246" s="1">
        <v>45669</v>
      </c>
      <c r="C1246" t="s">
        <v>86</v>
      </c>
      <c r="D1246" t="s">
        <v>87</v>
      </c>
      <c r="E1246" t="s">
        <v>88</v>
      </c>
      <c r="F1246" t="s">
        <v>71</v>
      </c>
      <c r="G1246" t="s">
        <v>94</v>
      </c>
      <c r="H1246" t="s">
        <v>84</v>
      </c>
      <c r="I1246" t="s">
        <v>61</v>
      </c>
      <c r="J1246" s="1">
        <v>45726</v>
      </c>
      <c r="K1246" s="1">
        <v>45726</v>
      </c>
      <c r="L1246" s="3">
        <v>45900</v>
      </c>
      <c r="M1246" s="4">
        <v>0</v>
      </c>
      <c r="N1246" s="4">
        <v>0</v>
      </c>
      <c r="O1246" t="s">
        <v>79</v>
      </c>
      <c r="P1246">
        <v>4</v>
      </c>
      <c r="Q1246" t="str">
        <f>IFERROR(VLOOKUP(E1246,Lookups!$A$5:$B$24,2,FALSE),"Other")</f>
        <v>Other</v>
      </c>
      <c r="R1246" t="str">
        <f>IFERROR(VLOOKUP(F1246,Lookups!$D$5:$F$10,2,FALSE),"Unknown Product")</f>
        <v>Marketing Automation</v>
      </c>
      <c r="S1246" t="str">
        <f>IFERROR(VLOOKUP(F1246,Lookups!$D$5:$F$10,3,FALSE),"Unknown")</f>
        <v>Marketing</v>
      </c>
      <c r="T1246" t="str">
        <f t="shared" si="209"/>
        <v>Mid-Market</v>
      </c>
      <c r="U1246" t="str">
        <f t="shared" si="210"/>
        <v>Lost</v>
      </c>
      <c r="V1246" s="3">
        <f t="shared" si="211"/>
        <v>0</v>
      </c>
      <c r="W1246" s="3">
        <f t="shared" si="212"/>
        <v>0</v>
      </c>
      <c r="X1246" s="5">
        <f t="shared" si="213"/>
        <v>57</v>
      </c>
      <c r="Y1246" s="5">
        <f>IF(U1246="Open",Lookups!$B$2-B1246,X1246)</f>
        <v>57</v>
      </c>
      <c r="Z1246" t="str">
        <f t="shared" si="214"/>
        <v>OK</v>
      </c>
      <c r="AA1246" t="str">
        <f t="shared" si="215"/>
        <v>2025-01</v>
      </c>
      <c r="AB1246" t="str">
        <f t="shared" si="216"/>
        <v>2025-03</v>
      </c>
      <c r="AC1246" t="str">
        <f t="shared" si="217"/>
        <v>Q1-2025</v>
      </c>
      <c r="AD1246" s="5">
        <f t="shared" si="218"/>
        <v>67</v>
      </c>
      <c r="AE1246" t="str">
        <f t="shared" si="219"/>
        <v>Lost</v>
      </c>
    </row>
    <row r="1247" spans="1:31">
      <c r="A1247" t="s">
        <v>1349</v>
      </c>
      <c r="B1247" s="1">
        <v>46177</v>
      </c>
      <c r="C1247" t="s">
        <v>148</v>
      </c>
      <c r="D1247" t="s">
        <v>43</v>
      </c>
      <c r="E1247" t="s">
        <v>115</v>
      </c>
      <c r="F1247" t="s">
        <v>59</v>
      </c>
      <c r="G1247" t="s">
        <v>94</v>
      </c>
      <c r="H1247" t="s">
        <v>47</v>
      </c>
      <c r="I1247" t="s">
        <v>77</v>
      </c>
      <c r="J1247" s="1">
        <v>46196</v>
      </c>
      <c r="K1247" s="1">
        <v>46196</v>
      </c>
      <c r="L1247" s="3">
        <v>15000</v>
      </c>
      <c r="M1247" s="4">
        <v>0</v>
      </c>
      <c r="N1247" s="4">
        <v>1</v>
      </c>
      <c r="P1247">
        <v>6</v>
      </c>
      <c r="Q1247" t="str">
        <f>IFERROR(VLOOKUP(E1247,Lookups!$A$5:$B$24,2,FALSE),"Other")</f>
        <v>Outbound</v>
      </c>
      <c r="R1247" t="str">
        <f>IFERROR(VLOOKUP(F1247,Lookups!$D$5:$F$10,2,FALSE),"Unknown Product")</f>
        <v>NexaCRM Pro</v>
      </c>
      <c r="S1247" t="str">
        <f>IFERROR(VLOOKUP(F1247,Lookups!$D$5:$F$10,3,FALSE),"Unknown")</f>
        <v>CRM</v>
      </c>
      <c r="T1247" t="str">
        <f t="shared" si="209"/>
        <v>SMB</v>
      </c>
      <c r="U1247" t="str">
        <f t="shared" si="210"/>
        <v>Won</v>
      </c>
      <c r="V1247" s="3">
        <f t="shared" si="211"/>
        <v>15000</v>
      </c>
      <c r="W1247" s="3">
        <f t="shared" si="212"/>
        <v>0</v>
      </c>
      <c r="X1247" s="5">
        <f t="shared" si="213"/>
        <v>19</v>
      </c>
      <c r="Y1247" s="5">
        <f>IF(U1247="Open",Lookups!$B$2-B1247,X1247)</f>
        <v>19</v>
      </c>
      <c r="Z1247" t="str">
        <f t="shared" si="214"/>
        <v>OK</v>
      </c>
      <c r="AA1247" t="str">
        <f t="shared" si="215"/>
        <v>2026-06</v>
      </c>
      <c r="AB1247" t="str">
        <f t="shared" si="216"/>
        <v>2026-06</v>
      </c>
      <c r="AC1247" t="str">
        <f t="shared" si="217"/>
        <v>Q2-2026</v>
      </c>
      <c r="AD1247" s="5">
        <f t="shared" si="218"/>
        <v>43</v>
      </c>
      <c r="AE1247" t="str">
        <f t="shared" si="219"/>
        <v>Won</v>
      </c>
    </row>
    <row r="1248" spans="1:31">
      <c r="A1248" t="s">
        <v>1350</v>
      </c>
      <c r="B1248" s="1">
        <v>46083</v>
      </c>
      <c r="C1248" t="s">
        <v>50</v>
      </c>
      <c r="D1248" t="s">
        <v>43</v>
      </c>
      <c r="E1248" t="s">
        <v>138</v>
      </c>
      <c r="F1248" t="s">
        <v>133</v>
      </c>
      <c r="G1248" t="s">
        <v>112</v>
      </c>
      <c r="H1248" t="s">
        <v>84</v>
      </c>
      <c r="I1248" t="s">
        <v>77</v>
      </c>
      <c r="J1248" s="1">
        <v>46219</v>
      </c>
      <c r="K1248" s="1">
        <v>46219</v>
      </c>
      <c r="L1248" s="3">
        <v>46900</v>
      </c>
      <c r="M1248" s="4">
        <v>0</v>
      </c>
      <c r="N1248" s="4">
        <v>1</v>
      </c>
      <c r="P1248">
        <v>6</v>
      </c>
      <c r="Q1248" t="str">
        <f>IFERROR(VLOOKUP(E1248,Lookups!$A$5:$B$24,2,FALSE),"Other")</f>
        <v>Organic Search</v>
      </c>
      <c r="R1248" t="str">
        <f>IFERROR(VLOOKUP(F1248,Lookups!$D$5:$F$10,2,FALSE),"Unknown Product")</f>
        <v>Analytics Plus</v>
      </c>
      <c r="S1248" t="str">
        <f>IFERROR(VLOOKUP(F1248,Lookups!$D$5:$F$10,3,FALSE),"Unknown")</f>
        <v>Analytics</v>
      </c>
      <c r="T1248" t="str">
        <f t="shared" si="209"/>
        <v>Mid-Market</v>
      </c>
      <c r="U1248" t="str">
        <f t="shared" si="210"/>
        <v>Won</v>
      </c>
      <c r="V1248" s="3">
        <f t="shared" si="211"/>
        <v>46900</v>
      </c>
      <c r="W1248" s="3">
        <f t="shared" si="212"/>
        <v>0</v>
      </c>
      <c r="X1248" s="5">
        <f t="shared" si="213"/>
        <v>136</v>
      </c>
      <c r="Y1248" s="5">
        <f>IF(U1248="Open",Lookups!$B$2-B1248,X1248)</f>
        <v>136</v>
      </c>
      <c r="Z1248" t="str">
        <f t="shared" si="214"/>
        <v>OK</v>
      </c>
      <c r="AA1248" t="str">
        <f t="shared" si="215"/>
        <v>2026-03</v>
      </c>
      <c r="AB1248" t="str">
        <f t="shared" si="216"/>
        <v>2026-07</v>
      </c>
      <c r="AC1248" t="str">
        <f t="shared" si="217"/>
        <v>Q1-2026</v>
      </c>
      <c r="AD1248" s="5">
        <f t="shared" si="218"/>
        <v>78</v>
      </c>
      <c r="AE1248" t="str">
        <f t="shared" si="219"/>
        <v>Won</v>
      </c>
    </row>
    <row r="1249" spans="1:31">
      <c r="A1249" t="s">
        <v>1351</v>
      </c>
      <c r="B1249" s="1">
        <v>45740</v>
      </c>
      <c r="C1249" t="s">
        <v>42</v>
      </c>
      <c r="D1249" t="s">
        <v>43</v>
      </c>
      <c r="E1249" t="s">
        <v>70</v>
      </c>
      <c r="F1249" t="s">
        <v>52</v>
      </c>
      <c r="G1249" t="s">
        <v>94</v>
      </c>
      <c r="H1249" t="s">
        <v>47</v>
      </c>
      <c r="I1249" t="s">
        <v>61</v>
      </c>
      <c r="J1249" s="1">
        <v>45762</v>
      </c>
      <c r="K1249" s="1">
        <v>45762</v>
      </c>
      <c r="L1249" s="3">
        <v>10300</v>
      </c>
      <c r="M1249" s="4">
        <v>0</v>
      </c>
      <c r="N1249" s="4">
        <v>0</v>
      </c>
      <c r="O1249" t="s">
        <v>79</v>
      </c>
      <c r="P1249">
        <v>2</v>
      </c>
      <c r="Q1249" t="str">
        <f>IFERROR(VLOOKUP(E1249,Lookups!$A$5:$B$24,2,FALSE),"Other")</f>
        <v>LinkedIn</v>
      </c>
      <c r="R1249" t="str">
        <f>IFERROR(VLOOKUP(F1249,Lookups!$D$5:$F$10,2,FALSE),"Unknown Product")</f>
        <v>NexaCRM Core</v>
      </c>
      <c r="S1249" t="str">
        <f>IFERROR(VLOOKUP(F1249,Lookups!$D$5:$F$10,3,FALSE),"Unknown")</f>
        <v>CRM</v>
      </c>
      <c r="T1249" t="str">
        <f t="shared" si="209"/>
        <v>SMB</v>
      </c>
      <c r="U1249" t="str">
        <f t="shared" si="210"/>
        <v>Lost</v>
      </c>
      <c r="V1249" s="3">
        <f t="shared" si="211"/>
        <v>0</v>
      </c>
      <c r="W1249" s="3">
        <f t="shared" si="212"/>
        <v>0</v>
      </c>
      <c r="X1249" s="5">
        <f t="shared" si="213"/>
        <v>22</v>
      </c>
      <c r="Y1249" s="5">
        <f>IF(U1249="Open",Lookups!$B$2-B1249,X1249)</f>
        <v>22</v>
      </c>
      <c r="Z1249" t="str">
        <f t="shared" si="214"/>
        <v>OK</v>
      </c>
      <c r="AA1249" t="str">
        <f t="shared" si="215"/>
        <v>2025-03</v>
      </c>
      <c r="AB1249" t="str">
        <f t="shared" si="216"/>
        <v>2025-04</v>
      </c>
      <c r="AC1249" t="str">
        <f t="shared" si="217"/>
        <v>Q1-2025</v>
      </c>
      <c r="AD1249" s="5">
        <f t="shared" si="218"/>
        <v>43</v>
      </c>
      <c r="AE1249" t="str">
        <f t="shared" si="219"/>
        <v>Lost</v>
      </c>
    </row>
    <row r="1250" spans="1:31">
      <c r="A1250" t="s">
        <v>1352</v>
      </c>
      <c r="B1250" s="1">
        <v>45969</v>
      </c>
      <c r="C1250" t="s">
        <v>50</v>
      </c>
      <c r="D1250" t="s">
        <v>43</v>
      </c>
      <c r="E1250" t="s">
        <v>160</v>
      </c>
      <c r="F1250" t="s">
        <v>133</v>
      </c>
      <c r="G1250" t="s">
        <v>112</v>
      </c>
      <c r="H1250" t="s">
        <v>47</v>
      </c>
      <c r="I1250" t="s">
        <v>61</v>
      </c>
      <c r="J1250" s="1">
        <v>46013</v>
      </c>
      <c r="K1250" s="1">
        <v>46013</v>
      </c>
      <c r="L1250" s="3">
        <v>28400</v>
      </c>
      <c r="M1250" s="4">
        <v>0</v>
      </c>
      <c r="N1250" s="4">
        <v>0</v>
      </c>
      <c r="O1250" t="s">
        <v>62</v>
      </c>
      <c r="P1250">
        <v>2</v>
      </c>
      <c r="Q1250" t="str">
        <f>IFERROR(VLOOKUP(E1250,Lookups!$A$5:$B$24,2,FALSE),"Other")</f>
        <v>Email</v>
      </c>
      <c r="R1250" t="str">
        <f>IFERROR(VLOOKUP(F1250,Lookups!$D$5:$F$10,2,FALSE),"Unknown Product")</f>
        <v>Analytics Plus</v>
      </c>
      <c r="S1250" t="str">
        <f>IFERROR(VLOOKUP(F1250,Lookups!$D$5:$F$10,3,FALSE),"Unknown")</f>
        <v>Analytics</v>
      </c>
      <c r="T1250" t="str">
        <f t="shared" si="209"/>
        <v>Mid-Market</v>
      </c>
      <c r="U1250" t="str">
        <f t="shared" si="210"/>
        <v>Lost</v>
      </c>
      <c r="V1250" s="3">
        <f t="shared" si="211"/>
        <v>0</v>
      </c>
      <c r="W1250" s="3">
        <f t="shared" si="212"/>
        <v>0</v>
      </c>
      <c r="X1250" s="5">
        <f t="shared" si="213"/>
        <v>44</v>
      </c>
      <c r="Y1250" s="5">
        <f>IF(U1250="Open",Lookups!$B$2-B1250,X1250)</f>
        <v>44</v>
      </c>
      <c r="Z1250" t="str">
        <f t="shared" si="214"/>
        <v>OK</v>
      </c>
      <c r="AA1250" t="str">
        <f t="shared" si="215"/>
        <v>2025-11</v>
      </c>
      <c r="AB1250" t="str">
        <f t="shared" si="216"/>
        <v>2025-12</v>
      </c>
      <c r="AC1250" t="str">
        <f t="shared" si="217"/>
        <v>Q4-2025</v>
      </c>
      <c r="AD1250" s="5">
        <f t="shared" si="218"/>
        <v>60</v>
      </c>
      <c r="AE1250" t="str">
        <f t="shared" si="219"/>
        <v>Lost</v>
      </c>
    </row>
    <row r="1251" spans="1:31">
      <c r="A1251" t="s">
        <v>1353</v>
      </c>
      <c r="B1251" s="1">
        <v>46073</v>
      </c>
      <c r="C1251" t="s">
        <v>148</v>
      </c>
      <c r="D1251" t="s">
        <v>43</v>
      </c>
      <c r="E1251" t="s">
        <v>138</v>
      </c>
      <c r="F1251" t="s">
        <v>52</v>
      </c>
      <c r="G1251" t="s">
        <v>94</v>
      </c>
      <c r="H1251" t="s">
        <v>53</v>
      </c>
      <c r="I1251" t="s">
        <v>61</v>
      </c>
      <c r="J1251" s="1">
        <v>46109</v>
      </c>
      <c r="K1251" s="1">
        <v>46109</v>
      </c>
      <c r="L1251" s="3">
        <v>17100</v>
      </c>
      <c r="M1251" s="4">
        <v>0</v>
      </c>
      <c r="N1251" s="4">
        <v>0</v>
      </c>
      <c r="O1251" t="s">
        <v>102</v>
      </c>
      <c r="P1251">
        <v>3</v>
      </c>
      <c r="Q1251" t="str">
        <f>IFERROR(VLOOKUP(E1251,Lookups!$A$5:$B$24,2,FALSE),"Other")</f>
        <v>Organic Search</v>
      </c>
      <c r="R1251" t="str">
        <f>IFERROR(VLOOKUP(F1251,Lookups!$D$5:$F$10,2,FALSE),"Unknown Product")</f>
        <v>NexaCRM Core</v>
      </c>
      <c r="S1251" t="str">
        <f>IFERROR(VLOOKUP(F1251,Lookups!$D$5:$F$10,3,FALSE),"Unknown")</f>
        <v>CRM</v>
      </c>
      <c r="T1251" t="str">
        <f t="shared" si="209"/>
        <v>SMB</v>
      </c>
      <c r="U1251" t="str">
        <f t="shared" si="210"/>
        <v>Lost</v>
      </c>
      <c r="V1251" s="3">
        <f t="shared" si="211"/>
        <v>0</v>
      </c>
      <c r="W1251" s="3">
        <f t="shared" si="212"/>
        <v>0</v>
      </c>
      <c r="X1251" s="5">
        <f t="shared" si="213"/>
        <v>36</v>
      </c>
      <c r="Y1251" s="5">
        <f>IF(U1251="Open",Lookups!$B$2-B1251,X1251)</f>
        <v>36</v>
      </c>
      <c r="Z1251" t="str">
        <f t="shared" si="214"/>
        <v>OK</v>
      </c>
      <c r="AA1251" t="str">
        <f t="shared" si="215"/>
        <v>2026-02</v>
      </c>
      <c r="AB1251" t="str">
        <f t="shared" si="216"/>
        <v>2026-03</v>
      </c>
      <c r="AC1251" t="str">
        <f t="shared" si="217"/>
        <v>Q1-2026</v>
      </c>
      <c r="AD1251" s="5">
        <f t="shared" si="218"/>
        <v>57</v>
      </c>
      <c r="AE1251" t="str">
        <f t="shared" si="219"/>
        <v>Lost</v>
      </c>
    </row>
    <row r="1252" spans="1:31">
      <c r="A1252" t="s">
        <v>1354</v>
      </c>
      <c r="B1252" s="1">
        <v>46186</v>
      </c>
      <c r="C1252" t="s">
        <v>86</v>
      </c>
      <c r="D1252" t="s">
        <v>87</v>
      </c>
      <c r="E1252" t="s">
        <v>115</v>
      </c>
      <c r="F1252" t="s">
        <v>133</v>
      </c>
      <c r="G1252" t="s">
        <v>76</v>
      </c>
      <c r="H1252" t="s">
        <v>53</v>
      </c>
      <c r="I1252" t="s">
        <v>105</v>
      </c>
      <c r="J1252" s="1">
        <v>46241</v>
      </c>
      <c r="K1252" s="1"/>
      <c r="L1252" s="3">
        <v>44200</v>
      </c>
      <c r="M1252" s="4">
        <v>0.03</v>
      </c>
      <c r="N1252" s="4">
        <v>0.4</v>
      </c>
      <c r="P1252">
        <v>3</v>
      </c>
      <c r="Q1252" t="str">
        <f>IFERROR(VLOOKUP(E1252,Lookups!$A$5:$B$24,2,FALSE),"Other")</f>
        <v>Outbound</v>
      </c>
      <c r="R1252" t="str">
        <f>IFERROR(VLOOKUP(F1252,Lookups!$D$5:$F$10,2,FALSE),"Unknown Product")</f>
        <v>Analytics Plus</v>
      </c>
      <c r="S1252" t="str">
        <f>IFERROR(VLOOKUP(F1252,Lookups!$D$5:$F$10,3,FALSE),"Unknown")</f>
        <v>Analytics</v>
      </c>
      <c r="T1252" t="str">
        <f t="shared" si="209"/>
        <v>Mid-Market</v>
      </c>
      <c r="U1252" t="str">
        <f t="shared" si="210"/>
        <v>Open</v>
      </c>
      <c r="V1252" s="3">
        <f t="shared" si="211"/>
        <v>0</v>
      </c>
      <c r="W1252" s="3">
        <f t="shared" si="212"/>
        <v>17680</v>
      </c>
      <c r="X1252" s="5" t="str">
        <f t="shared" si="213"/>
        <v/>
      </c>
      <c r="Y1252" s="5">
        <f>IF(U1252="Open",Lookups!$B$2-B1252,X1252)</f>
        <v>80</v>
      </c>
      <c r="Z1252" t="str">
        <f t="shared" si="214"/>
        <v>STALE</v>
      </c>
      <c r="AA1252" t="str">
        <f t="shared" si="215"/>
        <v>2026-06</v>
      </c>
      <c r="AB1252" t="str">
        <f t="shared" si="216"/>
        <v/>
      </c>
      <c r="AC1252" t="str">
        <f t="shared" si="217"/>
        <v>Q2-2026</v>
      </c>
      <c r="AD1252" s="5">
        <f t="shared" si="218"/>
        <v>59</v>
      </c>
      <c r="AE1252" t="str">
        <f t="shared" si="219"/>
        <v>Pipeline</v>
      </c>
    </row>
    <row r="1253" spans="1:31">
      <c r="A1253" t="s">
        <v>1355</v>
      </c>
      <c r="B1253" s="1">
        <v>45929</v>
      </c>
      <c r="C1253" t="s">
        <v>90</v>
      </c>
      <c r="D1253" t="s">
        <v>57</v>
      </c>
      <c r="E1253" t="s">
        <v>119</v>
      </c>
      <c r="F1253" t="s">
        <v>59</v>
      </c>
      <c r="G1253" t="s">
        <v>46</v>
      </c>
      <c r="H1253" t="s">
        <v>53</v>
      </c>
      <c r="I1253" t="s">
        <v>77</v>
      </c>
      <c r="J1253" s="1">
        <v>45947</v>
      </c>
      <c r="K1253" s="1">
        <v>45947</v>
      </c>
      <c r="L1253" s="3">
        <v>36400</v>
      </c>
      <c r="M1253" s="4">
        <v>0</v>
      </c>
      <c r="N1253" s="4">
        <v>1</v>
      </c>
      <c r="P1253">
        <v>6</v>
      </c>
      <c r="Q1253" t="str">
        <f>IFERROR(VLOOKUP(E1253,Lookups!$A$5:$B$24,2,FALSE),"Other")</f>
        <v>Referral</v>
      </c>
      <c r="R1253" t="str">
        <f>IFERROR(VLOOKUP(F1253,Lookups!$D$5:$F$10,2,FALSE),"Unknown Product")</f>
        <v>NexaCRM Pro</v>
      </c>
      <c r="S1253" t="str">
        <f>IFERROR(VLOOKUP(F1253,Lookups!$D$5:$F$10,3,FALSE),"Unknown")</f>
        <v>CRM</v>
      </c>
      <c r="T1253" t="str">
        <f t="shared" si="209"/>
        <v>Mid-Market</v>
      </c>
      <c r="U1253" t="str">
        <f t="shared" si="210"/>
        <v>Won</v>
      </c>
      <c r="V1253" s="3">
        <f t="shared" si="211"/>
        <v>36400</v>
      </c>
      <c r="W1253" s="3">
        <f t="shared" si="212"/>
        <v>0</v>
      </c>
      <c r="X1253" s="5">
        <f t="shared" si="213"/>
        <v>18</v>
      </c>
      <c r="Y1253" s="5">
        <f>IF(U1253="Open",Lookups!$B$2-B1253,X1253)</f>
        <v>18</v>
      </c>
      <c r="Z1253" t="str">
        <f t="shared" si="214"/>
        <v>OK</v>
      </c>
      <c r="AA1253" t="str">
        <f t="shared" si="215"/>
        <v>2025-09</v>
      </c>
      <c r="AB1253" t="str">
        <f t="shared" si="216"/>
        <v>2025-10</v>
      </c>
      <c r="AC1253" t="str">
        <f t="shared" si="217"/>
        <v>Q3-2025</v>
      </c>
      <c r="AD1253" s="5">
        <f t="shared" si="218"/>
        <v>70</v>
      </c>
      <c r="AE1253" t="str">
        <f t="shared" si="219"/>
        <v>Won</v>
      </c>
    </row>
    <row r="1254" spans="1:31">
      <c r="A1254" t="s">
        <v>1356</v>
      </c>
      <c r="B1254" s="1">
        <v>45850</v>
      </c>
      <c r="C1254" t="s">
        <v>50</v>
      </c>
      <c r="D1254" t="s">
        <v>43</v>
      </c>
      <c r="E1254" t="s">
        <v>146</v>
      </c>
      <c r="F1254" t="s">
        <v>45</v>
      </c>
      <c r="G1254" t="s">
        <v>99</v>
      </c>
      <c r="H1254" t="s">
        <v>53</v>
      </c>
      <c r="I1254" t="s">
        <v>48</v>
      </c>
      <c r="J1254" s="1">
        <v>46114</v>
      </c>
      <c r="K1254" s="1"/>
      <c r="L1254" s="3">
        <v>50100</v>
      </c>
      <c r="M1254" s="4">
        <v>0</v>
      </c>
      <c r="N1254" s="4">
        <v>0.85</v>
      </c>
      <c r="P1254">
        <v>5</v>
      </c>
      <c r="Q1254" t="str">
        <f>IFERROR(VLOOKUP(E1254,Lookups!$A$5:$B$24,2,FALSE),"Other")</f>
        <v>LinkedIn</v>
      </c>
      <c r="R1254" t="str">
        <f>IFERROR(VLOOKUP(F1254,Lookups!$D$5:$F$10,2,FALSE),"Unknown Product")</f>
        <v>Service Cloud</v>
      </c>
      <c r="S1254" t="str">
        <f>IFERROR(VLOOKUP(F1254,Lookups!$D$5:$F$10,3,FALSE),"Unknown")</f>
        <v>Customer Service</v>
      </c>
      <c r="T1254" t="str">
        <f t="shared" si="209"/>
        <v>Enterprise</v>
      </c>
      <c r="U1254" t="str">
        <f t="shared" si="210"/>
        <v>Open</v>
      </c>
      <c r="V1254" s="3">
        <f t="shared" si="211"/>
        <v>0</v>
      </c>
      <c r="W1254" s="3">
        <f t="shared" si="212"/>
        <v>42585</v>
      </c>
      <c r="X1254" s="5" t="str">
        <f t="shared" si="213"/>
        <v/>
      </c>
      <c r="Y1254" s="5">
        <f>IF(U1254="Open",Lookups!$B$2-B1254,X1254)</f>
        <v>416</v>
      </c>
      <c r="Z1254" t="str">
        <f t="shared" si="214"/>
        <v>STALE</v>
      </c>
      <c r="AA1254" t="str">
        <f t="shared" si="215"/>
        <v>2025-07</v>
      </c>
      <c r="AB1254" t="str">
        <f t="shared" si="216"/>
        <v/>
      </c>
      <c r="AC1254" t="str">
        <f t="shared" si="217"/>
        <v>Q3-2025</v>
      </c>
      <c r="AD1254" s="5">
        <f t="shared" si="218"/>
        <v>66</v>
      </c>
      <c r="AE1254" t="str">
        <f t="shared" si="219"/>
        <v>Commit</v>
      </c>
    </row>
    <row r="1255" spans="1:31">
      <c r="A1255" t="s">
        <v>1357</v>
      </c>
      <c r="B1255" s="1">
        <v>45660</v>
      </c>
      <c r="C1255" t="s">
        <v>148</v>
      </c>
      <c r="D1255" t="s">
        <v>43</v>
      </c>
      <c r="E1255" t="s">
        <v>92</v>
      </c>
      <c r="F1255" t="s">
        <v>67</v>
      </c>
      <c r="G1255" t="s">
        <v>99</v>
      </c>
      <c r="H1255" t="s">
        <v>47</v>
      </c>
      <c r="I1255" t="s">
        <v>61</v>
      </c>
      <c r="J1255" s="1">
        <v>45717</v>
      </c>
      <c r="K1255" s="1">
        <v>45717</v>
      </c>
      <c r="L1255" s="3">
        <v>44800</v>
      </c>
      <c r="M1255" s="4">
        <v>0</v>
      </c>
      <c r="N1255" s="4">
        <v>0</v>
      </c>
      <c r="O1255" t="s">
        <v>62</v>
      </c>
      <c r="P1255">
        <v>2</v>
      </c>
      <c r="Q1255" t="str">
        <f>IFERROR(VLOOKUP(E1255,Lookups!$A$5:$B$24,2,FALSE),"Other")</f>
        <v>Webinar</v>
      </c>
      <c r="R1255" t="str">
        <f>IFERROR(VLOOKUP(F1255,Lookups!$D$5:$F$10,2,FALSE),"Unknown Product")</f>
        <v>Revenue Operations Suite</v>
      </c>
      <c r="S1255" t="str">
        <f>IFERROR(VLOOKUP(F1255,Lookups!$D$5:$F$10,3,FALSE),"Unknown")</f>
        <v>Revenue Ops</v>
      </c>
      <c r="T1255" t="str">
        <f t="shared" si="209"/>
        <v>Mid-Market</v>
      </c>
      <c r="U1255" t="str">
        <f t="shared" si="210"/>
        <v>Lost</v>
      </c>
      <c r="V1255" s="3">
        <f t="shared" si="211"/>
        <v>0</v>
      </c>
      <c r="W1255" s="3">
        <f t="shared" si="212"/>
        <v>0</v>
      </c>
      <c r="X1255" s="5">
        <f t="shared" si="213"/>
        <v>57</v>
      </c>
      <c r="Y1255" s="5">
        <f>IF(U1255="Open",Lookups!$B$2-B1255,X1255)</f>
        <v>57</v>
      </c>
      <c r="Z1255" t="str">
        <f t="shared" si="214"/>
        <v>OK</v>
      </c>
      <c r="AA1255" t="str">
        <f t="shared" si="215"/>
        <v>2025-01</v>
      </c>
      <c r="AB1255" t="str">
        <f t="shared" si="216"/>
        <v>2025-03</v>
      </c>
      <c r="AC1255" t="str">
        <f t="shared" si="217"/>
        <v>Q1-2025</v>
      </c>
      <c r="AD1255" s="5">
        <f t="shared" si="218"/>
        <v>51</v>
      </c>
      <c r="AE1255" t="str">
        <f t="shared" si="219"/>
        <v>Lost</v>
      </c>
    </row>
    <row r="1256" spans="1:31">
      <c r="A1256" t="s">
        <v>1358</v>
      </c>
      <c r="B1256" s="1">
        <v>45717</v>
      </c>
      <c r="C1256" t="s">
        <v>86</v>
      </c>
      <c r="D1256" t="s">
        <v>87</v>
      </c>
      <c r="E1256" t="s">
        <v>123</v>
      </c>
      <c r="F1256" t="s">
        <v>67</v>
      </c>
      <c r="G1256" t="s">
        <v>99</v>
      </c>
      <c r="H1256" t="s">
        <v>53</v>
      </c>
      <c r="I1256" t="s">
        <v>77</v>
      </c>
      <c r="J1256" s="1">
        <v>45772</v>
      </c>
      <c r="K1256" s="1">
        <v>45772</v>
      </c>
      <c r="L1256" s="3">
        <v>56400</v>
      </c>
      <c r="M1256" s="4">
        <v>0.03</v>
      </c>
      <c r="N1256" s="4">
        <v>1</v>
      </c>
      <c r="P1256">
        <v>6</v>
      </c>
      <c r="Q1256" t="str">
        <f>IFERROR(VLOOKUP(E1256,Lookups!$A$5:$B$24,2,FALSE),"Other")</f>
        <v>Email</v>
      </c>
      <c r="R1256" t="str">
        <f>IFERROR(VLOOKUP(F1256,Lookups!$D$5:$F$10,2,FALSE),"Unknown Product")</f>
        <v>Revenue Operations Suite</v>
      </c>
      <c r="S1256" t="str">
        <f>IFERROR(VLOOKUP(F1256,Lookups!$D$5:$F$10,3,FALSE),"Unknown")</f>
        <v>Revenue Ops</v>
      </c>
      <c r="T1256" t="str">
        <f t="shared" si="209"/>
        <v>Enterprise</v>
      </c>
      <c r="U1256" t="str">
        <f t="shared" si="210"/>
        <v>Won</v>
      </c>
      <c r="V1256" s="3">
        <f t="shared" si="211"/>
        <v>54708</v>
      </c>
      <c r="W1256" s="3">
        <f t="shared" si="212"/>
        <v>0</v>
      </c>
      <c r="X1256" s="5">
        <f t="shared" si="213"/>
        <v>55</v>
      </c>
      <c r="Y1256" s="5">
        <f>IF(U1256="Open",Lookups!$B$2-B1256,X1256)</f>
        <v>55</v>
      </c>
      <c r="Z1256" t="str">
        <f t="shared" si="214"/>
        <v>OK</v>
      </c>
      <c r="AA1256" t="str">
        <f t="shared" si="215"/>
        <v>2025-03</v>
      </c>
      <c r="AB1256" t="str">
        <f t="shared" si="216"/>
        <v>2025-04</v>
      </c>
      <c r="AC1256" t="str">
        <f t="shared" si="217"/>
        <v>Q1-2025</v>
      </c>
      <c r="AD1256" s="5">
        <f t="shared" si="218"/>
        <v>70</v>
      </c>
      <c r="AE1256" t="str">
        <f t="shared" si="219"/>
        <v>Won</v>
      </c>
    </row>
    <row r="1257" spans="1:31">
      <c r="A1257" t="s">
        <v>1359</v>
      </c>
      <c r="B1257" s="1">
        <v>46030</v>
      </c>
      <c r="C1257" t="s">
        <v>90</v>
      </c>
      <c r="D1257" t="s">
        <v>57</v>
      </c>
      <c r="E1257" t="s">
        <v>44</v>
      </c>
      <c r="F1257" t="s">
        <v>71</v>
      </c>
      <c r="G1257" t="s">
        <v>60</v>
      </c>
      <c r="H1257" t="s">
        <v>47</v>
      </c>
      <c r="I1257" t="s">
        <v>48</v>
      </c>
      <c r="J1257" s="1">
        <v>46157</v>
      </c>
      <c r="K1257" s="1"/>
      <c r="L1257" s="3">
        <v>16100</v>
      </c>
      <c r="M1257" s="4">
        <v>0</v>
      </c>
      <c r="N1257" s="4">
        <v>0.85</v>
      </c>
      <c r="P1257">
        <v>5</v>
      </c>
      <c r="Q1257" t="str">
        <f>IFERROR(VLOOKUP(E1257,Lookups!$A$5:$B$24,2,FALSE),"Other")</f>
        <v>Organic Search</v>
      </c>
      <c r="R1257" t="str">
        <f>IFERROR(VLOOKUP(F1257,Lookups!$D$5:$F$10,2,FALSE),"Unknown Product")</f>
        <v>Marketing Automation</v>
      </c>
      <c r="S1257" t="str">
        <f>IFERROR(VLOOKUP(F1257,Lookups!$D$5:$F$10,3,FALSE),"Unknown")</f>
        <v>Marketing</v>
      </c>
      <c r="T1257" t="str">
        <f t="shared" si="209"/>
        <v>SMB</v>
      </c>
      <c r="U1257" t="str">
        <f t="shared" si="210"/>
        <v>Open</v>
      </c>
      <c r="V1257" s="3">
        <f t="shared" si="211"/>
        <v>0</v>
      </c>
      <c r="W1257" s="3">
        <f t="shared" si="212"/>
        <v>13685</v>
      </c>
      <c r="X1257" s="5" t="str">
        <f t="shared" si="213"/>
        <v/>
      </c>
      <c r="Y1257" s="5">
        <f>IF(U1257="Open",Lookups!$B$2-B1257,X1257)</f>
        <v>236</v>
      </c>
      <c r="Z1257" t="str">
        <f t="shared" si="214"/>
        <v>STALE</v>
      </c>
      <c r="AA1257" t="str">
        <f t="shared" si="215"/>
        <v>2026-01</v>
      </c>
      <c r="AB1257" t="str">
        <f t="shared" si="216"/>
        <v/>
      </c>
      <c r="AC1257" t="str">
        <f t="shared" si="217"/>
        <v>Q1-2026</v>
      </c>
      <c r="AD1257" s="5">
        <f t="shared" si="218"/>
        <v>49</v>
      </c>
      <c r="AE1257" t="str">
        <f t="shared" si="219"/>
        <v>Commit</v>
      </c>
    </row>
    <row r="1258" spans="1:31">
      <c r="A1258" t="s">
        <v>1360</v>
      </c>
      <c r="B1258" s="1">
        <v>45782</v>
      </c>
      <c r="C1258" t="s">
        <v>86</v>
      </c>
      <c r="D1258" t="s">
        <v>87</v>
      </c>
      <c r="E1258" t="s">
        <v>96</v>
      </c>
      <c r="F1258" t="s">
        <v>52</v>
      </c>
      <c r="G1258" t="s">
        <v>76</v>
      </c>
      <c r="H1258" t="s">
        <v>47</v>
      </c>
      <c r="I1258" t="s">
        <v>61</v>
      </c>
      <c r="J1258" s="1">
        <v>45837</v>
      </c>
      <c r="K1258" s="1">
        <v>45837</v>
      </c>
      <c r="L1258" s="3">
        <v>8200</v>
      </c>
      <c r="M1258" s="4">
        <v>0</v>
      </c>
      <c r="N1258" s="4">
        <v>0</v>
      </c>
      <c r="O1258" t="s">
        <v>116</v>
      </c>
      <c r="P1258">
        <v>4</v>
      </c>
      <c r="Q1258" t="str">
        <f>IFERROR(VLOOKUP(E1258,Lookups!$A$5:$B$24,2,FALSE),"Other")</f>
        <v>LinkedIn</v>
      </c>
      <c r="R1258" t="str">
        <f>IFERROR(VLOOKUP(F1258,Lookups!$D$5:$F$10,2,FALSE),"Unknown Product")</f>
        <v>NexaCRM Core</v>
      </c>
      <c r="S1258" t="str">
        <f>IFERROR(VLOOKUP(F1258,Lookups!$D$5:$F$10,3,FALSE),"Unknown")</f>
        <v>CRM</v>
      </c>
      <c r="T1258" t="str">
        <f t="shared" si="209"/>
        <v>SMB</v>
      </c>
      <c r="U1258" t="str">
        <f t="shared" si="210"/>
        <v>Lost</v>
      </c>
      <c r="V1258" s="3">
        <f t="shared" si="211"/>
        <v>0</v>
      </c>
      <c r="W1258" s="3">
        <f t="shared" si="212"/>
        <v>0</v>
      </c>
      <c r="X1258" s="5">
        <f t="shared" si="213"/>
        <v>55</v>
      </c>
      <c r="Y1258" s="5">
        <f>IF(U1258="Open",Lookups!$B$2-B1258,X1258)</f>
        <v>55</v>
      </c>
      <c r="Z1258" t="str">
        <f t="shared" si="214"/>
        <v>OK</v>
      </c>
      <c r="AA1258" t="str">
        <f t="shared" si="215"/>
        <v>2025-05</v>
      </c>
      <c r="AB1258" t="str">
        <f t="shared" si="216"/>
        <v>2025-06</v>
      </c>
      <c r="AC1258" t="str">
        <f t="shared" si="217"/>
        <v>Q2-2025</v>
      </c>
      <c r="AD1258" s="5">
        <f t="shared" si="218"/>
        <v>43</v>
      </c>
      <c r="AE1258" t="str">
        <f t="shared" si="219"/>
        <v>Lost</v>
      </c>
    </row>
    <row r="1259" spans="1:31">
      <c r="A1259" t="s">
        <v>1361</v>
      </c>
      <c r="B1259" s="1">
        <v>46204</v>
      </c>
      <c r="C1259" t="s">
        <v>56</v>
      </c>
      <c r="D1259" t="s">
        <v>57</v>
      </c>
      <c r="E1259" t="s">
        <v>58</v>
      </c>
      <c r="F1259" t="s">
        <v>133</v>
      </c>
      <c r="G1259" t="s">
        <v>46</v>
      </c>
      <c r="H1259" t="s">
        <v>47</v>
      </c>
      <c r="I1259" t="s">
        <v>77</v>
      </c>
      <c r="J1259" s="1">
        <v>46266</v>
      </c>
      <c r="K1259" s="1">
        <v>46266</v>
      </c>
      <c r="L1259" s="3">
        <v>25900</v>
      </c>
      <c r="M1259" s="4">
        <v>0</v>
      </c>
      <c r="N1259" s="4">
        <v>1</v>
      </c>
      <c r="P1259">
        <v>6</v>
      </c>
      <c r="Q1259" t="str">
        <f>IFERROR(VLOOKUP(E1259,Lookups!$A$5:$B$24,2,FALSE),"Other")</f>
        <v>Email</v>
      </c>
      <c r="R1259" t="str">
        <f>IFERROR(VLOOKUP(F1259,Lookups!$D$5:$F$10,2,FALSE),"Unknown Product")</f>
        <v>Analytics Plus</v>
      </c>
      <c r="S1259" t="str">
        <f>IFERROR(VLOOKUP(F1259,Lookups!$D$5:$F$10,3,FALSE),"Unknown")</f>
        <v>Analytics</v>
      </c>
      <c r="T1259" t="str">
        <f t="shared" si="209"/>
        <v>Mid-Market</v>
      </c>
      <c r="U1259" t="str">
        <f t="shared" si="210"/>
        <v>Won</v>
      </c>
      <c r="V1259" s="3">
        <f t="shared" si="211"/>
        <v>25900</v>
      </c>
      <c r="W1259" s="3">
        <f t="shared" si="212"/>
        <v>0</v>
      </c>
      <c r="X1259" s="5">
        <f t="shared" si="213"/>
        <v>62</v>
      </c>
      <c r="Y1259" s="5">
        <f>IF(U1259="Open",Lookups!$B$2-B1259,X1259)</f>
        <v>62</v>
      </c>
      <c r="Z1259" t="str">
        <f t="shared" si="214"/>
        <v>OK</v>
      </c>
      <c r="AA1259" t="str">
        <f t="shared" si="215"/>
        <v>2026-07</v>
      </c>
      <c r="AB1259" t="str">
        <f t="shared" si="216"/>
        <v>2026-09</v>
      </c>
      <c r="AC1259" t="str">
        <f t="shared" si="217"/>
        <v>Q3-2026</v>
      </c>
      <c r="AD1259" s="5">
        <f t="shared" si="218"/>
        <v>55</v>
      </c>
      <c r="AE1259" t="str">
        <f t="shared" si="219"/>
        <v>Won</v>
      </c>
    </row>
    <row r="1260" spans="1:31">
      <c r="A1260" t="s">
        <v>1362</v>
      </c>
      <c r="B1260" s="1">
        <v>46044</v>
      </c>
      <c r="C1260" t="s">
        <v>56</v>
      </c>
      <c r="D1260" t="s">
        <v>57</v>
      </c>
      <c r="E1260" t="s">
        <v>98</v>
      </c>
      <c r="F1260" t="s">
        <v>59</v>
      </c>
      <c r="G1260" t="s">
        <v>112</v>
      </c>
      <c r="H1260" t="s">
        <v>53</v>
      </c>
      <c r="I1260" t="s">
        <v>61</v>
      </c>
      <c r="J1260" s="1">
        <v>46108</v>
      </c>
      <c r="K1260" s="1">
        <v>46108</v>
      </c>
      <c r="L1260" s="3">
        <v>39700</v>
      </c>
      <c r="M1260" s="4">
        <v>0</v>
      </c>
      <c r="N1260" s="4">
        <v>0</v>
      </c>
      <c r="O1260" t="s">
        <v>81</v>
      </c>
      <c r="P1260">
        <v>3</v>
      </c>
      <c r="Q1260" t="str">
        <f>IFERROR(VLOOKUP(E1260,Lookups!$A$5:$B$24,2,FALSE),"Other")</f>
        <v>Outbound</v>
      </c>
      <c r="R1260" t="str">
        <f>IFERROR(VLOOKUP(F1260,Lookups!$D$5:$F$10,2,FALSE),"Unknown Product")</f>
        <v>NexaCRM Pro</v>
      </c>
      <c r="S1260" t="str">
        <f>IFERROR(VLOOKUP(F1260,Lookups!$D$5:$F$10,3,FALSE),"Unknown")</f>
        <v>CRM</v>
      </c>
      <c r="T1260" t="str">
        <f t="shared" si="209"/>
        <v>Mid-Market</v>
      </c>
      <c r="U1260" t="str">
        <f t="shared" si="210"/>
        <v>Lost</v>
      </c>
      <c r="V1260" s="3">
        <f t="shared" si="211"/>
        <v>0</v>
      </c>
      <c r="W1260" s="3">
        <f t="shared" si="212"/>
        <v>0</v>
      </c>
      <c r="X1260" s="5">
        <f t="shared" si="213"/>
        <v>64</v>
      </c>
      <c r="Y1260" s="5">
        <f>IF(U1260="Open",Lookups!$B$2-B1260,X1260)</f>
        <v>64</v>
      </c>
      <c r="Z1260" t="str">
        <f t="shared" si="214"/>
        <v>OK</v>
      </c>
      <c r="AA1260" t="str">
        <f t="shared" si="215"/>
        <v>2026-01</v>
      </c>
      <c r="AB1260" t="str">
        <f t="shared" si="216"/>
        <v>2026-03</v>
      </c>
      <c r="AC1260" t="str">
        <f t="shared" si="217"/>
        <v>Q1-2026</v>
      </c>
      <c r="AD1260" s="5">
        <f t="shared" si="218"/>
        <v>64</v>
      </c>
      <c r="AE1260" t="str">
        <f t="shared" si="219"/>
        <v>Lost</v>
      </c>
    </row>
    <row r="1261" spans="1:31">
      <c r="A1261" t="s">
        <v>1363</v>
      </c>
      <c r="B1261" s="1">
        <v>45831</v>
      </c>
      <c r="C1261" t="s">
        <v>56</v>
      </c>
      <c r="D1261" t="s">
        <v>57</v>
      </c>
      <c r="E1261" t="s">
        <v>115</v>
      </c>
      <c r="F1261" t="s">
        <v>71</v>
      </c>
      <c r="G1261" t="s">
        <v>72</v>
      </c>
      <c r="H1261" t="s">
        <v>53</v>
      </c>
      <c r="I1261" t="s">
        <v>48</v>
      </c>
      <c r="J1261" s="1">
        <v>46015</v>
      </c>
      <c r="K1261" s="1"/>
      <c r="L1261" s="3">
        <v>17500</v>
      </c>
      <c r="M1261" s="4">
        <v>0</v>
      </c>
      <c r="N1261" s="4">
        <v>0.85</v>
      </c>
      <c r="P1261">
        <v>5</v>
      </c>
      <c r="Q1261" t="str">
        <f>IFERROR(VLOOKUP(E1261,Lookups!$A$5:$B$24,2,FALSE),"Other")</f>
        <v>Outbound</v>
      </c>
      <c r="R1261" t="str">
        <f>IFERROR(VLOOKUP(F1261,Lookups!$D$5:$F$10,2,FALSE),"Unknown Product")</f>
        <v>Marketing Automation</v>
      </c>
      <c r="S1261" t="str">
        <f>IFERROR(VLOOKUP(F1261,Lookups!$D$5:$F$10,3,FALSE),"Unknown")</f>
        <v>Marketing</v>
      </c>
      <c r="T1261" t="str">
        <f t="shared" si="209"/>
        <v>SMB</v>
      </c>
      <c r="U1261" t="str">
        <f t="shared" si="210"/>
        <v>Open</v>
      </c>
      <c r="V1261" s="3">
        <f t="shared" si="211"/>
        <v>0</v>
      </c>
      <c r="W1261" s="3">
        <f t="shared" si="212"/>
        <v>14875</v>
      </c>
      <c r="X1261" s="5" t="str">
        <f t="shared" si="213"/>
        <v/>
      </c>
      <c r="Y1261" s="5">
        <f>IF(U1261="Open",Lookups!$B$2-B1261,X1261)</f>
        <v>435</v>
      </c>
      <c r="Z1261" t="str">
        <f t="shared" si="214"/>
        <v>STALE</v>
      </c>
      <c r="AA1261" t="str">
        <f t="shared" si="215"/>
        <v>2025-06</v>
      </c>
      <c r="AB1261" t="str">
        <f t="shared" si="216"/>
        <v/>
      </c>
      <c r="AC1261" t="str">
        <f t="shared" si="217"/>
        <v>Q2-2025</v>
      </c>
      <c r="AD1261" s="5">
        <f t="shared" si="218"/>
        <v>51</v>
      </c>
      <c r="AE1261" t="str">
        <f t="shared" si="219"/>
        <v>Commit</v>
      </c>
    </row>
    <row r="1262" spans="1:31">
      <c r="A1262" t="s">
        <v>1364</v>
      </c>
      <c r="B1262" s="1">
        <v>46202</v>
      </c>
      <c r="C1262" t="s">
        <v>56</v>
      </c>
      <c r="D1262" t="s">
        <v>57</v>
      </c>
      <c r="E1262" t="s">
        <v>127</v>
      </c>
      <c r="F1262" t="s">
        <v>67</v>
      </c>
      <c r="G1262" t="s">
        <v>72</v>
      </c>
      <c r="H1262" t="s">
        <v>47</v>
      </c>
      <c r="I1262" t="s">
        <v>61</v>
      </c>
      <c r="J1262" s="1">
        <v>46266</v>
      </c>
      <c r="K1262" s="1">
        <v>46266</v>
      </c>
      <c r="L1262" s="3">
        <v>30700</v>
      </c>
      <c r="M1262" s="4">
        <v>0</v>
      </c>
      <c r="N1262" s="4">
        <v>0</v>
      </c>
      <c r="O1262" t="s">
        <v>62</v>
      </c>
      <c r="P1262">
        <v>4</v>
      </c>
      <c r="Q1262" t="str">
        <f>IFERROR(VLOOKUP(E1262,Lookups!$A$5:$B$24,2,FALSE),"Other")</f>
        <v>Paid Search</v>
      </c>
      <c r="R1262" t="str">
        <f>IFERROR(VLOOKUP(F1262,Lookups!$D$5:$F$10,2,FALSE),"Unknown Product")</f>
        <v>Revenue Operations Suite</v>
      </c>
      <c r="S1262" t="str">
        <f>IFERROR(VLOOKUP(F1262,Lookups!$D$5:$F$10,3,FALSE),"Unknown")</f>
        <v>Revenue Ops</v>
      </c>
      <c r="T1262" t="str">
        <f t="shared" si="209"/>
        <v>Mid-Market</v>
      </c>
      <c r="U1262" t="str">
        <f t="shared" si="210"/>
        <v>Lost</v>
      </c>
      <c r="V1262" s="3">
        <f t="shared" si="211"/>
        <v>0</v>
      </c>
      <c r="W1262" s="3">
        <f t="shared" si="212"/>
        <v>0</v>
      </c>
      <c r="X1262" s="5">
        <f t="shared" si="213"/>
        <v>64</v>
      </c>
      <c r="Y1262" s="5">
        <f>IF(U1262="Open",Lookups!$B$2-B1262,X1262)</f>
        <v>64</v>
      </c>
      <c r="Z1262" t="str">
        <f t="shared" si="214"/>
        <v>OK</v>
      </c>
      <c r="AA1262" t="str">
        <f t="shared" si="215"/>
        <v>2026-06</v>
      </c>
      <c r="AB1262" t="str">
        <f t="shared" si="216"/>
        <v>2026-09</v>
      </c>
      <c r="AC1262" t="str">
        <f t="shared" si="217"/>
        <v>Q2-2026</v>
      </c>
      <c r="AD1262" s="5">
        <f t="shared" si="218"/>
        <v>51</v>
      </c>
      <c r="AE1262" t="str">
        <f t="shared" si="219"/>
        <v>Lost</v>
      </c>
    </row>
    <row r="1263" spans="1:31">
      <c r="A1263" t="s">
        <v>1365</v>
      </c>
      <c r="B1263" s="1">
        <v>45887</v>
      </c>
      <c r="C1263" t="s">
        <v>69</v>
      </c>
      <c r="D1263" t="s">
        <v>57</v>
      </c>
      <c r="E1263" t="s">
        <v>166</v>
      </c>
      <c r="F1263" t="s">
        <v>52</v>
      </c>
      <c r="G1263" t="s">
        <v>76</v>
      </c>
      <c r="H1263" t="s">
        <v>84</v>
      </c>
      <c r="I1263" t="s">
        <v>48</v>
      </c>
      <c r="J1263" s="1">
        <v>46151</v>
      </c>
      <c r="K1263" s="1"/>
      <c r="L1263" s="3">
        <v>36300</v>
      </c>
      <c r="M1263" s="4">
        <v>0</v>
      </c>
      <c r="N1263" s="4">
        <v>0.85</v>
      </c>
      <c r="P1263">
        <v>5</v>
      </c>
      <c r="Q1263" t="str">
        <f>IFERROR(VLOOKUP(E1263,Lookups!$A$5:$B$24,2,FALSE),"Other")</f>
        <v>Referral</v>
      </c>
      <c r="R1263" t="str">
        <f>IFERROR(VLOOKUP(F1263,Lookups!$D$5:$F$10,2,FALSE),"Unknown Product")</f>
        <v>NexaCRM Core</v>
      </c>
      <c r="S1263" t="str">
        <f>IFERROR(VLOOKUP(F1263,Lookups!$D$5:$F$10,3,FALSE),"Unknown")</f>
        <v>CRM</v>
      </c>
      <c r="T1263" t="str">
        <f t="shared" si="209"/>
        <v>Mid-Market</v>
      </c>
      <c r="U1263" t="str">
        <f t="shared" si="210"/>
        <v>Open</v>
      </c>
      <c r="V1263" s="3">
        <f t="shared" si="211"/>
        <v>0</v>
      </c>
      <c r="W1263" s="3">
        <f t="shared" si="212"/>
        <v>30855</v>
      </c>
      <c r="X1263" s="5" t="str">
        <f t="shared" si="213"/>
        <v/>
      </c>
      <c r="Y1263" s="5">
        <f>IF(U1263="Open",Lookups!$B$2-B1263,X1263)</f>
        <v>379</v>
      </c>
      <c r="Z1263" t="str">
        <f t="shared" si="214"/>
        <v>STALE</v>
      </c>
      <c r="AA1263" t="str">
        <f t="shared" si="215"/>
        <v>2025-08</v>
      </c>
      <c r="AB1263" t="str">
        <f t="shared" si="216"/>
        <v/>
      </c>
      <c r="AC1263" t="str">
        <f t="shared" si="217"/>
        <v>Q3-2025</v>
      </c>
      <c r="AD1263" s="5">
        <f t="shared" si="218"/>
        <v>78</v>
      </c>
      <c r="AE1263" t="str">
        <f t="shared" si="219"/>
        <v>Commit</v>
      </c>
    </row>
    <row r="1264" spans="1:31">
      <c r="A1264" t="s">
        <v>1366</v>
      </c>
      <c r="B1264" s="1">
        <v>46210</v>
      </c>
      <c r="C1264" t="s">
        <v>56</v>
      </c>
      <c r="D1264" t="s">
        <v>57</v>
      </c>
      <c r="E1264" t="s">
        <v>70</v>
      </c>
      <c r="F1264" t="s">
        <v>71</v>
      </c>
      <c r="G1264" t="s">
        <v>112</v>
      </c>
      <c r="H1264" t="s">
        <v>84</v>
      </c>
      <c r="I1264" t="s">
        <v>73</v>
      </c>
      <c r="J1264" s="1">
        <v>46257</v>
      </c>
      <c r="K1264" s="1"/>
      <c r="L1264" s="3">
        <v>36300</v>
      </c>
      <c r="M1264" s="4">
        <v>0.05</v>
      </c>
      <c r="N1264" s="4">
        <v>0.2</v>
      </c>
      <c r="P1264">
        <v>2</v>
      </c>
      <c r="Q1264" t="str">
        <f>IFERROR(VLOOKUP(E1264,Lookups!$A$5:$B$24,2,FALSE),"Other")</f>
        <v>LinkedIn</v>
      </c>
      <c r="R1264" t="str">
        <f>IFERROR(VLOOKUP(F1264,Lookups!$D$5:$F$10,2,FALSE),"Unknown Product")</f>
        <v>Marketing Automation</v>
      </c>
      <c r="S1264" t="str">
        <f>IFERROR(VLOOKUP(F1264,Lookups!$D$5:$F$10,3,FALSE),"Unknown")</f>
        <v>Marketing</v>
      </c>
      <c r="T1264" t="str">
        <f t="shared" si="209"/>
        <v>Mid-Market</v>
      </c>
      <c r="U1264" t="str">
        <f t="shared" si="210"/>
        <v>Open</v>
      </c>
      <c r="V1264" s="3">
        <f t="shared" si="211"/>
        <v>0</v>
      </c>
      <c r="W1264" s="3">
        <f t="shared" si="212"/>
        <v>7260</v>
      </c>
      <c r="X1264" s="5" t="str">
        <f t="shared" si="213"/>
        <v/>
      </c>
      <c r="Y1264" s="5">
        <f>IF(U1264="Open",Lookups!$B$2-B1264,X1264)</f>
        <v>56</v>
      </c>
      <c r="Z1264" t="str">
        <f t="shared" si="214"/>
        <v>STALE</v>
      </c>
      <c r="AA1264" t="str">
        <f t="shared" si="215"/>
        <v>2026-07</v>
      </c>
      <c r="AB1264" t="str">
        <f t="shared" si="216"/>
        <v/>
      </c>
      <c r="AC1264" t="str">
        <f t="shared" si="217"/>
        <v>Q3-2026</v>
      </c>
      <c r="AD1264" s="5">
        <f t="shared" si="218"/>
        <v>72</v>
      </c>
      <c r="AE1264" t="str">
        <f t="shared" si="219"/>
        <v>Pipeline</v>
      </c>
    </row>
    <row r="1265" spans="1:31">
      <c r="A1265" t="s">
        <v>1367</v>
      </c>
      <c r="B1265" s="1">
        <v>45677</v>
      </c>
      <c r="C1265" t="s">
        <v>64</v>
      </c>
      <c r="D1265" t="s">
        <v>57</v>
      </c>
      <c r="E1265" t="s">
        <v>58</v>
      </c>
      <c r="F1265" t="s">
        <v>52</v>
      </c>
      <c r="G1265" t="s">
        <v>94</v>
      </c>
      <c r="H1265" t="s">
        <v>47</v>
      </c>
      <c r="I1265" t="s">
        <v>61</v>
      </c>
      <c r="J1265" s="1">
        <v>45709</v>
      </c>
      <c r="K1265" s="1">
        <v>45709</v>
      </c>
      <c r="L1265" s="3">
        <v>8100</v>
      </c>
      <c r="M1265" s="4">
        <v>0</v>
      </c>
      <c r="N1265" s="4">
        <v>0</v>
      </c>
      <c r="O1265" t="s">
        <v>81</v>
      </c>
      <c r="P1265">
        <v>4</v>
      </c>
      <c r="Q1265" t="str">
        <f>IFERROR(VLOOKUP(E1265,Lookups!$A$5:$B$24,2,FALSE),"Other")</f>
        <v>Email</v>
      </c>
      <c r="R1265" t="str">
        <f>IFERROR(VLOOKUP(F1265,Lookups!$D$5:$F$10,2,FALSE),"Unknown Product")</f>
        <v>NexaCRM Core</v>
      </c>
      <c r="S1265" t="str">
        <f>IFERROR(VLOOKUP(F1265,Lookups!$D$5:$F$10,3,FALSE),"Unknown")</f>
        <v>CRM</v>
      </c>
      <c r="T1265" t="str">
        <f t="shared" si="209"/>
        <v>SMB</v>
      </c>
      <c r="U1265" t="str">
        <f t="shared" si="210"/>
        <v>Lost</v>
      </c>
      <c r="V1265" s="3">
        <f t="shared" si="211"/>
        <v>0</v>
      </c>
      <c r="W1265" s="3">
        <f t="shared" si="212"/>
        <v>0</v>
      </c>
      <c r="X1265" s="5">
        <f t="shared" si="213"/>
        <v>32</v>
      </c>
      <c r="Y1265" s="5">
        <f>IF(U1265="Open",Lookups!$B$2-B1265,X1265)</f>
        <v>32</v>
      </c>
      <c r="Z1265" t="str">
        <f t="shared" si="214"/>
        <v>OK</v>
      </c>
      <c r="AA1265" t="str">
        <f t="shared" si="215"/>
        <v>2025-01</v>
      </c>
      <c r="AB1265" t="str">
        <f t="shared" si="216"/>
        <v>2025-02</v>
      </c>
      <c r="AC1265" t="str">
        <f t="shared" si="217"/>
        <v>Q1-2025</v>
      </c>
      <c r="AD1265" s="5">
        <f t="shared" si="218"/>
        <v>47</v>
      </c>
      <c r="AE1265" t="str">
        <f t="shared" si="219"/>
        <v>Lost</v>
      </c>
    </row>
    <row r="1266" spans="1:31">
      <c r="A1266" t="s">
        <v>1368</v>
      </c>
      <c r="B1266" s="1">
        <v>45982</v>
      </c>
      <c r="C1266" t="s">
        <v>69</v>
      </c>
      <c r="D1266" t="s">
        <v>57</v>
      </c>
      <c r="E1266" t="s">
        <v>127</v>
      </c>
      <c r="F1266" t="s">
        <v>59</v>
      </c>
      <c r="G1266" t="s">
        <v>72</v>
      </c>
      <c r="H1266" t="s">
        <v>53</v>
      </c>
      <c r="I1266" t="s">
        <v>77</v>
      </c>
      <c r="J1266" s="1">
        <v>46030</v>
      </c>
      <c r="K1266" s="1">
        <v>46030</v>
      </c>
      <c r="L1266" s="3">
        <v>36700</v>
      </c>
      <c r="M1266" s="4">
        <v>0.05</v>
      </c>
      <c r="N1266" s="4">
        <v>1</v>
      </c>
      <c r="P1266">
        <v>6</v>
      </c>
      <c r="Q1266" t="str">
        <f>IFERROR(VLOOKUP(E1266,Lookups!$A$5:$B$24,2,FALSE),"Other")</f>
        <v>Paid Search</v>
      </c>
      <c r="R1266" t="str">
        <f>IFERROR(VLOOKUP(F1266,Lookups!$D$5:$F$10,2,FALSE),"Unknown Product")</f>
        <v>NexaCRM Pro</v>
      </c>
      <c r="S1266" t="str">
        <f>IFERROR(VLOOKUP(F1266,Lookups!$D$5:$F$10,3,FALSE),"Unknown")</f>
        <v>CRM</v>
      </c>
      <c r="T1266" t="str">
        <f t="shared" si="209"/>
        <v>Mid-Market</v>
      </c>
      <c r="U1266" t="str">
        <f t="shared" si="210"/>
        <v>Won</v>
      </c>
      <c r="V1266" s="3">
        <f t="shared" si="211"/>
        <v>34865</v>
      </c>
      <c r="W1266" s="3">
        <f t="shared" si="212"/>
        <v>0</v>
      </c>
      <c r="X1266" s="5">
        <f t="shared" si="213"/>
        <v>48</v>
      </c>
      <c r="Y1266" s="5">
        <f>IF(U1266="Open",Lookups!$B$2-B1266,X1266)</f>
        <v>48</v>
      </c>
      <c r="Z1266" t="str">
        <f t="shared" si="214"/>
        <v>OK</v>
      </c>
      <c r="AA1266" t="str">
        <f t="shared" si="215"/>
        <v>2025-11</v>
      </c>
      <c r="AB1266" t="str">
        <f t="shared" si="216"/>
        <v>2026-01</v>
      </c>
      <c r="AC1266" t="str">
        <f t="shared" si="217"/>
        <v>Q4-2025</v>
      </c>
      <c r="AD1266" s="5">
        <f t="shared" si="218"/>
        <v>59</v>
      </c>
      <c r="AE1266" t="str">
        <f t="shared" si="219"/>
        <v>Won</v>
      </c>
    </row>
    <row r="1267" spans="1:31">
      <c r="A1267" t="s">
        <v>1369</v>
      </c>
      <c r="B1267" s="1">
        <v>46014</v>
      </c>
      <c r="C1267" t="s">
        <v>69</v>
      </c>
      <c r="D1267" t="s">
        <v>57</v>
      </c>
      <c r="E1267" t="s">
        <v>119</v>
      </c>
      <c r="F1267" t="s">
        <v>45</v>
      </c>
      <c r="G1267" t="s">
        <v>112</v>
      </c>
      <c r="H1267" t="s">
        <v>53</v>
      </c>
      <c r="I1267" t="s">
        <v>77</v>
      </c>
      <c r="J1267" s="1">
        <v>46103</v>
      </c>
      <c r="K1267" s="1">
        <v>46103</v>
      </c>
      <c r="L1267" s="3">
        <v>28100</v>
      </c>
      <c r="M1267" s="4">
        <v>0.1</v>
      </c>
      <c r="N1267" s="4">
        <v>1</v>
      </c>
      <c r="P1267">
        <v>6</v>
      </c>
      <c r="Q1267" t="str">
        <f>IFERROR(VLOOKUP(E1267,Lookups!$A$5:$B$24,2,FALSE),"Other")</f>
        <v>Referral</v>
      </c>
      <c r="R1267" t="str">
        <f>IFERROR(VLOOKUP(F1267,Lookups!$D$5:$F$10,2,FALSE),"Unknown Product")</f>
        <v>Service Cloud</v>
      </c>
      <c r="S1267" t="str">
        <f>IFERROR(VLOOKUP(F1267,Lookups!$D$5:$F$10,3,FALSE),"Unknown")</f>
        <v>Customer Service</v>
      </c>
      <c r="T1267" t="str">
        <f t="shared" si="209"/>
        <v>Mid-Market</v>
      </c>
      <c r="U1267" t="str">
        <f t="shared" si="210"/>
        <v>Won</v>
      </c>
      <c r="V1267" s="3">
        <f t="shared" si="211"/>
        <v>25290</v>
      </c>
      <c r="W1267" s="3">
        <f t="shared" si="212"/>
        <v>0</v>
      </c>
      <c r="X1267" s="5">
        <f t="shared" si="213"/>
        <v>89</v>
      </c>
      <c r="Y1267" s="5">
        <f>IF(U1267="Open",Lookups!$B$2-B1267,X1267)</f>
        <v>89</v>
      </c>
      <c r="Z1267" t="str">
        <f t="shared" si="214"/>
        <v>OK</v>
      </c>
      <c r="AA1267" t="str">
        <f t="shared" si="215"/>
        <v>2025-12</v>
      </c>
      <c r="AB1267" t="str">
        <f t="shared" si="216"/>
        <v>2026-03</v>
      </c>
      <c r="AC1267" t="str">
        <f t="shared" si="217"/>
        <v>Q4-2025</v>
      </c>
      <c r="AD1267" s="5">
        <f t="shared" si="218"/>
        <v>75</v>
      </c>
      <c r="AE1267" t="str">
        <f t="shared" si="219"/>
        <v>Won</v>
      </c>
    </row>
    <row r="1268" spans="1:31">
      <c r="A1268" t="s">
        <v>1370</v>
      </c>
      <c r="B1268" s="1">
        <v>45970</v>
      </c>
      <c r="C1268" t="s">
        <v>148</v>
      </c>
      <c r="D1268" t="s">
        <v>43</v>
      </c>
      <c r="E1268" t="s">
        <v>70</v>
      </c>
      <c r="F1268" t="s">
        <v>133</v>
      </c>
      <c r="G1268" t="s">
        <v>72</v>
      </c>
      <c r="H1268" t="s">
        <v>84</v>
      </c>
      <c r="I1268" t="s">
        <v>61</v>
      </c>
      <c r="J1268" s="1">
        <v>46034</v>
      </c>
      <c r="K1268" s="1">
        <v>46034</v>
      </c>
      <c r="L1268" s="3">
        <v>96400</v>
      </c>
      <c r="M1268" s="4">
        <v>0</v>
      </c>
      <c r="N1268" s="4">
        <v>0</v>
      </c>
      <c r="O1268" t="s">
        <v>62</v>
      </c>
      <c r="P1268">
        <v>2</v>
      </c>
      <c r="Q1268" t="str">
        <f>IFERROR(VLOOKUP(E1268,Lookups!$A$5:$B$24,2,FALSE),"Other")</f>
        <v>LinkedIn</v>
      </c>
      <c r="R1268" t="str">
        <f>IFERROR(VLOOKUP(F1268,Lookups!$D$5:$F$10,2,FALSE),"Unknown Product")</f>
        <v>Analytics Plus</v>
      </c>
      <c r="S1268" t="str">
        <f>IFERROR(VLOOKUP(F1268,Lookups!$D$5:$F$10,3,FALSE),"Unknown")</f>
        <v>Analytics</v>
      </c>
      <c r="T1268" t="str">
        <f t="shared" si="209"/>
        <v>Enterprise</v>
      </c>
      <c r="U1268" t="str">
        <f t="shared" si="210"/>
        <v>Lost</v>
      </c>
      <c r="V1268" s="3">
        <f t="shared" si="211"/>
        <v>0</v>
      </c>
      <c r="W1268" s="3">
        <f t="shared" si="212"/>
        <v>0</v>
      </c>
      <c r="X1268" s="5">
        <f t="shared" si="213"/>
        <v>64</v>
      </c>
      <c r="Y1268" s="5">
        <f>IF(U1268="Open",Lookups!$B$2-B1268,X1268)</f>
        <v>64</v>
      </c>
      <c r="Z1268" t="str">
        <f t="shared" si="214"/>
        <v>OK</v>
      </c>
      <c r="AA1268" t="str">
        <f t="shared" si="215"/>
        <v>2025-11</v>
      </c>
      <c r="AB1268" t="str">
        <f t="shared" si="216"/>
        <v>2026-01</v>
      </c>
      <c r="AC1268" t="str">
        <f t="shared" si="217"/>
        <v>Q4-2025</v>
      </c>
      <c r="AD1268" s="5">
        <f t="shared" si="218"/>
        <v>74</v>
      </c>
      <c r="AE1268" t="str">
        <f t="shared" si="219"/>
        <v>Lost</v>
      </c>
    </row>
    <row r="1269" spans="1:31">
      <c r="A1269" t="s">
        <v>1371</v>
      </c>
      <c r="B1269" s="1">
        <v>46191</v>
      </c>
      <c r="C1269" t="s">
        <v>86</v>
      </c>
      <c r="D1269" t="s">
        <v>87</v>
      </c>
      <c r="E1269" t="s">
        <v>119</v>
      </c>
      <c r="F1269" t="s">
        <v>71</v>
      </c>
      <c r="G1269" t="s">
        <v>94</v>
      </c>
      <c r="H1269" t="s">
        <v>53</v>
      </c>
      <c r="I1269" t="s">
        <v>77</v>
      </c>
      <c r="J1269" s="1">
        <v>46236</v>
      </c>
      <c r="K1269" s="1">
        <v>46236</v>
      </c>
      <c r="L1269" s="3">
        <v>31300</v>
      </c>
      <c r="M1269" s="4">
        <v>0.03</v>
      </c>
      <c r="N1269" s="4">
        <v>1</v>
      </c>
      <c r="P1269">
        <v>6</v>
      </c>
      <c r="Q1269" t="str">
        <f>IFERROR(VLOOKUP(E1269,Lookups!$A$5:$B$24,2,FALSE),"Other")</f>
        <v>Referral</v>
      </c>
      <c r="R1269" t="str">
        <f>IFERROR(VLOOKUP(F1269,Lookups!$D$5:$F$10,2,FALSE),"Unknown Product")</f>
        <v>Marketing Automation</v>
      </c>
      <c r="S1269" t="str">
        <f>IFERROR(VLOOKUP(F1269,Lookups!$D$5:$F$10,3,FALSE),"Unknown")</f>
        <v>Marketing</v>
      </c>
      <c r="T1269" t="str">
        <f t="shared" si="209"/>
        <v>Mid-Market</v>
      </c>
      <c r="U1269" t="str">
        <f t="shared" si="210"/>
        <v>Won</v>
      </c>
      <c r="V1269" s="3">
        <f t="shared" si="211"/>
        <v>30361</v>
      </c>
      <c r="W1269" s="3">
        <f t="shared" si="212"/>
        <v>0</v>
      </c>
      <c r="X1269" s="5">
        <f t="shared" si="213"/>
        <v>45</v>
      </c>
      <c r="Y1269" s="5">
        <f>IF(U1269="Open",Lookups!$B$2-B1269,X1269)</f>
        <v>45</v>
      </c>
      <c r="Z1269" t="str">
        <f t="shared" si="214"/>
        <v>OK</v>
      </c>
      <c r="AA1269" t="str">
        <f t="shared" si="215"/>
        <v>2026-06</v>
      </c>
      <c r="AB1269" t="str">
        <f t="shared" si="216"/>
        <v>2026-08</v>
      </c>
      <c r="AC1269" t="str">
        <f t="shared" si="217"/>
        <v>Q2-2026</v>
      </c>
      <c r="AD1269" s="5">
        <f t="shared" si="218"/>
        <v>70</v>
      </c>
      <c r="AE1269" t="str">
        <f t="shared" si="219"/>
        <v>Won</v>
      </c>
    </row>
    <row r="1270" spans="1:31">
      <c r="A1270" t="s">
        <v>1372</v>
      </c>
      <c r="B1270" s="1">
        <v>45903</v>
      </c>
      <c r="C1270" t="s">
        <v>56</v>
      </c>
      <c r="D1270" t="s">
        <v>57</v>
      </c>
      <c r="E1270" t="s">
        <v>166</v>
      </c>
      <c r="F1270" t="s">
        <v>59</v>
      </c>
      <c r="G1270" t="s">
        <v>99</v>
      </c>
      <c r="H1270" t="s">
        <v>53</v>
      </c>
      <c r="I1270" t="s">
        <v>61</v>
      </c>
      <c r="J1270" s="1">
        <v>45959</v>
      </c>
      <c r="K1270" s="1">
        <v>45959</v>
      </c>
      <c r="L1270" s="3">
        <v>37700</v>
      </c>
      <c r="M1270" s="4">
        <v>0</v>
      </c>
      <c r="N1270" s="4">
        <v>0</v>
      </c>
      <c r="O1270" t="s">
        <v>62</v>
      </c>
      <c r="P1270">
        <v>4</v>
      </c>
      <c r="Q1270" t="str">
        <f>IFERROR(VLOOKUP(E1270,Lookups!$A$5:$B$24,2,FALSE),"Other")</f>
        <v>Referral</v>
      </c>
      <c r="R1270" t="str">
        <f>IFERROR(VLOOKUP(F1270,Lookups!$D$5:$F$10,2,FALSE),"Unknown Product")</f>
        <v>NexaCRM Pro</v>
      </c>
      <c r="S1270" t="str">
        <f>IFERROR(VLOOKUP(F1270,Lookups!$D$5:$F$10,3,FALSE),"Unknown")</f>
        <v>CRM</v>
      </c>
      <c r="T1270" t="str">
        <f t="shared" si="209"/>
        <v>Mid-Market</v>
      </c>
      <c r="U1270" t="str">
        <f t="shared" si="210"/>
        <v>Lost</v>
      </c>
      <c r="V1270" s="3">
        <f t="shared" si="211"/>
        <v>0</v>
      </c>
      <c r="W1270" s="3">
        <f t="shared" si="212"/>
        <v>0</v>
      </c>
      <c r="X1270" s="5">
        <f t="shared" si="213"/>
        <v>56</v>
      </c>
      <c r="Y1270" s="5">
        <f>IF(U1270="Open",Lookups!$B$2-B1270,X1270)</f>
        <v>56</v>
      </c>
      <c r="Z1270" t="str">
        <f t="shared" si="214"/>
        <v>OK</v>
      </c>
      <c r="AA1270" t="str">
        <f t="shared" si="215"/>
        <v>2025-09</v>
      </c>
      <c r="AB1270" t="str">
        <f t="shared" si="216"/>
        <v>2025-10</v>
      </c>
      <c r="AC1270" t="str">
        <f t="shared" si="217"/>
        <v>Q3-2025</v>
      </c>
      <c r="AD1270" s="5">
        <f t="shared" si="218"/>
        <v>70</v>
      </c>
      <c r="AE1270" t="str">
        <f t="shared" si="219"/>
        <v>Lost</v>
      </c>
    </row>
    <row r="1271" spans="1:31">
      <c r="A1271" t="s">
        <v>1373</v>
      </c>
      <c r="B1271" s="1">
        <v>46053</v>
      </c>
      <c r="C1271" t="s">
        <v>86</v>
      </c>
      <c r="D1271" t="s">
        <v>87</v>
      </c>
      <c r="E1271" t="s">
        <v>51</v>
      </c>
      <c r="F1271" t="s">
        <v>52</v>
      </c>
      <c r="G1271" t="s">
        <v>60</v>
      </c>
      <c r="H1271" t="s">
        <v>84</v>
      </c>
      <c r="I1271" t="s">
        <v>77</v>
      </c>
      <c r="J1271" s="1">
        <v>46136</v>
      </c>
      <c r="K1271" s="1">
        <v>46136</v>
      </c>
      <c r="L1271" s="3">
        <v>36000</v>
      </c>
      <c r="M1271" s="4">
        <v>0.05</v>
      </c>
      <c r="N1271" s="4">
        <v>1</v>
      </c>
      <c r="P1271">
        <v>6</v>
      </c>
      <c r="Q1271" t="str">
        <f>IFERROR(VLOOKUP(E1271,Lookups!$A$5:$B$24,2,FALSE),"Other")</f>
        <v>Paid Search</v>
      </c>
      <c r="R1271" t="str">
        <f>IFERROR(VLOOKUP(F1271,Lookups!$D$5:$F$10,2,FALSE),"Unknown Product")</f>
        <v>NexaCRM Core</v>
      </c>
      <c r="S1271" t="str">
        <f>IFERROR(VLOOKUP(F1271,Lookups!$D$5:$F$10,3,FALSE),"Unknown")</f>
        <v>CRM</v>
      </c>
      <c r="T1271" t="str">
        <f t="shared" si="209"/>
        <v>Mid-Market</v>
      </c>
      <c r="U1271" t="str">
        <f t="shared" si="210"/>
        <v>Won</v>
      </c>
      <c r="V1271" s="3">
        <f t="shared" si="211"/>
        <v>34200</v>
      </c>
      <c r="W1271" s="3">
        <f t="shared" si="212"/>
        <v>0</v>
      </c>
      <c r="X1271" s="5">
        <f t="shared" si="213"/>
        <v>83</v>
      </c>
      <c r="Y1271" s="5">
        <f>IF(U1271="Open",Lookups!$B$2-B1271,X1271)</f>
        <v>83</v>
      </c>
      <c r="Z1271" t="str">
        <f t="shared" si="214"/>
        <v>OK</v>
      </c>
      <c r="AA1271" t="str">
        <f t="shared" si="215"/>
        <v>2026-01</v>
      </c>
      <c r="AB1271" t="str">
        <f t="shared" si="216"/>
        <v>2026-04</v>
      </c>
      <c r="AC1271" t="str">
        <f t="shared" si="217"/>
        <v>Q1-2026</v>
      </c>
      <c r="AD1271" s="5">
        <f t="shared" si="218"/>
        <v>67</v>
      </c>
      <c r="AE1271" t="str">
        <f t="shared" si="219"/>
        <v>Won</v>
      </c>
    </row>
    <row r="1272" spans="1:31">
      <c r="A1272" t="s">
        <v>1374</v>
      </c>
      <c r="B1272" s="1">
        <v>46007</v>
      </c>
      <c r="C1272" t="s">
        <v>148</v>
      </c>
      <c r="D1272" t="s">
        <v>43</v>
      </c>
      <c r="E1272" t="s">
        <v>92</v>
      </c>
      <c r="F1272" t="s">
        <v>59</v>
      </c>
      <c r="G1272" t="s">
        <v>46</v>
      </c>
      <c r="H1272" t="s">
        <v>84</v>
      </c>
      <c r="I1272" t="s">
        <v>61</v>
      </c>
      <c r="J1272" s="1">
        <v>46052</v>
      </c>
      <c r="K1272" s="1">
        <v>46052</v>
      </c>
      <c r="L1272" s="3">
        <v>67000</v>
      </c>
      <c r="M1272" s="4">
        <v>0</v>
      </c>
      <c r="N1272" s="4">
        <v>0</v>
      </c>
      <c r="O1272" t="s">
        <v>102</v>
      </c>
      <c r="P1272">
        <v>3</v>
      </c>
      <c r="Q1272" t="str">
        <f>IFERROR(VLOOKUP(E1272,Lookups!$A$5:$B$24,2,FALSE),"Other")</f>
        <v>Webinar</v>
      </c>
      <c r="R1272" t="str">
        <f>IFERROR(VLOOKUP(F1272,Lookups!$D$5:$F$10,2,FALSE),"Unknown Product")</f>
        <v>NexaCRM Pro</v>
      </c>
      <c r="S1272" t="str">
        <f>IFERROR(VLOOKUP(F1272,Lookups!$D$5:$F$10,3,FALSE),"Unknown")</f>
        <v>CRM</v>
      </c>
      <c r="T1272" t="str">
        <f t="shared" si="209"/>
        <v>Enterprise</v>
      </c>
      <c r="U1272" t="str">
        <f t="shared" si="210"/>
        <v>Lost</v>
      </c>
      <c r="V1272" s="3">
        <f t="shared" si="211"/>
        <v>0</v>
      </c>
      <c r="W1272" s="3">
        <f t="shared" si="212"/>
        <v>0</v>
      </c>
      <c r="X1272" s="5">
        <f t="shared" si="213"/>
        <v>45</v>
      </c>
      <c r="Y1272" s="5">
        <f>IF(U1272="Open",Lookups!$B$2-B1272,X1272)</f>
        <v>45</v>
      </c>
      <c r="Z1272" t="str">
        <f t="shared" si="214"/>
        <v>OK</v>
      </c>
      <c r="AA1272" t="str">
        <f t="shared" si="215"/>
        <v>2025-12</v>
      </c>
      <c r="AB1272" t="str">
        <f t="shared" si="216"/>
        <v>2026-01</v>
      </c>
      <c r="AC1272" t="str">
        <f t="shared" si="217"/>
        <v>Q4-2025</v>
      </c>
      <c r="AD1272" s="5">
        <f t="shared" si="218"/>
        <v>74</v>
      </c>
      <c r="AE1272" t="str">
        <f t="shared" si="219"/>
        <v>Lost</v>
      </c>
    </row>
    <row r="1273" spans="1:31">
      <c r="A1273" t="s">
        <v>1375</v>
      </c>
      <c r="B1273" s="1">
        <v>46034</v>
      </c>
      <c r="C1273" t="s">
        <v>64</v>
      </c>
      <c r="D1273" t="s">
        <v>57</v>
      </c>
      <c r="E1273" t="s">
        <v>98</v>
      </c>
      <c r="F1273" t="s">
        <v>67</v>
      </c>
      <c r="G1273" t="s">
        <v>72</v>
      </c>
      <c r="H1273" t="s">
        <v>84</v>
      </c>
      <c r="I1273" t="s">
        <v>61</v>
      </c>
      <c r="J1273" s="1">
        <v>46060</v>
      </c>
      <c r="K1273" s="1">
        <v>46060</v>
      </c>
      <c r="L1273" s="3">
        <v>160000</v>
      </c>
      <c r="M1273" s="4">
        <v>0</v>
      </c>
      <c r="N1273" s="4">
        <v>0</v>
      </c>
      <c r="O1273" t="s">
        <v>116</v>
      </c>
      <c r="P1273">
        <v>4</v>
      </c>
      <c r="Q1273" t="str">
        <f>IFERROR(VLOOKUP(E1273,Lookups!$A$5:$B$24,2,FALSE),"Other")</f>
        <v>Outbound</v>
      </c>
      <c r="R1273" t="str">
        <f>IFERROR(VLOOKUP(F1273,Lookups!$D$5:$F$10,2,FALSE),"Unknown Product")</f>
        <v>Revenue Operations Suite</v>
      </c>
      <c r="S1273" t="str">
        <f>IFERROR(VLOOKUP(F1273,Lookups!$D$5:$F$10,3,FALSE),"Unknown")</f>
        <v>Revenue Ops</v>
      </c>
      <c r="T1273" t="str">
        <f t="shared" si="209"/>
        <v>Enterprise</v>
      </c>
      <c r="U1273" t="str">
        <f t="shared" si="210"/>
        <v>Lost</v>
      </c>
      <c r="V1273" s="3">
        <f t="shared" si="211"/>
        <v>0</v>
      </c>
      <c r="W1273" s="3">
        <f t="shared" si="212"/>
        <v>0</v>
      </c>
      <c r="X1273" s="5">
        <f t="shared" si="213"/>
        <v>26</v>
      </c>
      <c r="Y1273" s="5">
        <f>IF(U1273="Open",Lookups!$B$2-B1273,X1273)</f>
        <v>26</v>
      </c>
      <c r="Z1273" t="str">
        <f t="shared" si="214"/>
        <v>OK</v>
      </c>
      <c r="AA1273" t="str">
        <f t="shared" si="215"/>
        <v>2026-01</v>
      </c>
      <c r="AB1273" t="str">
        <f t="shared" si="216"/>
        <v>2026-02</v>
      </c>
      <c r="AC1273" t="str">
        <f t="shared" si="217"/>
        <v>Q1-2026</v>
      </c>
      <c r="AD1273" s="5">
        <f t="shared" si="218"/>
        <v>74</v>
      </c>
      <c r="AE1273" t="str">
        <f t="shared" si="219"/>
        <v>Lost</v>
      </c>
    </row>
    <row r="1274" spans="1:31">
      <c r="A1274" t="s">
        <v>1376</v>
      </c>
      <c r="B1274" s="1">
        <v>45686</v>
      </c>
      <c r="C1274" t="s">
        <v>42</v>
      </c>
      <c r="D1274" t="s">
        <v>43</v>
      </c>
      <c r="E1274" t="s">
        <v>119</v>
      </c>
      <c r="F1274" t="s">
        <v>67</v>
      </c>
      <c r="G1274" t="s">
        <v>46</v>
      </c>
      <c r="H1274" t="s">
        <v>53</v>
      </c>
      <c r="I1274" t="s">
        <v>61</v>
      </c>
      <c r="J1274" s="1">
        <v>45737</v>
      </c>
      <c r="K1274" s="1">
        <v>45737</v>
      </c>
      <c r="L1274" s="3">
        <v>46900</v>
      </c>
      <c r="M1274" s="4">
        <v>0</v>
      </c>
      <c r="N1274" s="4">
        <v>0</v>
      </c>
      <c r="O1274" t="s">
        <v>102</v>
      </c>
      <c r="P1274">
        <v>4</v>
      </c>
      <c r="Q1274" t="str">
        <f>IFERROR(VLOOKUP(E1274,Lookups!$A$5:$B$24,2,FALSE),"Other")</f>
        <v>Referral</v>
      </c>
      <c r="R1274" t="str">
        <f>IFERROR(VLOOKUP(F1274,Lookups!$D$5:$F$10,2,FALSE),"Unknown Product")</f>
        <v>Revenue Operations Suite</v>
      </c>
      <c r="S1274" t="str">
        <f>IFERROR(VLOOKUP(F1274,Lookups!$D$5:$F$10,3,FALSE),"Unknown")</f>
        <v>Revenue Ops</v>
      </c>
      <c r="T1274" t="str">
        <f t="shared" si="209"/>
        <v>Mid-Market</v>
      </c>
      <c r="U1274" t="str">
        <f t="shared" si="210"/>
        <v>Lost</v>
      </c>
      <c r="V1274" s="3">
        <f t="shared" si="211"/>
        <v>0</v>
      </c>
      <c r="W1274" s="3">
        <f t="shared" si="212"/>
        <v>0</v>
      </c>
      <c r="X1274" s="5">
        <f t="shared" si="213"/>
        <v>51</v>
      </c>
      <c r="Y1274" s="5">
        <f>IF(U1274="Open",Lookups!$B$2-B1274,X1274)</f>
        <v>51</v>
      </c>
      <c r="Z1274" t="str">
        <f t="shared" si="214"/>
        <v>OK</v>
      </c>
      <c r="AA1274" t="str">
        <f t="shared" si="215"/>
        <v>2025-01</v>
      </c>
      <c r="AB1274" t="str">
        <f t="shared" si="216"/>
        <v>2025-03</v>
      </c>
      <c r="AC1274" t="str">
        <f t="shared" si="217"/>
        <v>Q1-2025</v>
      </c>
      <c r="AD1274" s="5">
        <f t="shared" si="218"/>
        <v>70</v>
      </c>
      <c r="AE1274" t="str">
        <f t="shared" si="219"/>
        <v>Lost</v>
      </c>
    </row>
    <row r="1275" spans="1:31">
      <c r="A1275" t="s">
        <v>1377</v>
      </c>
      <c r="B1275" s="1">
        <v>45793</v>
      </c>
      <c r="C1275" t="s">
        <v>90</v>
      </c>
      <c r="D1275" t="s">
        <v>57</v>
      </c>
      <c r="E1275" t="s">
        <v>127</v>
      </c>
      <c r="F1275" t="s">
        <v>52</v>
      </c>
      <c r="G1275" t="s">
        <v>46</v>
      </c>
      <c r="H1275" t="s">
        <v>47</v>
      </c>
      <c r="I1275" t="s">
        <v>61</v>
      </c>
      <c r="J1275" s="1">
        <v>45821</v>
      </c>
      <c r="K1275" s="1">
        <v>45821</v>
      </c>
      <c r="L1275" s="3">
        <v>5500</v>
      </c>
      <c r="M1275" s="4">
        <v>0</v>
      </c>
      <c r="N1275" s="4">
        <v>0</v>
      </c>
      <c r="O1275" t="s">
        <v>102</v>
      </c>
      <c r="P1275">
        <v>4</v>
      </c>
      <c r="Q1275" t="str">
        <f>IFERROR(VLOOKUP(E1275,Lookups!$A$5:$B$24,2,FALSE),"Other")</f>
        <v>Paid Search</v>
      </c>
      <c r="R1275" t="str">
        <f>IFERROR(VLOOKUP(F1275,Lookups!$D$5:$F$10,2,FALSE),"Unknown Product")</f>
        <v>NexaCRM Core</v>
      </c>
      <c r="S1275" t="str">
        <f>IFERROR(VLOOKUP(F1275,Lookups!$D$5:$F$10,3,FALSE),"Unknown")</f>
        <v>CRM</v>
      </c>
      <c r="T1275" t="str">
        <f t="shared" si="209"/>
        <v>SMB</v>
      </c>
      <c r="U1275" t="str">
        <f t="shared" si="210"/>
        <v>Lost</v>
      </c>
      <c r="V1275" s="3">
        <f t="shared" si="211"/>
        <v>0</v>
      </c>
      <c r="W1275" s="3">
        <f t="shared" si="212"/>
        <v>0</v>
      </c>
      <c r="X1275" s="5">
        <f t="shared" si="213"/>
        <v>28</v>
      </c>
      <c r="Y1275" s="5">
        <f>IF(U1275="Open",Lookups!$B$2-B1275,X1275)</f>
        <v>28</v>
      </c>
      <c r="Z1275" t="str">
        <f t="shared" si="214"/>
        <v>OK</v>
      </c>
      <c r="AA1275" t="str">
        <f t="shared" si="215"/>
        <v>2025-05</v>
      </c>
      <c r="AB1275" t="str">
        <f t="shared" si="216"/>
        <v>2025-06</v>
      </c>
      <c r="AC1275" t="str">
        <f t="shared" si="217"/>
        <v>Q2-2025</v>
      </c>
      <c r="AD1275" s="5">
        <f t="shared" si="218"/>
        <v>43</v>
      </c>
      <c r="AE1275" t="str">
        <f t="shared" si="219"/>
        <v>Lost</v>
      </c>
    </row>
    <row r="1276" spans="1:31">
      <c r="A1276" t="s">
        <v>1378</v>
      </c>
      <c r="B1276" s="1">
        <v>45662</v>
      </c>
      <c r="C1276" t="s">
        <v>42</v>
      </c>
      <c r="D1276" t="s">
        <v>43</v>
      </c>
      <c r="E1276" t="s">
        <v>160</v>
      </c>
      <c r="F1276" t="s">
        <v>71</v>
      </c>
      <c r="G1276" t="s">
        <v>72</v>
      </c>
      <c r="H1276" t="s">
        <v>53</v>
      </c>
      <c r="I1276" t="s">
        <v>61</v>
      </c>
      <c r="J1276" s="1">
        <v>45717</v>
      </c>
      <c r="K1276" s="1">
        <v>45717</v>
      </c>
      <c r="L1276" s="3">
        <v>30500</v>
      </c>
      <c r="M1276" s="4">
        <v>0</v>
      </c>
      <c r="N1276" s="4">
        <v>0</v>
      </c>
      <c r="O1276" t="s">
        <v>79</v>
      </c>
      <c r="P1276">
        <v>2</v>
      </c>
      <c r="Q1276" t="str">
        <f>IFERROR(VLOOKUP(E1276,Lookups!$A$5:$B$24,2,FALSE),"Other")</f>
        <v>Email</v>
      </c>
      <c r="R1276" t="str">
        <f>IFERROR(VLOOKUP(F1276,Lookups!$D$5:$F$10,2,FALSE),"Unknown Product")</f>
        <v>Marketing Automation</v>
      </c>
      <c r="S1276" t="str">
        <f>IFERROR(VLOOKUP(F1276,Lookups!$D$5:$F$10,3,FALSE),"Unknown")</f>
        <v>Marketing</v>
      </c>
      <c r="T1276" t="str">
        <f t="shared" si="209"/>
        <v>Mid-Market</v>
      </c>
      <c r="U1276" t="str">
        <f t="shared" si="210"/>
        <v>Lost</v>
      </c>
      <c r="V1276" s="3">
        <f t="shared" si="211"/>
        <v>0</v>
      </c>
      <c r="W1276" s="3">
        <f t="shared" si="212"/>
        <v>0</v>
      </c>
      <c r="X1276" s="5">
        <f t="shared" si="213"/>
        <v>55</v>
      </c>
      <c r="Y1276" s="5">
        <f>IF(U1276="Open",Lookups!$B$2-B1276,X1276)</f>
        <v>55</v>
      </c>
      <c r="Z1276" t="str">
        <f t="shared" si="214"/>
        <v>OK</v>
      </c>
      <c r="AA1276" t="str">
        <f t="shared" si="215"/>
        <v>2025-01</v>
      </c>
      <c r="AB1276" t="str">
        <f t="shared" si="216"/>
        <v>2025-03</v>
      </c>
      <c r="AC1276" t="str">
        <f t="shared" si="217"/>
        <v>Q1-2025</v>
      </c>
      <c r="AD1276" s="5">
        <f t="shared" si="218"/>
        <v>63</v>
      </c>
      <c r="AE1276" t="str">
        <f t="shared" si="219"/>
        <v>Lost</v>
      </c>
    </row>
    <row r="1277" spans="1:31">
      <c r="A1277" t="s">
        <v>1379</v>
      </c>
      <c r="B1277" s="1">
        <v>45947</v>
      </c>
      <c r="C1277" t="s">
        <v>148</v>
      </c>
      <c r="D1277" t="s">
        <v>43</v>
      </c>
      <c r="E1277" t="s">
        <v>119</v>
      </c>
      <c r="F1277" t="s">
        <v>59</v>
      </c>
      <c r="G1277" t="s">
        <v>60</v>
      </c>
      <c r="H1277" t="s">
        <v>47</v>
      </c>
      <c r="I1277" t="s">
        <v>61</v>
      </c>
      <c r="J1277" s="1">
        <v>45997</v>
      </c>
      <c r="K1277" s="1">
        <v>45997</v>
      </c>
      <c r="L1277" s="3">
        <v>23300</v>
      </c>
      <c r="M1277" s="4">
        <v>0</v>
      </c>
      <c r="N1277" s="4">
        <v>0</v>
      </c>
      <c r="O1277" t="s">
        <v>102</v>
      </c>
      <c r="P1277">
        <v>5</v>
      </c>
      <c r="Q1277" t="str">
        <f>IFERROR(VLOOKUP(E1277,Lookups!$A$5:$B$24,2,FALSE),"Other")</f>
        <v>Referral</v>
      </c>
      <c r="R1277" t="str">
        <f>IFERROR(VLOOKUP(F1277,Lookups!$D$5:$F$10,2,FALSE),"Unknown Product")</f>
        <v>NexaCRM Pro</v>
      </c>
      <c r="S1277" t="str">
        <f>IFERROR(VLOOKUP(F1277,Lookups!$D$5:$F$10,3,FALSE),"Unknown")</f>
        <v>CRM</v>
      </c>
      <c r="T1277" t="str">
        <f t="shared" si="209"/>
        <v>Mid-Market</v>
      </c>
      <c r="U1277" t="str">
        <f t="shared" si="210"/>
        <v>Lost</v>
      </c>
      <c r="V1277" s="3">
        <f t="shared" si="211"/>
        <v>0</v>
      </c>
      <c r="W1277" s="3">
        <f t="shared" si="212"/>
        <v>0</v>
      </c>
      <c r="X1277" s="5">
        <f t="shared" si="213"/>
        <v>50</v>
      </c>
      <c r="Y1277" s="5">
        <f>IF(U1277="Open",Lookups!$B$2-B1277,X1277)</f>
        <v>50</v>
      </c>
      <c r="Z1277" t="str">
        <f t="shared" si="214"/>
        <v>OK</v>
      </c>
      <c r="AA1277" t="str">
        <f t="shared" si="215"/>
        <v>2025-10</v>
      </c>
      <c r="AB1277" t="str">
        <f t="shared" si="216"/>
        <v>2025-12</v>
      </c>
      <c r="AC1277" t="str">
        <f t="shared" si="217"/>
        <v>Q4-2025</v>
      </c>
      <c r="AD1277" s="5">
        <f t="shared" si="218"/>
        <v>62</v>
      </c>
      <c r="AE1277" t="str">
        <f t="shared" si="219"/>
        <v>Lost</v>
      </c>
    </row>
    <row r="1278" spans="1:31">
      <c r="A1278" t="s">
        <v>1380</v>
      </c>
      <c r="B1278" s="1">
        <v>45919</v>
      </c>
      <c r="C1278" t="s">
        <v>50</v>
      </c>
      <c r="D1278" t="s">
        <v>43</v>
      </c>
      <c r="E1278" t="s">
        <v>65</v>
      </c>
      <c r="F1278" t="s">
        <v>59</v>
      </c>
      <c r="G1278" t="s">
        <v>46</v>
      </c>
      <c r="H1278" t="s">
        <v>53</v>
      </c>
      <c r="I1278" t="s">
        <v>77</v>
      </c>
      <c r="J1278" s="1">
        <v>45981</v>
      </c>
      <c r="K1278" s="1">
        <v>45981</v>
      </c>
      <c r="L1278" s="3">
        <v>20800</v>
      </c>
      <c r="M1278" s="4">
        <v>0.12</v>
      </c>
      <c r="N1278" s="4">
        <v>1</v>
      </c>
      <c r="P1278">
        <v>6</v>
      </c>
      <c r="Q1278" t="str">
        <f>IFERROR(VLOOKUP(E1278,Lookups!$A$5:$B$24,2,FALSE),"Other")</f>
        <v>Paid Search</v>
      </c>
      <c r="R1278" t="str">
        <f>IFERROR(VLOOKUP(F1278,Lookups!$D$5:$F$10,2,FALSE),"Unknown Product")</f>
        <v>NexaCRM Pro</v>
      </c>
      <c r="S1278" t="str">
        <f>IFERROR(VLOOKUP(F1278,Lookups!$D$5:$F$10,3,FALSE),"Unknown")</f>
        <v>CRM</v>
      </c>
      <c r="T1278" t="str">
        <f t="shared" si="209"/>
        <v>Mid-Market</v>
      </c>
      <c r="U1278" t="str">
        <f t="shared" si="210"/>
        <v>Won</v>
      </c>
      <c r="V1278" s="3">
        <f t="shared" si="211"/>
        <v>18304</v>
      </c>
      <c r="W1278" s="3">
        <f t="shared" si="212"/>
        <v>0</v>
      </c>
      <c r="X1278" s="5">
        <f t="shared" si="213"/>
        <v>62</v>
      </c>
      <c r="Y1278" s="5">
        <f>IF(U1278="Open",Lookups!$B$2-B1278,X1278)</f>
        <v>62</v>
      </c>
      <c r="Z1278" t="str">
        <f t="shared" si="214"/>
        <v>OK</v>
      </c>
      <c r="AA1278" t="str">
        <f t="shared" si="215"/>
        <v>2025-09</v>
      </c>
      <c r="AB1278" t="str">
        <f t="shared" si="216"/>
        <v>2025-11</v>
      </c>
      <c r="AC1278" t="str">
        <f t="shared" si="217"/>
        <v>Q3-2025</v>
      </c>
      <c r="AD1278" s="5">
        <f t="shared" si="218"/>
        <v>59</v>
      </c>
      <c r="AE1278" t="str">
        <f t="shared" si="219"/>
        <v>Won</v>
      </c>
    </row>
    <row r="1279" spans="1:31">
      <c r="A1279" t="s">
        <v>1381</v>
      </c>
      <c r="B1279" s="1">
        <v>46060</v>
      </c>
      <c r="C1279" t="s">
        <v>148</v>
      </c>
      <c r="D1279" t="s">
        <v>43</v>
      </c>
      <c r="E1279" t="s">
        <v>83</v>
      </c>
      <c r="F1279" t="s">
        <v>133</v>
      </c>
      <c r="G1279" t="s">
        <v>46</v>
      </c>
      <c r="H1279" t="s">
        <v>47</v>
      </c>
      <c r="I1279" t="s">
        <v>61</v>
      </c>
      <c r="J1279" s="1">
        <v>46109</v>
      </c>
      <c r="K1279" s="1">
        <v>46109</v>
      </c>
      <c r="L1279" s="3">
        <v>23900</v>
      </c>
      <c r="M1279" s="4">
        <v>0</v>
      </c>
      <c r="N1279" s="4">
        <v>0</v>
      </c>
      <c r="O1279" t="s">
        <v>110</v>
      </c>
      <c r="P1279">
        <v>2</v>
      </c>
      <c r="Q1279" t="str">
        <f>IFERROR(VLOOKUP(E1279,Lookups!$A$5:$B$24,2,FALSE),"Other")</f>
        <v>Organic Search</v>
      </c>
      <c r="R1279" t="str">
        <f>IFERROR(VLOOKUP(F1279,Lookups!$D$5:$F$10,2,FALSE),"Unknown Product")</f>
        <v>Analytics Plus</v>
      </c>
      <c r="S1279" t="str">
        <f>IFERROR(VLOOKUP(F1279,Lookups!$D$5:$F$10,3,FALSE),"Unknown")</f>
        <v>Analytics</v>
      </c>
      <c r="T1279" t="str">
        <f t="shared" si="209"/>
        <v>Mid-Market</v>
      </c>
      <c r="U1279" t="str">
        <f t="shared" si="210"/>
        <v>Lost</v>
      </c>
      <c r="V1279" s="3">
        <f t="shared" si="211"/>
        <v>0</v>
      </c>
      <c r="W1279" s="3">
        <f t="shared" si="212"/>
        <v>0</v>
      </c>
      <c r="X1279" s="5">
        <f t="shared" si="213"/>
        <v>49</v>
      </c>
      <c r="Y1279" s="5">
        <f>IF(U1279="Open",Lookups!$B$2-B1279,X1279)</f>
        <v>49</v>
      </c>
      <c r="Z1279" t="str">
        <f t="shared" si="214"/>
        <v>OK</v>
      </c>
      <c r="AA1279" t="str">
        <f t="shared" si="215"/>
        <v>2026-02</v>
      </c>
      <c r="AB1279" t="str">
        <f t="shared" si="216"/>
        <v>2026-03</v>
      </c>
      <c r="AC1279" t="str">
        <f t="shared" si="217"/>
        <v>Q1-2026</v>
      </c>
      <c r="AD1279" s="5">
        <f t="shared" si="218"/>
        <v>57</v>
      </c>
      <c r="AE1279" t="str">
        <f t="shared" si="219"/>
        <v>Lost</v>
      </c>
    </row>
    <row r="1280" spans="1:31">
      <c r="A1280" t="s">
        <v>1382</v>
      </c>
      <c r="B1280" s="1">
        <v>46201</v>
      </c>
      <c r="C1280" t="s">
        <v>50</v>
      </c>
      <c r="D1280" t="s">
        <v>43</v>
      </c>
      <c r="E1280" t="s">
        <v>115</v>
      </c>
      <c r="F1280" t="s">
        <v>52</v>
      </c>
      <c r="G1280" t="s">
        <v>76</v>
      </c>
      <c r="H1280" t="s">
        <v>53</v>
      </c>
      <c r="I1280" t="s">
        <v>77</v>
      </c>
      <c r="J1280" s="1">
        <v>46252</v>
      </c>
      <c r="K1280" s="1">
        <v>46252</v>
      </c>
      <c r="L1280" s="3">
        <v>10400</v>
      </c>
      <c r="M1280" s="4">
        <v>0.1</v>
      </c>
      <c r="N1280" s="4">
        <v>1</v>
      </c>
      <c r="P1280">
        <v>6</v>
      </c>
      <c r="Q1280" t="str">
        <f>IFERROR(VLOOKUP(E1280,Lookups!$A$5:$B$24,2,FALSE),"Other")</f>
        <v>Outbound</v>
      </c>
      <c r="R1280" t="str">
        <f>IFERROR(VLOOKUP(F1280,Lookups!$D$5:$F$10,2,FALSE),"Unknown Product")</f>
        <v>NexaCRM Core</v>
      </c>
      <c r="S1280" t="str">
        <f>IFERROR(VLOOKUP(F1280,Lookups!$D$5:$F$10,3,FALSE),"Unknown")</f>
        <v>CRM</v>
      </c>
      <c r="T1280" t="str">
        <f t="shared" si="209"/>
        <v>SMB</v>
      </c>
      <c r="U1280" t="str">
        <f t="shared" si="210"/>
        <v>Won</v>
      </c>
      <c r="V1280" s="3">
        <f t="shared" si="211"/>
        <v>9360</v>
      </c>
      <c r="W1280" s="3">
        <f t="shared" si="212"/>
        <v>0</v>
      </c>
      <c r="X1280" s="5">
        <f t="shared" si="213"/>
        <v>51</v>
      </c>
      <c r="Y1280" s="5">
        <f>IF(U1280="Open",Lookups!$B$2-B1280,X1280)</f>
        <v>51</v>
      </c>
      <c r="Z1280" t="str">
        <f t="shared" si="214"/>
        <v>OK</v>
      </c>
      <c r="AA1280" t="str">
        <f t="shared" si="215"/>
        <v>2026-06</v>
      </c>
      <c r="AB1280" t="str">
        <f t="shared" si="216"/>
        <v>2026-08</v>
      </c>
      <c r="AC1280" t="str">
        <f t="shared" si="217"/>
        <v>Q2-2026</v>
      </c>
      <c r="AD1280" s="5">
        <f t="shared" si="218"/>
        <v>51</v>
      </c>
      <c r="AE1280" t="str">
        <f t="shared" si="219"/>
        <v>Won</v>
      </c>
    </row>
    <row r="1281" spans="1:31">
      <c r="A1281" t="s">
        <v>1383</v>
      </c>
      <c r="B1281" s="1">
        <v>45988</v>
      </c>
      <c r="C1281" t="s">
        <v>86</v>
      </c>
      <c r="D1281" t="s">
        <v>87</v>
      </c>
      <c r="E1281" t="s">
        <v>109</v>
      </c>
      <c r="F1281" t="s">
        <v>59</v>
      </c>
      <c r="G1281" t="s">
        <v>72</v>
      </c>
      <c r="H1281" t="s">
        <v>47</v>
      </c>
      <c r="I1281" t="s">
        <v>61</v>
      </c>
      <c r="J1281" s="1">
        <v>46041</v>
      </c>
      <c r="K1281" s="1">
        <v>46041</v>
      </c>
      <c r="L1281" s="3">
        <v>18300</v>
      </c>
      <c r="M1281" s="4">
        <v>0</v>
      </c>
      <c r="N1281" s="4">
        <v>0</v>
      </c>
      <c r="O1281" t="s">
        <v>79</v>
      </c>
      <c r="P1281">
        <v>2</v>
      </c>
      <c r="Q1281" t="str">
        <f>IFERROR(VLOOKUP(E1281,Lookups!$A$5:$B$24,2,FALSE),"Other")</f>
        <v>Outbound</v>
      </c>
      <c r="R1281" t="str">
        <f>IFERROR(VLOOKUP(F1281,Lookups!$D$5:$F$10,2,FALSE),"Unknown Product")</f>
        <v>NexaCRM Pro</v>
      </c>
      <c r="S1281" t="str">
        <f>IFERROR(VLOOKUP(F1281,Lookups!$D$5:$F$10,3,FALSE),"Unknown")</f>
        <v>CRM</v>
      </c>
      <c r="T1281" t="str">
        <f t="shared" si="209"/>
        <v>SMB</v>
      </c>
      <c r="U1281" t="str">
        <f t="shared" si="210"/>
        <v>Lost</v>
      </c>
      <c r="V1281" s="3">
        <f t="shared" si="211"/>
        <v>0</v>
      </c>
      <c r="W1281" s="3">
        <f t="shared" si="212"/>
        <v>0</v>
      </c>
      <c r="X1281" s="5">
        <f t="shared" si="213"/>
        <v>53</v>
      </c>
      <c r="Y1281" s="5">
        <f>IF(U1281="Open",Lookups!$B$2-B1281,X1281)</f>
        <v>53</v>
      </c>
      <c r="Z1281" t="str">
        <f t="shared" si="214"/>
        <v>OK</v>
      </c>
      <c r="AA1281" t="str">
        <f t="shared" si="215"/>
        <v>2025-11</v>
      </c>
      <c r="AB1281" t="str">
        <f t="shared" si="216"/>
        <v>2026-01</v>
      </c>
      <c r="AC1281" t="str">
        <f t="shared" si="217"/>
        <v>Q4-2025</v>
      </c>
      <c r="AD1281" s="5">
        <f t="shared" si="218"/>
        <v>43</v>
      </c>
      <c r="AE1281" t="str">
        <f t="shared" si="219"/>
        <v>Lost</v>
      </c>
    </row>
    <row r="1282" spans="1:31">
      <c r="A1282" t="s">
        <v>1384</v>
      </c>
      <c r="B1282" s="1">
        <v>45848</v>
      </c>
      <c r="C1282" t="s">
        <v>69</v>
      </c>
      <c r="D1282" t="s">
        <v>57</v>
      </c>
      <c r="E1282" t="s">
        <v>58</v>
      </c>
      <c r="F1282" t="s">
        <v>52</v>
      </c>
      <c r="G1282" t="s">
        <v>99</v>
      </c>
      <c r="H1282" t="s">
        <v>53</v>
      </c>
      <c r="I1282" t="s">
        <v>61</v>
      </c>
      <c r="J1282" s="1">
        <v>45856</v>
      </c>
      <c r="K1282" s="1">
        <v>45856</v>
      </c>
      <c r="L1282" s="3">
        <v>12400</v>
      </c>
      <c r="M1282" s="4">
        <v>0</v>
      </c>
      <c r="N1282" s="4">
        <v>0</v>
      </c>
      <c r="O1282" t="s">
        <v>116</v>
      </c>
      <c r="P1282">
        <v>3</v>
      </c>
      <c r="Q1282" t="str">
        <f>IFERROR(VLOOKUP(E1282,Lookups!$A$5:$B$24,2,FALSE),"Other")</f>
        <v>Email</v>
      </c>
      <c r="R1282" t="str">
        <f>IFERROR(VLOOKUP(F1282,Lookups!$D$5:$F$10,2,FALSE),"Unknown Product")</f>
        <v>NexaCRM Core</v>
      </c>
      <c r="S1282" t="str">
        <f>IFERROR(VLOOKUP(F1282,Lookups!$D$5:$F$10,3,FALSE),"Unknown")</f>
        <v>CRM</v>
      </c>
      <c r="T1282" t="str">
        <f t="shared" ref="T1282:T1345" si="220">IF(L1282&gt;=50000,"Enterprise",IF(L1282&gt;=20000,"Mid-Market","SMB"))</f>
        <v>SMB</v>
      </c>
      <c r="U1282" t="str">
        <f t="shared" ref="U1282:U1345" si="221">IF(I1282="Closed Won","Won",IF(I1282="Closed Lost","Lost","Open"))</f>
        <v>Lost</v>
      </c>
      <c r="V1282" s="3">
        <f t="shared" ref="V1282:V1345" si="222">IF(U1282="Won",L1282*(1-M1282),0)</f>
        <v>0</v>
      </c>
      <c r="W1282" s="3">
        <f t="shared" ref="W1282:W1345" si="223">IF(U1282="Open",L1282*N1282,0)</f>
        <v>0</v>
      </c>
      <c r="X1282" s="5">
        <f t="shared" ref="X1282:X1345" si="224">IF(U1282="Open","",IFERROR(K1282-B1282,""))</f>
        <v>8</v>
      </c>
      <c r="Y1282" s="5">
        <f>IF(U1282="Open",Lookups!$B$2-B1282,X1282)</f>
        <v>8</v>
      </c>
      <c r="Z1282" t="str">
        <f t="shared" ref="Z1282:Z1345" si="225">IF(AND(U1282="Open",Y1282&gt;30),"STALE","OK")</f>
        <v>OK</v>
      </c>
      <c r="AA1282" t="str">
        <f t="shared" ref="AA1282:AA1345" si="226">TEXT(B1282,"yyyy-mm")</f>
        <v>2025-07</v>
      </c>
      <c r="AB1282" t="str">
        <f t="shared" ref="AB1282:AB1345" si="227">IF(K1282="","",TEXT(K1282,"yyyy-mm"))</f>
        <v>2025-07</v>
      </c>
      <c r="AC1282" t="str">
        <f t="shared" ref="AC1282:AC1345" si="228">"Q"&amp;ROUNDUP(MONTH(B1282)/3,0)&amp;"-"&amp;YEAR(B1282)</f>
        <v>Q3-2025</v>
      </c>
      <c r="AD1282" s="5">
        <f t="shared" ref="AD1282:AD1345" si="229">MIN(100,IF(H1282="Enterprise",30,IF(H1282="Mid-Market",22,14))+IF(T1282="Enterprise",25,IF(T1282="Mid-Market",18,10))+IF(Q1282="Referral",25,IF(Q1282="Organic Search",20,IF(Q1282="Email",18,14)))+IF(G1282="Technology",10,5))</f>
        <v>55</v>
      </c>
      <c r="AE1282" t="str">
        <f t="shared" ref="AE1282:AE1345" si="230">IF(U1282&lt;&gt;"Open",U1282,IF(N1282&gt;=0.8,"Commit",IF(N1282&gt;=0.5,"Best Case","Pipeline")))</f>
        <v>Lost</v>
      </c>
    </row>
    <row r="1283" spans="1:31">
      <c r="A1283" t="s">
        <v>1385</v>
      </c>
      <c r="B1283" s="1">
        <v>45774</v>
      </c>
      <c r="C1283" t="s">
        <v>64</v>
      </c>
      <c r="D1283" t="s">
        <v>57</v>
      </c>
      <c r="E1283" t="s">
        <v>127</v>
      </c>
      <c r="F1283" t="s">
        <v>71</v>
      </c>
      <c r="G1283" t="s">
        <v>46</v>
      </c>
      <c r="H1283" t="s">
        <v>47</v>
      </c>
      <c r="I1283" t="s">
        <v>61</v>
      </c>
      <c r="J1283" s="1">
        <v>45827</v>
      </c>
      <c r="K1283" s="1">
        <v>45827</v>
      </c>
      <c r="L1283" s="3">
        <v>13900</v>
      </c>
      <c r="M1283" s="4">
        <v>0</v>
      </c>
      <c r="N1283" s="4">
        <v>0</v>
      </c>
      <c r="O1283" t="s">
        <v>62</v>
      </c>
      <c r="P1283">
        <v>4</v>
      </c>
      <c r="Q1283" t="str">
        <f>IFERROR(VLOOKUP(E1283,Lookups!$A$5:$B$24,2,FALSE),"Other")</f>
        <v>Paid Search</v>
      </c>
      <c r="R1283" t="str">
        <f>IFERROR(VLOOKUP(F1283,Lookups!$D$5:$F$10,2,FALSE),"Unknown Product")</f>
        <v>Marketing Automation</v>
      </c>
      <c r="S1283" t="str">
        <f>IFERROR(VLOOKUP(F1283,Lookups!$D$5:$F$10,3,FALSE),"Unknown")</f>
        <v>Marketing</v>
      </c>
      <c r="T1283" t="str">
        <f t="shared" si="220"/>
        <v>SMB</v>
      </c>
      <c r="U1283" t="str">
        <f t="shared" si="221"/>
        <v>Lost</v>
      </c>
      <c r="V1283" s="3">
        <f t="shared" si="222"/>
        <v>0</v>
      </c>
      <c r="W1283" s="3">
        <f t="shared" si="223"/>
        <v>0</v>
      </c>
      <c r="X1283" s="5">
        <f t="shared" si="224"/>
        <v>53</v>
      </c>
      <c r="Y1283" s="5">
        <f>IF(U1283="Open",Lookups!$B$2-B1283,X1283)</f>
        <v>53</v>
      </c>
      <c r="Z1283" t="str">
        <f t="shared" si="225"/>
        <v>OK</v>
      </c>
      <c r="AA1283" t="str">
        <f t="shared" si="226"/>
        <v>2025-04</v>
      </c>
      <c r="AB1283" t="str">
        <f t="shared" si="227"/>
        <v>2025-06</v>
      </c>
      <c r="AC1283" t="str">
        <f t="shared" si="228"/>
        <v>Q2-2025</v>
      </c>
      <c r="AD1283" s="5">
        <f t="shared" si="229"/>
        <v>43</v>
      </c>
      <c r="AE1283" t="str">
        <f t="shared" si="230"/>
        <v>Lost</v>
      </c>
    </row>
    <row r="1284" spans="1:31">
      <c r="A1284" t="s">
        <v>1386</v>
      </c>
      <c r="B1284" s="1">
        <v>46085</v>
      </c>
      <c r="C1284" t="s">
        <v>148</v>
      </c>
      <c r="D1284" t="s">
        <v>43</v>
      </c>
      <c r="E1284" t="s">
        <v>92</v>
      </c>
      <c r="F1284" t="s">
        <v>59</v>
      </c>
      <c r="G1284" t="s">
        <v>112</v>
      </c>
      <c r="H1284" t="s">
        <v>84</v>
      </c>
      <c r="I1284" t="s">
        <v>61</v>
      </c>
      <c r="J1284" s="1">
        <v>46122</v>
      </c>
      <c r="K1284" s="1">
        <v>46122</v>
      </c>
      <c r="L1284" s="3">
        <v>62800</v>
      </c>
      <c r="M1284" s="4">
        <v>0</v>
      </c>
      <c r="N1284" s="4">
        <v>0</v>
      </c>
      <c r="O1284" t="s">
        <v>62</v>
      </c>
      <c r="P1284">
        <v>5</v>
      </c>
      <c r="Q1284" t="str">
        <f>IFERROR(VLOOKUP(E1284,Lookups!$A$5:$B$24,2,FALSE),"Other")</f>
        <v>Webinar</v>
      </c>
      <c r="R1284" t="str">
        <f>IFERROR(VLOOKUP(F1284,Lookups!$D$5:$F$10,2,FALSE),"Unknown Product")</f>
        <v>NexaCRM Pro</v>
      </c>
      <c r="S1284" t="str">
        <f>IFERROR(VLOOKUP(F1284,Lookups!$D$5:$F$10,3,FALSE),"Unknown")</f>
        <v>CRM</v>
      </c>
      <c r="T1284" t="str">
        <f t="shared" si="220"/>
        <v>Enterprise</v>
      </c>
      <c r="U1284" t="str">
        <f t="shared" si="221"/>
        <v>Lost</v>
      </c>
      <c r="V1284" s="3">
        <f t="shared" si="222"/>
        <v>0</v>
      </c>
      <c r="W1284" s="3">
        <f t="shared" si="223"/>
        <v>0</v>
      </c>
      <c r="X1284" s="5">
        <f t="shared" si="224"/>
        <v>37</v>
      </c>
      <c r="Y1284" s="5">
        <f>IF(U1284="Open",Lookups!$B$2-B1284,X1284)</f>
        <v>37</v>
      </c>
      <c r="Z1284" t="str">
        <f t="shared" si="225"/>
        <v>OK</v>
      </c>
      <c r="AA1284" t="str">
        <f t="shared" si="226"/>
        <v>2026-03</v>
      </c>
      <c r="AB1284" t="str">
        <f t="shared" si="227"/>
        <v>2026-04</v>
      </c>
      <c r="AC1284" t="str">
        <f t="shared" si="228"/>
        <v>Q1-2026</v>
      </c>
      <c r="AD1284" s="5">
        <f t="shared" si="229"/>
        <v>79</v>
      </c>
      <c r="AE1284" t="str">
        <f t="shared" si="230"/>
        <v>Lost</v>
      </c>
    </row>
    <row r="1285" spans="1:31">
      <c r="A1285" t="s">
        <v>1387</v>
      </c>
      <c r="B1285" s="1">
        <v>46101</v>
      </c>
      <c r="C1285" t="s">
        <v>42</v>
      </c>
      <c r="D1285" t="s">
        <v>43</v>
      </c>
      <c r="E1285" t="s">
        <v>107</v>
      </c>
      <c r="F1285" t="s">
        <v>45</v>
      </c>
      <c r="G1285" t="s">
        <v>46</v>
      </c>
      <c r="H1285" t="s">
        <v>47</v>
      </c>
      <c r="I1285" t="s">
        <v>61</v>
      </c>
      <c r="J1285" s="1">
        <v>46141</v>
      </c>
      <c r="K1285" s="1">
        <v>46141</v>
      </c>
      <c r="L1285" s="3">
        <v>14300</v>
      </c>
      <c r="M1285" s="4">
        <v>0</v>
      </c>
      <c r="N1285" s="4">
        <v>0</v>
      </c>
      <c r="O1285" t="s">
        <v>81</v>
      </c>
      <c r="P1285">
        <v>4</v>
      </c>
      <c r="Q1285" t="str">
        <f>IFERROR(VLOOKUP(E1285,Lookups!$A$5:$B$24,2,FALSE),"Other")</f>
        <v>Referral</v>
      </c>
      <c r="R1285" t="str">
        <f>IFERROR(VLOOKUP(F1285,Lookups!$D$5:$F$10,2,FALSE),"Unknown Product")</f>
        <v>Service Cloud</v>
      </c>
      <c r="S1285" t="str">
        <f>IFERROR(VLOOKUP(F1285,Lookups!$D$5:$F$10,3,FALSE),"Unknown")</f>
        <v>Customer Service</v>
      </c>
      <c r="T1285" t="str">
        <f t="shared" si="220"/>
        <v>SMB</v>
      </c>
      <c r="U1285" t="str">
        <f t="shared" si="221"/>
        <v>Lost</v>
      </c>
      <c r="V1285" s="3">
        <f t="shared" si="222"/>
        <v>0</v>
      </c>
      <c r="W1285" s="3">
        <f t="shared" si="223"/>
        <v>0</v>
      </c>
      <c r="X1285" s="5">
        <f t="shared" si="224"/>
        <v>40</v>
      </c>
      <c r="Y1285" s="5">
        <f>IF(U1285="Open",Lookups!$B$2-B1285,X1285)</f>
        <v>40</v>
      </c>
      <c r="Z1285" t="str">
        <f t="shared" si="225"/>
        <v>OK</v>
      </c>
      <c r="AA1285" t="str">
        <f t="shared" si="226"/>
        <v>2026-03</v>
      </c>
      <c r="AB1285" t="str">
        <f t="shared" si="227"/>
        <v>2026-04</v>
      </c>
      <c r="AC1285" t="str">
        <f t="shared" si="228"/>
        <v>Q1-2026</v>
      </c>
      <c r="AD1285" s="5">
        <f t="shared" si="229"/>
        <v>54</v>
      </c>
      <c r="AE1285" t="str">
        <f t="shared" si="230"/>
        <v>Lost</v>
      </c>
    </row>
    <row r="1286" spans="1:31">
      <c r="A1286" t="s">
        <v>1388</v>
      </c>
      <c r="B1286" s="1">
        <v>45944</v>
      </c>
      <c r="C1286" t="s">
        <v>42</v>
      </c>
      <c r="D1286" t="s">
        <v>43</v>
      </c>
      <c r="E1286" t="s">
        <v>123</v>
      </c>
      <c r="F1286" t="s">
        <v>52</v>
      </c>
      <c r="G1286" t="s">
        <v>60</v>
      </c>
      <c r="H1286" t="s">
        <v>53</v>
      </c>
      <c r="I1286" t="s">
        <v>77</v>
      </c>
      <c r="J1286" s="1">
        <v>45995</v>
      </c>
      <c r="K1286" s="1">
        <v>45995</v>
      </c>
      <c r="L1286" s="3">
        <v>17000</v>
      </c>
      <c r="M1286" s="4">
        <v>0.05</v>
      </c>
      <c r="N1286" s="4">
        <v>1</v>
      </c>
      <c r="P1286">
        <v>6</v>
      </c>
      <c r="Q1286" t="str">
        <f>IFERROR(VLOOKUP(E1286,Lookups!$A$5:$B$24,2,FALSE),"Other")</f>
        <v>Email</v>
      </c>
      <c r="R1286" t="str">
        <f>IFERROR(VLOOKUP(F1286,Lookups!$D$5:$F$10,2,FALSE),"Unknown Product")</f>
        <v>NexaCRM Core</v>
      </c>
      <c r="S1286" t="str">
        <f>IFERROR(VLOOKUP(F1286,Lookups!$D$5:$F$10,3,FALSE),"Unknown")</f>
        <v>CRM</v>
      </c>
      <c r="T1286" t="str">
        <f t="shared" si="220"/>
        <v>SMB</v>
      </c>
      <c r="U1286" t="str">
        <f t="shared" si="221"/>
        <v>Won</v>
      </c>
      <c r="V1286" s="3">
        <f t="shared" si="222"/>
        <v>16150</v>
      </c>
      <c r="W1286" s="3">
        <f t="shared" si="223"/>
        <v>0</v>
      </c>
      <c r="X1286" s="5">
        <f t="shared" si="224"/>
        <v>51</v>
      </c>
      <c r="Y1286" s="5">
        <f>IF(U1286="Open",Lookups!$B$2-B1286,X1286)</f>
        <v>51</v>
      </c>
      <c r="Z1286" t="str">
        <f t="shared" si="225"/>
        <v>OK</v>
      </c>
      <c r="AA1286" t="str">
        <f t="shared" si="226"/>
        <v>2025-10</v>
      </c>
      <c r="AB1286" t="str">
        <f t="shared" si="227"/>
        <v>2025-12</v>
      </c>
      <c r="AC1286" t="str">
        <f t="shared" si="228"/>
        <v>Q4-2025</v>
      </c>
      <c r="AD1286" s="5">
        <f t="shared" si="229"/>
        <v>55</v>
      </c>
      <c r="AE1286" t="str">
        <f t="shared" si="230"/>
        <v>Won</v>
      </c>
    </row>
    <row r="1287" spans="1:31">
      <c r="A1287" t="s">
        <v>1389</v>
      </c>
      <c r="B1287" s="1">
        <v>45863</v>
      </c>
      <c r="C1287" t="s">
        <v>90</v>
      </c>
      <c r="D1287" t="s">
        <v>57</v>
      </c>
      <c r="E1287" t="s">
        <v>119</v>
      </c>
      <c r="F1287" t="s">
        <v>52</v>
      </c>
      <c r="G1287" t="s">
        <v>99</v>
      </c>
      <c r="H1287" t="s">
        <v>47</v>
      </c>
      <c r="I1287" t="s">
        <v>61</v>
      </c>
      <c r="J1287" s="1">
        <v>45886</v>
      </c>
      <c r="K1287" s="1">
        <v>45886</v>
      </c>
      <c r="L1287" s="3">
        <v>7000</v>
      </c>
      <c r="M1287" s="4">
        <v>0</v>
      </c>
      <c r="N1287" s="4">
        <v>0</v>
      </c>
      <c r="O1287" t="s">
        <v>81</v>
      </c>
      <c r="P1287">
        <v>3</v>
      </c>
      <c r="Q1287" t="str">
        <f>IFERROR(VLOOKUP(E1287,Lookups!$A$5:$B$24,2,FALSE),"Other")</f>
        <v>Referral</v>
      </c>
      <c r="R1287" t="str">
        <f>IFERROR(VLOOKUP(F1287,Lookups!$D$5:$F$10,2,FALSE),"Unknown Product")</f>
        <v>NexaCRM Core</v>
      </c>
      <c r="S1287" t="str">
        <f>IFERROR(VLOOKUP(F1287,Lookups!$D$5:$F$10,3,FALSE),"Unknown")</f>
        <v>CRM</v>
      </c>
      <c r="T1287" t="str">
        <f t="shared" si="220"/>
        <v>SMB</v>
      </c>
      <c r="U1287" t="str">
        <f t="shared" si="221"/>
        <v>Lost</v>
      </c>
      <c r="V1287" s="3">
        <f t="shared" si="222"/>
        <v>0</v>
      </c>
      <c r="W1287" s="3">
        <f t="shared" si="223"/>
        <v>0</v>
      </c>
      <c r="X1287" s="5">
        <f t="shared" si="224"/>
        <v>23</v>
      </c>
      <c r="Y1287" s="5">
        <f>IF(U1287="Open",Lookups!$B$2-B1287,X1287)</f>
        <v>23</v>
      </c>
      <c r="Z1287" t="str">
        <f t="shared" si="225"/>
        <v>OK</v>
      </c>
      <c r="AA1287" t="str">
        <f t="shared" si="226"/>
        <v>2025-07</v>
      </c>
      <c r="AB1287" t="str">
        <f t="shared" si="227"/>
        <v>2025-08</v>
      </c>
      <c r="AC1287" t="str">
        <f t="shared" si="228"/>
        <v>Q3-2025</v>
      </c>
      <c r="AD1287" s="5">
        <f t="shared" si="229"/>
        <v>54</v>
      </c>
      <c r="AE1287" t="str">
        <f t="shared" si="230"/>
        <v>Lost</v>
      </c>
    </row>
    <row r="1288" spans="1:31">
      <c r="A1288" t="s">
        <v>1390</v>
      </c>
      <c r="B1288" s="1">
        <v>46186</v>
      </c>
      <c r="C1288" t="s">
        <v>69</v>
      </c>
      <c r="D1288" t="s">
        <v>57</v>
      </c>
      <c r="E1288" t="s">
        <v>88</v>
      </c>
      <c r="F1288" t="s">
        <v>67</v>
      </c>
      <c r="G1288" t="s">
        <v>99</v>
      </c>
      <c r="H1288" t="s">
        <v>47</v>
      </c>
      <c r="I1288" t="s">
        <v>105</v>
      </c>
      <c r="J1288" s="1">
        <v>46220</v>
      </c>
      <c r="K1288" s="1"/>
      <c r="L1288" s="3">
        <v>32100</v>
      </c>
      <c r="M1288" s="4">
        <v>0.03</v>
      </c>
      <c r="N1288" s="4">
        <v>0.4</v>
      </c>
      <c r="P1288">
        <v>3</v>
      </c>
      <c r="Q1288" t="str">
        <f>IFERROR(VLOOKUP(E1288,Lookups!$A$5:$B$24,2,FALSE),"Other")</f>
        <v>Other</v>
      </c>
      <c r="R1288" t="str">
        <f>IFERROR(VLOOKUP(F1288,Lookups!$D$5:$F$10,2,FALSE),"Unknown Product")</f>
        <v>Revenue Operations Suite</v>
      </c>
      <c r="S1288" t="str">
        <f>IFERROR(VLOOKUP(F1288,Lookups!$D$5:$F$10,3,FALSE),"Unknown")</f>
        <v>Revenue Ops</v>
      </c>
      <c r="T1288" t="str">
        <f t="shared" si="220"/>
        <v>Mid-Market</v>
      </c>
      <c r="U1288" t="str">
        <f t="shared" si="221"/>
        <v>Open</v>
      </c>
      <c r="V1288" s="3">
        <f t="shared" si="222"/>
        <v>0</v>
      </c>
      <c r="W1288" s="3">
        <f t="shared" si="223"/>
        <v>12840</v>
      </c>
      <c r="X1288" s="5" t="str">
        <f t="shared" si="224"/>
        <v/>
      </c>
      <c r="Y1288" s="5">
        <f>IF(U1288="Open",Lookups!$B$2-B1288,X1288)</f>
        <v>80</v>
      </c>
      <c r="Z1288" t="str">
        <f t="shared" si="225"/>
        <v>STALE</v>
      </c>
      <c r="AA1288" t="str">
        <f t="shared" si="226"/>
        <v>2026-06</v>
      </c>
      <c r="AB1288" t="str">
        <f t="shared" si="227"/>
        <v/>
      </c>
      <c r="AC1288" t="str">
        <f t="shared" si="228"/>
        <v>Q2-2026</v>
      </c>
      <c r="AD1288" s="5">
        <f t="shared" si="229"/>
        <v>51</v>
      </c>
      <c r="AE1288" t="str">
        <f t="shared" si="230"/>
        <v>Pipeline</v>
      </c>
    </row>
    <row r="1289" spans="1:31">
      <c r="A1289" t="s">
        <v>1391</v>
      </c>
      <c r="B1289" s="1">
        <v>45958</v>
      </c>
      <c r="C1289" t="s">
        <v>64</v>
      </c>
      <c r="D1289" t="s">
        <v>57</v>
      </c>
      <c r="E1289" t="s">
        <v>98</v>
      </c>
      <c r="F1289" t="s">
        <v>67</v>
      </c>
      <c r="G1289" t="s">
        <v>76</v>
      </c>
      <c r="H1289" t="s">
        <v>47</v>
      </c>
      <c r="I1289" t="s">
        <v>61</v>
      </c>
      <c r="J1289" s="1">
        <v>46038</v>
      </c>
      <c r="K1289" s="1">
        <v>46038</v>
      </c>
      <c r="L1289" s="3">
        <v>32100</v>
      </c>
      <c r="M1289" s="4">
        <v>0</v>
      </c>
      <c r="N1289" s="4">
        <v>0</v>
      </c>
      <c r="O1289" t="s">
        <v>79</v>
      </c>
      <c r="P1289">
        <v>4</v>
      </c>
      <c r="Q1289" t="str">
        <f>IFERROR(VLOOKUP(E1289,Lookups!$A$5:$B$24,2,FALSE),"Other")</f>
        <v>Outbound</v>
      </c>
      <c r="R1289" t="str">
        <f>IFERROR(VLOOKUP(F1289,Lookups!$D$5:$F$10,2,FALSE),"Unknown Product")</f>
        <v>Revenue Operations Suite</v>
      </c>
      <c r="S1289" t="str">
        <f>IFERROR(VLOOKUP(F1289,Lookups!$D$5:$F$10,3,FALSE),"Unknown")</f>
        <v>Revenue Ops</v>
      </c>
      <c r="T1289" t="str">
        <f t="shared" si="220"/>
        <v>Mid-Market</v>
      </c>
      <c r="U1289" t="str">
        <f t="shared" si="221"/>
        <v>Lost</v>
      </c>
      <c r="V1289" s="3">
        <f t="shared" si="222"/>
        <v>0</v>
      </c>
      <c r="W1289" s="3">
        <f t="shared" si="223"/>
        <v>0</v>
      </c>
      <c r="X1289" s="5">
        <f t="shared" si="224"/>
        <v>80</v>
      </c>
      <c r="Y1289" s="5">
        <f>IF(U1289="Open",Lookups!$B$2-B1289,X1289)</f>
        <v>80</v>
      </c>
      <c r="Z1289" t="str">
        <f t="shared" si="225"/>
        <v>OK</v>
      </c>
      <c r="AA1289" t="str">
        <f t="shared" si="226"/>
        <v>2025-10</v>
      </c>
      <c r="AB1289" t="str">
        <f t="shared" si="227"/>
        <v>2026-01</v>
      </c>
      <c r="AC1289" t="str">
        <f t="shared" si="228"/>
        <v>Q4-2025</v>
      </c>
      <c r="AD1289" s="5">
        <f t="shared" si="229"/>
        <v>51</v>
      </c>
      <c r="AE1289" t="str">
        <f t="shared" si="230"/>
        <v>Lost</v>
      </c>
    </row>
    <row r="1290" spans="1:31">
      <c r="A1290" t="s">
        <v>1392</v>
      </c>
      <c r="B1290" s="1">
        <v>45715</v>
      </c>
      <c r="C1290" t="s">
        <v>64</v>
      </c>
      <c r="D1290" t="s">
        <v>57</v>
      </c>
      <c r="E1290" t="s">
        <v>119</v>
      </c>
      <c r="F1290" t="s">
        <v>133</v>
      </c>
      <c r="G1290" t="s">
        <v>60</v>
      </c>
      <c r="H1290" t="s">
        <v>47</v>
      </c>
      <c r="I1290" t="s">
        <v>77</v>
      </c>
      <c r="J1290" s="1">
        <v>45773</v>
      </c>
      <c r="K1290" s="1">
        <v>45773</v>
      </c>
      <c r="L1290" s="3">
        <v>27400</v>
      </c>
      <c r="M1290" s="4">
        <v>0.03</v>
      </c>
      <c r="N1290" s="4">
        <v>1</v>
      </c>
      <c r="P1290">
        <v>6</v>
      </c>
      <c r="Q1290" t="str">
        <f>IFERROR(VLOOKUP(E1290,Lookups!$A$5:$B$24,2,FALSE),"Other")</f>
        <v>Referral</v>
      </c>
      <c r="R1290" t="str">
        <f>IFERROR(VLOOKUP(F1290,Lookups!$D$5:$F$10,2,FALSE),"Unknown Product")</f>
        <v>Analytics Plus</v>
      </c>
      <c r="S1290" t="str">
        <f>IFERROR(VLOOKUP(F1290,Lookups!$D$5:$F$10,3,FALSE),"Unknown")</f>
        <v>Analytics</v>
      </c>
      <c r="T1290" t="str">
        <f t="shared" si="220"/>
        <v>Mid-Market</v>
      </c>
      <c r="U1290" t="str">
        <f t="shared" si="221"/>
        <v>Won</v>
      </c>
      <c r="V1290" s="3">
        <f t="shared" si="222"/>
        <v>26578</v>
      </c>
      <c r="W1290" s="3">
        <f t="shared" si="223"/>
        <v>0</v>
      </c>
      <c r="X1290" s="5">
        <f t="shared" si="224"/>
        <v>58</v>
      </c>
      <c r="Y1290" s="5">
        <f>IF(U1290="Open",Lookups!$B$2-B1290,X1290)</f>
        <v>58</v>
      </c>
      <c r="Z1290" t="str">
        <f t="shared" si="225"/>
        <v>OK</v>
      </c>
      <c r="AA1290" t="str">
        <f t="shared" si="226"/>
        <v>2025-02</v>
      </c>
      <c r="AB1290" t="str">
        <f t="shared" si="227"/>
        <v>2025-04</v>
      </c>
      <c r="AC1290" t="str">
        <f t="shared" si="228"/>
        <v>Q1-2025</v>
      </c>
      <c r="AD1290" s="5">
        <f t="shared" si="229"/>
        <v>62</v>
      </c>
      <c r="AE1290" t="str">
        <f t="shared" si="230"/>
        <v>Won</v>
      </c>
    </row>
    <row r="1291" spans="1:31">
      <c r="A1291" t="s">
        <v>1393</v>
      </c>
      <c r="B1291" s="1">
        <v>45901</v>
      </c>
      <c r="C1291" t="s">
        <v>69</v>
      </c>
      <c r="D1291" t="s">
        <v>57</v>
      </c>
      <c r="E1291" t="s">
        <v>119</v>
      </c>
      <c r="F1291" t="s">
        <v>45</v>
      </c>
      <c r="G1291" t="s">
        <v>46</v>
      </c>
      <c r="H1291" t="s">
        <v>47</v>
      </c>
      <c r="I1291" t="s">
        <v>61</v>
      </c>
      <c r="J1291" s="1">
        <v>45977</v>
      </c>
      <c r="K1291" s="1">
        <v>45977</v>
      </c>
      <c r="L1291" s="3">
        <v>25000</v>
      </c>
      <c r="M1291" s="4">
        <v>0</v>
      </c>
      <c r="N1291" s="4">
        <v>0</v>
      </c>
      <c r="O1291" t="s">
        <v>110</v>
      </c>
      <c r="P1291">
        <v>3</v>
      </c>
      <c r="Q1291" t="str">
        <f>IFERROR(VLOOKUP(E1291,Lookups!$A$5:$B$24,2,FALSE),"Other")</f>
        <v>Referral</v>
      </c>
      <c r="R1291" t="str">
        <f>IFERROR(VLOOKUP(F1291,Lookups!$D$5:$F$10,2,FALSE),"Unknown Product")</f>
        <v>Service Cloud</v>
      </c>
      <c r="S1291" t="str">
        <f>IFERROR(VLOOKUP(F1291,Lookups!$D$5:$F$10,3,FALSE),"Unknown")</f>
        <v>Customer Service</v>
      </c>
      <c r="T1291" t="str">
        <f t="shared" si="220"/>
        <v>Mid-Market</v>
      </c>
      <c r="U1291" t="str">
        <f t="shared" si="221"/>
        <v>Lost</v>
      </c>
      <c r="V1291" s="3">
        <f t="shared" si="222"/>
        <v>0</v>
      </c>
      <c r="W1291" s="3">
        <f t="shared" si="223"/>
        <v>0</v>
      </c>
      <c r="X1291" s="5">
        <f t="shared" si="224"/>
        <v>76</v>
      </c>
      <c r="Y1291" s="5">
        <f>IF(U1291="Open",Lookups!$B$2-B1291,X1291)</f>
        <v>76</v>
      </c>
      <c r="Z1291" t="str">
        <f t="shared" si="225"/>
        <v>OK</v>
      </c>
      <c r="AA1291" t="str">
        <f t="shared" si="226"/>
        <v>2025-09</v>
      </c>
      <c r="AB1291" t="str">
        <f t="shared" si="227"/>
        <v>2025-11</v>
      </c>
      <c r="AC1291" t="str">
        <f t="shared" si="228"/>
        <v>Q3-2025</v>
      </c>
      <c r="AD1291" s="5">
        <f t="shared" si="229"/>
        <v>62</v>
      </c>
      <c r="AE1291" t="str">
        <f t="shared" si="230"/>
        <v>Lost</v>
      </c>
    </row>
    <row r="1292" spans="1:31">
      <c r="A1292" t="s">
        <v>1394</v>
      </c>
      <c r="B1292" s="1">
        <v>46132</v>
      </c>
      <c r="C1292" t="s">
        <v>148</v>
      </c>
      <c r="D1292" t="s">
        <v>43</v>
      </c>
      <c r="E1292" t="s">
        <v>138</v>
      </c>
      <c r="F1292" t="s">
        <v>52</v>
      </c>
      <c r="G1292" t="s">
        <v>99</v>
      </c>
      <c r="H1292" t="s">
        <v>53</v>
      </c>
      <c r="I1292" t="s">
        <v>61</v>
      </c>
      <c r="J1292" s="1">
        <v>46146</v>
      </c>
      <c r="K1292" s="1">
        <v>46146</v>
      </c>
      <c r="L1292" s="3">
        <v>14700</v>
      </c>
      <c r="M1292" s="4">
        <v>0</v>
      </c>
      <c r="N1292" s="4">
        <v>0</v>
      </c>
      <c r="O1292" t="s">
        <v>62</v>
      </c>
      <c r="P1292">
        <v>4</v>
      </c>
      <c r="Q1292" t="str">
        <f>IFERROR(VLOOKUP(E1292,Lookups!$A$5:$B$24,2,FALSE),"Other")</f>
        <v>Organic Search</v>
      </c>
      <c r="R1292" t="str">
        <f>IFERROR(VLOOKUP(F1292,Lookups!$D$5:$F$10,2,FALSE),"Unknown Product")</f>
        <v>NexaCRM Core</v>
      </c>
      <c r="S1292" t="str">
        <f>IFERROR(VLOOKUP(F1292,Lookups!$D$5:$F$10,3,FALSE),"Unknown")</f>
        <v>CRM</v>
      </c>
      <c r="T1292" t="str">
        <f t="shared" si="220"/>
        <v>SMB</v>
      </c>
      <c r="U1292" t="str">
        <f t="shared" si="221"/>
        <v>Lost</v>
      </c>
      <c r="V1292" s="3">
        <f t="shared" si="222"/>
        <v>0</v>
      </c>
      <c r="W1292" s="3">
        <f t="shared" si="223"/>
        <v>0</v>
      </c>
      <c r="X1292" s="5">
        <f t="shared" si="224"/>
        <v>14</v>
      </c>
      <c r="Y1292" s="5">
        <f>IF(U1292="Open",Lookups!$B$2-B1292,X1292)</f>
        <v>14</v>
      </c>
      <c r="Z1292" t="str">
        <f t="shared" si="225"/>
        <v>OK</v>
      </c>
      <c r="AA1292" t="str">
        <f t="shared" si="226"/>
        <v>2026-04</v>
      </c>
      <c r="AB1292" t="str">
        <f t="shared" si="227"/>
        <v>2026-05</v>
      </c>
      <c r="AC1292" t="str">
        <f t="shared" si="228"/>
        <v>Q2-2026</v>
      </c>
      <c r="AD1292" s="5">
        <f t="shared" si="229"/>
        <v>57</v>
      </c>
      <c r="AE1292" t="str">
        <f t="shared" si="230"/>
        <v>Lost</v>
      </c>
    </row>
    <row r="1293" spans="1:31">
      <c r="A1293" t="s">
        <v>1395</v>
      </c>
      <c r="B1293" s="1">
        <v>45918</v>
      </c>
      <c r="C1293" t="s">
        <v>90</v>
      </c>
      <c r="D1293" t="s">
        <v>57</v>
      </c>
      <c r="E1293" t="s">
        <v>65</v>
      </c>
      <c r="F1293" t="s">
        <v>67</v>
      </c>
      <c r="G1293" t="s">
        <v>76</v>
      </c>
      <c r="H1293" t="s">
        <v>53</v>
      </c>
      <c r="I1293" t="s">
        <v>61</v>
      </c>
      <c r="J1293" s="1">
        <v>45962</v>
      </c>
      <c r="K1293" s="1">
        <v>45962</v>
      </c>
      <c r="L1293" s="3">
        <v>48100</v>
      </c>
      <c r="M1293" s="4">
        <v>0</v>
      </c>
      <c r="N1293" s="4">
        <v>0</v>
      </c>
      <c r="O1293" t="s">
        <v>62</v>
      </c>
      <c r="P1293">
        <v>5</v>
      </c>
      <c r="Q1293" t="str">
        <f>IFERROR(VLOOKUP(E1293,Lookups!$A$5:$B$24,2,FALSE),"Other")</f>
        <v>Paid Search</v>
      </c>
      <c r="R1293" t="str">
        <f>IFERROR(VLOOKUP(F1293,Lookups!$D$5:$F$10,2,FALSE),"Unknown Product")</f>
        <v>Revenue Operations Suite</v>
      </c>
      <c r="S1293" t="str">
        <f>IFERROR(VLOOKUP(F1293,Lookups!$D$5:$F$10,3,FALSE),"Unknown")</f>
        <v>Revenue Ops</v>
      </c>
      <c r="T1293" t="str">
        <f t="shared" si="220"/>
        <v>Mid-Market</v>
      </c>
      <c r="U1293" t="str">
        <f t="shared" si="221"/>
        <v>Lost</v>
      </c>
      <c r="V1293" s="3">
        <f t="shared" si="222"/>
        <v>0</v>
      </c>
      <c r="W1293" s="3">
        <f t="shared" si="223"/>
        <v>0</v>
      </c>
      <c r="X1293" s="5">
        <f t="shared" si="224"/>
        <v>44</v>
      </c>
      <c r="Y1293" s="5">
        <f>IF(U1293="Open",Lookups!$B$2-B1293,X1293)</f>
        <v>44</v>
      </c>
      <c r="Z1293" t="str">
        <f t="shared" si="225"/>
        <v>OK</v>
      </c>
      <c r="AA1293" t="str">
        <f t="shared" si="226"/>
        <v>2025-09</v>
      </c>
      <c r="AB1293" t="str">
        <f t="shared" si="227"/>
        <v>2025-11</v>
      </c>
      <c r="AC1293" t="str">
        <f t="shared" si="228"/>
        <v>Q3-2025</v>
      </c>
      <c r="AD1293" s="5">
        <f t="shared" si="229"/>
        <v>59</v>
      </c>
      <c r="AE1293" t="str">
        <f t="shared" si="230"/>
        <v>Lost</v>
      </c>
    </row>
    <row r="1294" spans="1:31">
      <c r="A1294" t="s">
        <v>1396</v>
      </c>
      <c r="B1294" s="1">
        <v>45867</v>
      </c>
      <c r="C1294" t="s">
        <v>64</v>
      </c>
      <c r="D1294" t="s">
        <v>57</v>
      </c>
      <c r="E1294" t="s">
        <v>92</v>
      </c>
      <c r="F1294" t="s">
        <v>67</v>
      </c>
      <c r="G1294" t="s">
        <v>72</v>
      </c>
      <c r="H1294" t="s">
        <v>47</v>
      </c>
      <c r="I1294" t="s">
        <v>77</v>
      </c>
      <c r="J1294" s="1">
        <v>45911</v>
      </c>
      <c r="K1294" s="1">
        <v>45911</v>
      </c>
      <c r="L1294" s="3">
        <v>34900</v>
      </c>
      <c r="M1294" s="4">
        <v>0.05</v>
      </c>
      <c r="N1294" s="4">
        <v>1</v>
      </c>
      <c r="P1294">
        <v>6</v>
      </c>
      <c r="Q1294" t="str">
        <f>IFERROR(VLOOKUP(E1294,Lookups!$A$5:$B$24,2,FALSE),"Other")</f>
        <v>Webinar</v>
      </c>
      <c r="R1294" t="str">
        <f>IFERROR(VLOOKUP(F1294,Lookups!$D$5:$F$10,2,FALSE),"Unknown Product")</f>
        <v>Revenue Operations Suite</v>
      </c>
      <c r="S1294" t="str">
        <f>IFERROR(VLOOKUP(F1294,Lookups!$D$5:$F$10,3,FALSE),"Unknown")</f>
        <v>Revenue Ops</v>
      </c>
      <c r="T1294" t="str">
        <f t="shared" si="220"/>
        <v>Mid-Market</v>
      </c>
      <c r="U1294" t="str">
        <f t="shared" si="221"/>
        <v>Won</v>
      </c>
      <c r="V1294" s="3">
        <f t="shared" si="222"/>
        <v>33155</v>
      </c>
      <c r="W1294" s="3">
        <f t="shared" si="223"/>
        <v>0</v>
      </c>
      <c r="X1294" s="5">
        <f t="shared" si="224"/>
        <v>44</v>
      </c>
      <c r="Y1294" s="5">
        <f>IF(U1294="Open",Lookups!$B$2-B1294,X1294)</f>
        <v>44</v>
      </c>
      <c r="Z1294" t="str">
        <f t="shared" si="225"/>
        <v>OK</v>
      </c>
      <c r="AA1294" t="str">
        <f t="shared" si="226"/>
        <v>2025-07</v>
      </c>
      <c r="AB1294" t="str">
        <f t="shared" si="227"/>
        <v>2025-09</v>
      </c>
      <c r="AC1294" t="str">
        <f t="shared" si="228"/>
        <v>Q3-2025</v>
      </c>
      <c r="AD1294" s="5">
        <f t="shared" si="229"/>
        <v>51</v>
      </c>
      <c r="AE1294" t="str">
        <f t="shared" si="230"/>
        <v>Won</v>
      </c>
    </row>
    <row r="1295" spans="1:31">
      <c r="A1295" t="s">
        <v>1397</v>
      </c>
      <c r="B1295" s="1">
        <v>45719</v>
      </c>
      <c r="C1295" t="s">
        <v>64</v>
      </c>
      <c r="D1295" t="s">
        <v>57</v>
      </c>
      <c r="E1295" t="s">
        <v>107</v>
      </c>
      <c r="F1295" t="s">
        <v>133</v>
      </c>
      <c r="G1295" t="s">
        <v>76</v>
      </c>
      <c r="H1295" t="s">
        <v>84</v>
      </c>
      <c r="I1295" t="s">
        <v>77</v>
      </c>
      <c r="J1295" s="1">
        <v>45807</v>
      </c>
      <c r="K1295" s="1">
        <v>45807</v>
      </c>
      <c r="L1295" s="3">
        <v>69300</v>
      </c>
      <c r="M1295" s="4">
        <v>0.05</v>
      </c>
      <c r="N1295" s="4">
        <v>1</v>
      </c>
      <c r="P1295">
        <v>6</v>
      </c>
      <c r="Q1295" t="str">
        <f>IFERROR(VLOOKUP(E1295,Lookups!$A$5:$B$24,2,FALSE),"Other")</f>
        <v>Referral</v>
      </c>
      <c r="R1295" t="str">
        <f>IFERROR(VLOOKUP(F1295,Lookups!$D$5:$F$10,2,FALSE),"Unknown Product")</f>
        <v>Analytics Plus</v>
      </c>
      <c r="S1295" t="str">
        <f>IFERROR(VLOOKUP(F1295,Lookups!$D$5:$F$10,3,FALSE),"Unknown")</f>
        <v>Analytics</v>
      </c>
      <c r="T1295" t="str">
        <f t="shared" si="220"/>
        <v>Enterprise</v>
      </c>
      <c r="U1295" t="str">
        <f t="shared" si="221"/>
        <v>Won</v>
      </c>
      <c r="V1295" s="3">
        <f t="shared" si="222"/>
        <v>65835</v>
      </c>
      <c r="W1295" s="3">
        <f t="shared" si="223"/>
        <v>0</v>
      </c>
      <c r="X1295" s="5">
        <f t="shared" si="224"/>
        <v>88</v>
      </c>
      <c r="Y1295" s="5">
        <f>IF(U1295="Open",Lookups!$B$2-B1295,X1295)</f>
        <v>88</v>
      </c>
      <c r="Z1295" t="str">
        <f t="shared" si="225"/>
        <v>OK</v>
      </c>
      <c r="AA1295" t="str">
        <f t="shared" si="226"/>
        <v>2025-03</v>
      </c>
      <c r="AB1295" t="str">
        <f t="shared" si="227"/>
        <v>2025-05</v>
      </c>
      <c r="AC1295" t="str">
        <f t="shared" si="228"/>
        <v>Q1-2025</v>
      </c>
      <c r="AD1295" s="5">
        <f t="shared" si="229"/>
        <v>85</v>
      </c>
      <c r="AE1295" t="str">
        <f t="shared" si="230"/>
        <v>Won</v>
      </c>
    </row>
    <row r="1296" spans="1:31">
      <c r="A1296" t="s">
        <v>1398</v>
      </c>
      <c r="B1296" s="1">
        <v>45817</v>
      </c>
      <c r="C1296" t="s">
        <v>56</v>
      </c>
      <c r="D1296" t="s">
        <v>57</v>
      </c>
      <c r="E1296" t="s">
        <v>98</v>
      </c>
      <c r="F1296" t="s">
        <v>59</v>
      </c>
      <c r="G1296" t="s">
        <v>72</v>
      </c>
      <c r="H1296" t="s">
        <v>47</v>
      </c>
      <c r="I1296" t="s">
        <v>61</v>
      </c>
      <c r="J1296" s="1">
        <v>45866</v>
      </c>
      <c r="K1296" s="1">
        <v>45866</v>
      </c>
      <c r="L1296" s="3">
        <v>17400</v>
      </c>
      <c r="M1296" s="4">
        <v>0</v>
      </c>
      <c r="N1296" s="4">
        <v>0</v>
      </c>
      <c r="O1296" t="s">
        <v>79</v>
      </c>
      <c r="P1296">
        <v>2</v>
      </c>
      <c r="Q1296" t="str">
        <f>IFERROR(VLOOKUP(E1296,Lookups!$A$5:$B$24,2,FALSE),"Other")</f>
        <v>Outbound</v>
      </c>
      <c r="R1296" t="str">
        <f>IFERROR(VLOOKUP(F1296,Lookups!$D$5:$F$10,2,FALSE),"Unknown Product")</f>
        <v>NexaCRM Pro</v>
      </c>
      <c r="S1296" t="str">
        <f>IFERROR(VLOOKUP(F1296,Lookups!$D$5:$F$10,3,FALSE),"Unknown")</f>
        <v>CRM</v>
      </c>
      <c r="T1296" t="str">
        <f t="shared" si="220"/>
        <v>SMB</v>
      </c>
      <c r="U1296" t="str">
        <f t="shared" si="221"/>
        <v>Lost</v>
      </c>
      <c r="V1296" s="3">
        <f t="shared" si="222"/>
        <v>0</v>
      </c>
      <c r="W1296" s="3">
        <f t="shared" si="223"/>
        <v>0</v>
      </c>
      <c r="X1296" s="5">
        <f t="shared" si="224"/>
        <v>49</v>
      </c>
      <c r="Y1296" s="5">
        <f>IF(U1296="Open",Lookups!$B$2-B1296,X1296)</f>
        <v>49</v>
      </c>
      <c r="Z1296" t="str">
        <f t="shared" si="225"/>
        <v>OK</v>
      </c>
      <c r="AA1296" t="str">
        <f t="shared" si="226"/>
        <v>2025-06</v>
      </c>
      <c r="AB1296" t="str">
        <f t="shared" si="227"/>
        <v>2025-07</v>
      </c>
      <c r="AC1296" t="str">
        <f t="shared" si="228"/>
        <v>Q2-2025</v>
      </c>
      <c r="AD1296" s="5">
        <f t="shared" si="229"/>
        <v>43</v>
      </c>
      <c r="AE1296" t="str">
        <f t="shared" si="230"/>
        <v>Lost</v>
      </c>
    </row>
    <row r="1297" spans="1:31">
      <c r="A1297" t="s">
        <v>1399</v>
      </c>
      <c r="B1297" s="1">
        <v>45990</v>
      </c>
      <c r="C1297" t="s">
        <v>50</v>
      </c>
      <c r="D1297" t="s">
        <v>43</v>
      </c>
      <c r="E1297" t="s">
        <v>127</v>
      </c>
      <c r="F1297" t="s">
        <v>133</v>
      </c>
      <c r="G1297" t="s">
        <v>94</v>
      </c>
      <c r="H1297" t="s">
        <v>53</v>
      </c>
      <c r="I1297" t="s">
        <v>61</v>
      </c>
      <c r="J1297" s="1">
        <v>46052</v>
      </c>
      <c r="K1297" s="1">
        <v>46052</v>
      </c>
      <c r="L1297" s="3">
        <v>36200</v>
      </c>
      <c r="M1297" s="4">
        <v>0</v>
      </c>
      <c r="N1297" s="4">
        <v>0</v>
      </c>
      <c r="O1297" t="s">
        <v>79</v>
      </c>
      <c r="P1297">
        <v>4</v>
      </c>
      <c r="Q1297" t="str">
        <f>IFERROR(VLOOKUP(E1297,Lookups!$A$5:$B$24,2,FALSE),"Other")</f>
        <v>Paid Search</v>
      </c>
      <c r="R1297" t="str">
        <f>IFERROR(VLOOKUP(F1297,Lookups!$D$5:$F$10,2,FALSE),"Unknown Product")</f>
        <v>Analytics Plus</v>
      </c>
      <c r="S1297" t="str">
        <f>IFERROR(VLOOKUP(F1297,Lookups!$D$5:$F$10,3,FALSE),"Unknown")</f>
        <v>Analytics</v>
      </c>
      <c r="T1297" t="str">
        <f t="shared" si="220"/>
        <v>Mid-Market</v>
      </c>
      <c r="U1297" t="str">
        <f t="shared" si="221"/>
        <v>Lost</v>
      </c>
      <c r="V1297" s="3">
        <f t="shared" si="222"/>
        <v>0</v>
      </c>
      <c r="W1297" s="3">
        <f t="shared" si="223"/>
        <v>0</v>
      </c>
      <c r="X1297" s="5">
        <f t="shared" si="224"/>
        <v>62</v>
      </c>
      <c r="Y1297" s="5">
        <f>IF(U1297="Open",Lookups!$B$2-B1297,X1297)</f>
        <v>62</v>
      </c>
      <c r="Z1297" t="str">
        <f t="shared" si="225"/>
        <v>OK</v>
      </c>
      <c r="AA1297" t="str">
        <f t="shared" si="226"/>
        <v>2025-11</v>
      </c>
      <c r="AB1297" t="str">
        <f t="shared" si="227"/>
        <v>2026-01</v>
      </c>
      <c r="AC1297" t="str">
        <f t="shared" si="228"/>
        <v>Q4-2025</v>
      </c>
      <c r="AD1297" s="5">
        <f t="shared" si="229"/>
        <v>59</v>
      </c>
      <c r="AE1297" t="str">
        <f t="shared" si="230"/>
        <v>Lost</v>
      </c>
    </row>
    <row r="1298" spans="1:31">
      <c r="A1298" t="s">
        <v>1400</v>
      </c>
      <c r="B1298" s="1">
        <v>46013</v>
      </c>
      <c r="C1298" t="s">
        <v>69</v>
      </c>
      <c r="D1298" t="s">
        <v>57</v>
      </c>
      <c r="E1298" t="s">
        <v>160</v>
      </c>
      <c r="F1298" t="s">
        <v>59</v>
      </c>
      <c r="G1298" t="s">
        <v>112</v>
      </c>
      <c r="H1298" t="s">
        <v>47</v>
      </c>
      <c r="I1298" t="s">
        <v>77</v>
      </c>
      <c r="J1298" s="1">
        <v>46026</v>
      </c>
      <c r="K1298" s="1">
        <v>46026</v>
      </c>
      <c r="L1298" s="3">
        <v>22700</v>
      </c>
      <c r="M1298" s="4">
        <v>0.08</v>
      </c>
      <c r="N1298" s="4">
        <v>1</v>
      </c>
      <c r="P1298">
        <v>6</v>
      </c>
      <c r="Q1298" t="str">
        <f>IFERROR(VLOOKUP(E1298,Lookups!$A$5:$B$24,2,FALSE),"Other")</f>
        <v>Email</v>
      </c>
      <c r="R1298" t="str">
        <f>IFERROR(VLOOKUP(F1298,Lookups!$D$5:$F$10,2,FALSE),"Unknown Product")</f>
        <v>NexaCRM Pro</v>
      </c>
      <c r="S1298" t="str">
        <f>IFERROR(VLOOKUP(F1298,Lookups!$D$5:$F$10,3,FALSE),"Unknown")</f>
        <v>CRM</v>
      </c>
      <c r="T1298" t="str">
        <f t="shared" si="220"/>
        <v>Mid-Market</v>
      </c>
      <c r="U1298" t="str">
        <f t="shared" si="221"/>
        <v>Won</v>
      </c>
      <c r="V1298" s="3">
        <f t="shared" si="222"/>
        <v>20884</v>
      </c>
      <c r="W1298" s="3">
        <f t="shared" si="223"/>
        <v>0</v>
      </c>
      <c r="X1298" s="5">
        <f t="shared" si="224"/>
        <v>13</v>
      </c>
      <c r="Y1298" s="5">
        <f>IF(U1298="Open",Lookups!$B$2-B1298,X1298)</f>
        <v>13</v>
      </c>
      <c r="Z1298" t="str">
        <f t="shared" si="225"/>
        <v>OK</v>
      </c>
      <c r="AA1298" t="str">
        <f t="shared" si="226"/>
        <v>2025-12</v>
      </c>
      <c r="AB1298" t="str">
        <f t="shared" si="227"/>
        <v>2026-01</v>
      </c>
      <c r="AC1298" t="str">
        <f t="shared" si="228"/>
        <v>Q4-2025</v>
      </c>
      <c r="AD1298" s="5">
        <f t="shared" si="229"/>
        <v>60</v>
      </c>
      <c r="AE1298" t="str">
        <f t="shared" si="230"/>
        <v>Won</v>
      </c>
    </row>
    <row r="1299" spans="1:31">
      <c r="A1299" t="s">
        <v>1401</v>
      </c>
      <c r="B1299" s="1">
        <v>46212</v>
      </c>
      <c r="C1299" t="s">
        <v>64</v>
      </c>
      <c r="D1299" t="s">
        <v>57</v>
      </c>
      <c r="E1299" t="s">
        <v>123</v>
      </c>
      <c r="F1299" t="s">
        <v>59</v>
      </c>
      <c r="G1299" t="s">
        <v>112</v>
      </c>
      <c r="H1299" t="s">
        <v>53</v>
      </c>
      <c r="I1299" t="s">
        <v>61</v>
      </c>
      <c r="J1299" s="1">
        <v>46220</v>
      </c>
      <c r="K1299" s="1">
        <v>46220</v>
      </c>
      <c r="L1299" s="3">
        <v>26000</v>
      </c>
      <c r="M1299" s="4">
        <v>0</v>
      </c>
      <c r="N1299" s="4">
        <v>0</v>
      </c>
      <c r="O1299" t="s">
        <v>116</v>
      </c>
      <c r="P1299">
        <v>4</v>
      </c>
      <c r="Q1299" t="str">
        <f>IFERROR(VLOOKUP(E1299,Lookups!$A$5:$B$24,2,FALSE),"Other")</f>
        <v>Email</v>
      </c>
      <c r="R1299" t="str">
        <f>IFERROR(VLOOKUP(F1299,Lookups!$D$5:$F$10,2,FALSE),"Unknown Product")</f>
        <v>NexaCRM Pro</v>
      </c>
      <c r="S1299" t="str">
        <f>IFERROR(VLOOKUP(F1299,Lookups!$D$5:$F$10,3,FALSE),"Unknown")</f>
        <v>CRM</v>
      </c>
      <c r="T1299" t="str">
        <f t="shared" si="220"/>
        <v>Mid-Market</v>
      </c>
      <c r="U1299" t="str">
        <f t="shared" si="221"/>
        <v>Lost</v>
      </c>
      <c r="V1299" s="3">
        <f t="shared" si="222"/>
        <v>0</v>
      </c>
      <c r="W1299" s="3">
        <f t="shared" si="223"/>
        <v>0</v>
      </c>
      <c r="X1299" s="5">
        <f t="shared" si="224"/>
        <v>8</v>
      </c>
      <c r="Y1299" s="5">
        <f>IF(U1299="Open",Lookups!$B$2-B1299,X1299)</f>
        <v>8</v>
      </c>
      <c r="Z1299" t="str">
        <f t="shared" si="225"/>
        <v>OK</v>
      </c>
      <c r="AA1299" t="str">
        <f t="shared" si="226"/>
        <v>2026-07</v>
      </c>
      <c r="AB1299" t="str">
        <f t="shared" si="227"/>
        <v>2026-07</v>
      </c>
      <c r="AC1299" t="str">
        <f t="shared" si="228"/>
        <v>Q3-2026</v>
      </c>
      <c r="AD1299" s="5">
        <f t="shared" si="229"/>
        <v>68</v>
      </c>
      <c r="AE1299" t="str">
        <f t="shared" si="230"/>
        <v>Lost</v>
      </c>
    </row>
    <row r="1300" spans="1:31">
      <c r="A1300" t="s">
        <v>1402</v>
      </c>
      <c r="B1300" s="1">
        <v>46257</v>
      </c>
      <c r="C1300" t="s">
        <v>56</v>
      </c>
      <c r="D1300" t="s">
        <v>57</v>
      </c>
      <c r="E1300" t="s">
        <v>83</v>
      </c>
      <c r="F1300" t="s">
        <v>71</v>
      </c>
      <c r="G1300" t="s">
        <v>60</v>
      </c>
      <c r="H1300" t="s">
        <v>47</v>
      </c>
      <c r="I1300" t="s">
        <v>187</v>
      </c>
      <c r="J1300" s="1">
        <v>46262</v>
      </c>
      <c r="K1300" s="1"/>
      <c r="L1300" s="3">
        <v>14800</v>
      </c>
      <c r="M1300" s="4">
        <v>0</v>
      </c>
      <c r="N1300" s="4">
        <v>0.05</v>
      </c>
      <c r="P1300">
        <v>1</v>
      </c>
      <c r="Q1300" t="str">
        <f>IFERROR(VLOOKUP(E1300,Lookups!$A$5:$B$24,2,FALSE),"Other")</f>
        <v>Organic Search</v>
      </c>
      <c r="R1300" t="str">
        <f>IFERROR(VLOOKUP(F1300,Lookups!$D$5:$F$10,2,FALSE),"Unknown Product")</f>
        <v>Marketing Automation</v>
      </c>
      <c r="S1300" t="str">
        <f>IFERROR(VLOOKUP(F1300,Lookups!$D$5:$F$10,3,FALSE),"Unknown")</f>
        <v>Marketing</v>
      </c>
      <c r="T1300" t="str">
        <f t="shared" si="220"/>
        <v>SMB</v>
      </c>
      <c r="U1300" t="str">
        <f t="shared" si="221"/>
        <v>Open</v>
      </c>
      <c r="V1300" s="3">
        <f t="shared" si="222"/>
        <v>0</v>
      </c>
      <c r="W1300" s="3">
        <f t="shared" si="223"/>
        <v>740</v>
      </c>
      <c r="X1300" s="5" t="str">
        <f t="shared" si="224"/>
        <v/>
      </c>
      <c r="Y1300" s="5">
        <f>IF(U1300="Open",Lookups!$B$2-B1300,X1300)</f>
        <v>9</v>
      </c>
      <c r="Z1300" t="str">
        <f t="shared" si="225"/>
        <v>OK</v>
      </c>
      <c r="AA1300" t="str">
        <f t="shared" si="226"/>
        <v>2026-08</v>
      </c>
      <c r="AB1300" t="str">
        <f t="shared" si="227"/>
        <v/>
      </c>
      <c r="AC1300" t="str">
        <f t="shared" si="228"/>
        <v>Q3-2026</v>
      </c>
      <c r="AD1300" s="5">
        <f t="shared" si="229"/>
        <v>49</v>
      </c>
      <c r="AE1300" t="str">
        <f t="shared" si="230"/>
        <v>Pipeline</v>
      </c>
    </row>
    <row r="1301" spans="1:31">
      <c r="A1301" t="s">
        <v>1403</v>
      </c>
      <c r="B1301" s="1">
        <v>46184</v>
      </c>
      <c r="C1301" t="s">
        <v>42</v>
      </c>
      <c r="D1301" t="s">
        <v>43</v>
      </c>
      <c r="E1301" t="s">
        <v>51</v>
      </c>
      <c r="F1301" t="s">
        <v>71</v>
      </c>
      <c r="G1301" t="s">
        <v>94</v>
      </c>
      <c r="H1301" t="s">
        <v>53</v>
      </c>
      <c r="I1301" t="s">
        <v>105</v>
      </c>
      <c r="J1301" s="1">
        <v>46217</v>
      </c>
      <c r="K1301" s="1"/>
      <c r="L1301" s="3">
        <v>37300</v>
      </c>
      <c r="M1301" s="4">
        <v>0.03</v>
      </c>
      <c r="N1301" s="4">
        <v>0.4</v>
      </c>
      <c r="P1301">
        <v>3</v>
      </c>
      <c r="Q1301" t="str">
        <f>IFERROR(VLOOKUP(E1301,Lookups!$A$5:$B$24,2,FALSE),"Other")</f>
        <v>Paid Search</v>
      </c>
      <c r="R1301" t="str">
        <f>IFERROR(VLOOKUP(F1301,Lookups!$D$5:$F$10,2,FALSE),"Unknown Product")</f>
        <v>Marketing Automation</v>
      </c>
      <c r="S1301" t="str">
        <f>IFERROR(VLOOKUP(F1301,Lookups!$D$5:$F$10,3,FALSE),"Unknown")</f>
        <v>Marketing</v>
      </c>
      <c r="T1301" t="str">
        <f t="shared" si="220"/>
        <v>Mid-Market</v>
      </c>
      <c r="U1301" t="str">
        <f t="shared" si="221"/>
        <v>Open</v>
      </c>
      <c r="V1301" s="3">
        <f t="shared" si="222"/>
        <v>0</v>
      </c>
      <c r="W1301" s="3">
        <f t="shared" si="223"/>
        <v>14920</v>
      </c>
      <c r="X1301" s="5" t="str">
        <f t="shared" si="224"/>
        <v/>
      </c>
      <c r="Y1301" s="5">
        <f>IF(U1301="Open",Lookups!$B$2-B1301,X1301)</f>
        <v>82</v>
      </c>
      <c r="Z1301" t="str">
        <f t="shared" si="225"/>
        <v>STALE</v>
      </c>
      <c r="AA1301" t="str">
        <f t="shared" si="226"/>
        <v>2026-06</v>
      </c>
      <c r="AB1301" t="str">
        <f t="shared" si="227"/>
        <v/>
      </c>
      <c r="AC1301" t="str">
        <f t="shared" si="228"/>
        <v>Q2-2026</v>
      </c>
      <c r="AD1301" s="5">
        <f t="shared" si="229"/>
        <v>59</v>
      </c>
      <c r="AE1301" t="str">
        <f t="shared" si="230"/>
        <v>Pipeline</v>
      </c>
    </row>
    <row r="1302" spans="1:31">
      <c r="A1302" t="s">
        <v>1404</v>
      </c>
      <c r="B1302" s="1">
        <v>45877</v>
      </c>
      <c r="C1302" t="s">
        <v>64</v>
      </c>
      <c r="D1302" t="s">
        <v>57</v>
      </c>
      <c r="E1302" t="s">
        <v>65</v>
      </c>
      <c r="F1302" t="s">
        <v>52</v>
      </c>
      <c r="G1302" t="s">
        <v>72</v>
      </c>
      <c r="H1302" t="s">
        <v>53</v>
      </c>
      <c r="I1302" t="s">
        <v>77</v>
      </c>
      <c r="J1302" s="1">
        <v>45965</v>
      </c>
      <c r="K1302" s="1">
        <v>45965</v>
      </c>
      <c r="L1302" s="3">
        <v>10700</v>
      </c>
      <c r="M1302" s="4">
        <v>0.05</v>
      </c>
      <c r="N1302" s="4">
        <v>1</v>
      </c>
      <c r="P1302">
        <v>6</v>
      </c>
      <c r="Q1302" t="str">
        <f>IFERROR(VLOOKUP(E1302,Lookups!$A$5:$B$24,2,FALSE),"Other")</f>
        <v>Paid Search</v>
      </c>
      <c r="R1302" t="str">
        <f>IFERROR(VLOOKUP(F1302,Lookups!$D$5:$F$10,2,FALSE),"Unknown Product")</f>
        <v>NexaCRM Core</v>
      </c>
      <c r="S1302" t="str">
        <f>IFERROR(VLOOKUP(F1302,Lookups!$D$5:$F$10,3,FALSE),"Unknown")</f>
        <v>CRM</v>
      </c>
      <c r="T1302" t="str">
        <f t="shared" si="220"/>
        <v>SMB</v>
      </c>
      <c r="U1302" t="str">
        <f t="shared" si="221"/>
        <v>Won</v>
      </c>
      <c r="V1302" s="3">
        <f t="shared" si="222"/>
        <v>10165</v>
      </c>
      <c r="W1302" s="3">
        <f t="shared" si="223"/>
        <v>0</v>
      </c>
      <c r="X1302" s="5">
        <f t="shared" si="224"/>
        <v>88</v>
      </c>
      <c r="Y1302" s="5">
        <f>IF(U1302="Open",Lookups!$B$2-B1302,X1302)</f>
        <v>88</v>
      </c>
      <c r="Z1302" t="str">
        <f t="shared" si="225"/>
        <v>OK</v>
      </c>
      <c r="AA1302" t="str">
        <f t="shared" si="226"/>
        <v>2025-08</v>
      </c>
      <c r="AB1302" t="str">
        <f t="shared" si="227"/>
        <v>2025-11</v>
      </c>
      <c r="AC1302" t="str">
        <f t="shared" si="228"/>
        <v>Q3-2025</v>
      </c>
      <c r="AD1302" s="5">
        <f t="shared" si="229"/>
        <v>51</v>
      </c>
      <c r="AE1302" t="str">
        <f t="shared" si="230"/>
        <v>Won</v>
      </c>
    </row>
    <row r="1303" spans="1:31">
      <c r="A1303" t="s">
        <v>1405</v>
      </c>
      <c r="B1303" s="1">
        <v>45950</v>
      </c>
      <c r="C1303" t="s">
        <v>50</v>
      </c>
      <c r="D1303" t="s">
        <v>43</v>
      </c>
      <c r="E1303" t="s">
        <v>109</v>
      </c>
      <c r="F1303" t="s">
        <v>133</v>
      </c>
      <c r="G1303" t="s">
        <v>99</v>
      </c>
      <c r="H1303" t="s">
        <v>47</v>
      </c>
      <c r="I1303" t="s">
        <v>61</v>
      </c>
      <c r="J1303" s="1">
        <v>45966</v>
      </c>
      <c r="K1303" s="1">
        <v>45966</v>
      </c>
      <c r="L1303" s="3">
        <v>13300</v>
      </c>
      <c r="M1303" s="4">
        <v>0</v>
      </c>
      <c r="N1303" s="4">
        <v>0</v>
      </c>
      <c r="O1303" t="s">
        <v>116</v>
      </c>
      <c r="P1303">
        <v>2</v>
      </c>
      <c r="Q1303" t="str">
        <f>IFERROR(VLOOKUP(E1303,Lookups!$A$5:$B$24,2,FALSE),"Other")</f>
        <v>Outbound</v>
      </c>
      <c r="R1303" t="str">
        <f>IFERROR(VLOOKUP(F1303,Lookups!$D$5:$F$10,2,FALSE),"Unknown Product")</f>
        <v>Analytics Plus</v>
      </c>
      <c r="S1303" t="str">
        <f>IFERROR(VLOOKUP(F1303,Lookups!$D$5:$F$10,3,FALSE),"Unknown")</f>
        <v>Analytics</v>
      </c>
      <c r="T1303" t="str">
        <f t="shared" si="220"/>
        <v>SMB</v>
      </c>
      <c r="U1303" t="str">
        <f t="shared" si="221"/>
        <v>Lost</v>
      </c>
      <c r="V1303" s="3">
        <f t="shared" si="222"/>
        <v>0</v>
      </c>
      <c r="W1303" s="3">
        <f t="shared" si="223"/>
        <v>0</v>
      </c>
      <c r="X1303" s="5">
        <f t="shared" si="224"/>
        <v>16</v>
      </c>
      <c r="Y1303" s="5">
        <f>IF(U1303="Open",Lookups!$B$2-B1303,X1303)</f>
        <v>16</v>
      </c>
      <c r="Z1303" t="str">
        <f t="shared" si="225"/>
        <v>OK</v>
      </c>
      <c r="AA1303" t="str">
        <f t="shared" si="226"/>
        <v>2025-10</v>
      </c>
      <c r="AB1303" t="str">
        <f t="shared" si="227"/>
        <v>2025-11</v>
      </c>
      <c r="AC1303" t="str">
        <f t="shared" si="228"/>
        <v>Q4-2025</v>
      </c>
      <c r="AD1303" s="5">
        <f t="shared" si="229"/>
        <v>43</v>
      </c>
      <c r="AE1303" t="str">
        <f t="shared" si="230"/>
        <v>Lost</v>
      </c>
    </row>
    <row r="1304" spans="1:31">
      <c r="A1304" t="s">
        <v>1406</v>
      </c>
      <c r="B1304" s="1">
        <v>46050</v>
      </c>
      <c r="C1304" t="s">
        <v>56</v>
      </c>
      <c r="D1304" t="s">
        <v>57</v>
      </c>
      <c r="E1304" t="s">
        <v>96</v>
      </c>
      <c r="F1304" t="s">
        <v>52</v>
      </c>
      <c r="G1304" t="s">
        <v>72</v>
      </c>
      <c r="H1304" t="s">
        <v>84</v>
      </c>
      <c r="I1304" t="s">
        <v>77</v>
      </c>
      <c r="J1304" s="1">
        <v>46121</v>
      </c>
      <c r="K1304" s="1">
        <v>46121</v>
      </c>
      <c r="L1304" s="3">
        <v>28100</v>
      </c>
      <c r="M1304" s="4">
        <v>0</v>
      </c>
      <c r="N1304" s="4">
        <v>1</v>
      </c>
      <c r="P1304">
        <v>6</v>
      </c>
      <c r="Q1304" t="str">
        <f>IFERROR(VLOOKUP(E1304,Lookups!$A$5:$B$24,2,FALSE),"Other")</f>
        <v>LinkedIn</v>
      </c>
      <c r="R1304" t="str">
        <f>IFERROR(VLOOKUP(F1304,Lookups!$D$5:$F$10,2,FALSE),"Unknown Product")</f>
        <v>NexaCRM Core</v>
      </c>
      <c r="S1304" t="str">
        <f>IFERROR(VLOOKUP(F1304,Lookups!$D$5:$F$10,3,FALSE),"Unknown")</f>
        <v>CRM</v>
      </c>
      <c r="T1304" t="str">
        <f t="shared" si="220"/>
        <v>Mid-Market</v>
      </c>
      <c r="U1304" t="str">
        <f t="shared" si="221"/>
        <v>Won</v>
      </c>
      <c r="V1304" s="3">
        <f t="shared" si="222"/>
        <v>28100</v>
      </c>
      <c r="W1304" s="3">
        <f t="shared" si="223"/>
        <v>0</v>
      </c>
      <c r="X1304" s="5">
        <f t="shared" si="224"/>
        <v>71</v>
      </c>
      <c r="Y1304" s="5">
        <f>IF(U1304="Open",Lookups!$B$2-B1304,X1304)</f>
        <v>71</v>
      </c>
      <c r="Z1304" t="str">
        <f t="shared" si="225"/>
        <v>OK</v>
      </c>
      <c r="AA1304" t="str">
        <f t="shared" si="226"/>
        <v>2026-01</v>
      </c>
      <c r="AB1304" t="str">
        <f t="shared" si="227"/>
        <v>2026-04</v>
      </c>
      <c r="AC1304" t="str">
        <f t="shared" si="228"/>
        <v>Q1-2026</v>
      </c>
      <c r="AD1304" s="5">
        <f t="shared" si="229"/>
        <v>67</v>
      </c>
      <c r="AE1304" t="str">
        <f t="shared" si="230"/>
        <v>Won</v>
      </c>
    </row>
    <row r="1305" spans="1:31">
      <c r="A1305" t="s">
        <v>1407</v>
      </c>
      <c r="B1305" s="1">
        <v>45734</v>
      </c>
      <c r="C1305" t="s">
        <v>50</v>
      </c>
      <c r="D1305" t="s">
        <v>43</v>
      </c>
      <c r="E1305" t="s">
        <v>92</v>
      </c>
      <c r="F1305" t="s">
        <v>67</v>
      </c>
      <c r="G1305" t="s">
        <v>94</v>
      </c>
      <c r="H1305" t="s">
        <v>47</v>
      </c>
      <c r="I1305" t="s">
        <v>61</v>
      </c>
      <c r="J1305" s="1">
        <v>45783</v>
      </c>
      <c r="K1305" s="1">
        <v>45783</v>
      </c>
      <c r="L1305" s="3">
        <v>42800</v>
      </c>
      <c r="M1305" s="4">
        <v>0</v>
      </c>
      <c r="N1305" s="4">
        <v>0</v>
      </c>
      <c r="O1305" t="s">
        <v>79</v>
      </c>
      <c r="P1305">
        <v>5</v>
      </c>
      <c r="Q1305" t="str">
        <f>IFERROR(VLOOKUP(E1305,Lookups!$A$5:$B$24,2,FALSE),"Other")</f>
        <v>Webinar</v>
      </c>
      <c r="R1305" t="str">
        <f>IFERROR(VLOOKUP(F1305,Lookups!$D$5:$F$10,2,FALSE),"Unknown Product")</f>
        <v>Revenue Operations Suite</v>
      </c>
      <c r="S1305" t="str">
        <f>IFERROR(VLOOKUP(F1305,Lookups!$D$5:$F$10,3,FALSE),"Unknown")</f>
        <v>Revenue Ops</v>
      </c>
      <c r="T1305" t="str">
        <f t="shared" si="220"/>
        <v>Mid-Market</v>
      </c>
      <c r="U1305" t="str">
        <f t="shared" si="221"/>
        <v>Lost</v>
      </c>
      <c r="V1305" s="3">
        <f t="shared" si="222"/>
        <v>0</v>
      </c>
      <c r="W1305" s="3">
        <f t="shared" si="223"/>
        <v>0</v>
      </c>
      <c r="X1305" s="5">
        <f t="shared" si="224"/>
        <v>49</v>
      </c>
      <c r="Y1305" s="5">
        <f>IF(U1305="Open",Lookups!$B$2-B1305,X1305)</f>
        <v>49</v>
      </c>
      <c r="Z1305" t="str">
        <f t="shared" si="225"/>
        <v>OK</v>
      </c>
      <c r="AA1305" t="str">
        <f t="shared" si="226"/>
        <v>2025-03</v>
      </c>
      <c r="AB1305" t="str">
        <f t="shared" si="227"/>
        <v>2025-05</v>
      </c>
      <c r="AC1305" t="str">
        <f t="shared" si="228"/>
        <v>Q1-2025</v>
      </c>
      <c r="AD1305" s="5">
        <f t="shared" si="229"/>
        <v>51</v>
      </c>
      <c r="AE1305" t="str">
        <f t="shared" si="230"/>
        <v>Lost</v>
      </c>
    </row>
    <row r="1306" spans="1:31">
      <c r="A1306" t="s">
        <v>1408</v>
      </c>
      <c r="B1306" s="1">
        <v>45939</v>
      </c>
      <c r="C1306" t="s">
        <v>90</v>
      </c>
      <c r="D1306" t="s">
        <v>57</v>
      </c>
      <c r="E1306" t="s">
        <v>123</v>
      </c>
      <c r="F1306" t="s">
        <v>45</v>
      </c>
      <c r="G1306" t="s">
        <v>94</v>
      </c>
      <c r="H1306" t="s">
        <v>53</v>
      </c>
      <c r="I1306" t="s">
        <v>77</v>
      </c>
      <c r="J1306" s="1">
        <v>45998</v>
      </c>
      <c r="K1306" s="1">
        <v>45998</v>
      </c>
      <c r="L1306" s="3">
        <v>34900</v>
      </c>
      <c r="M1306" s="4">
        <v>0</v>
      </c>
      <c r="N1306" s="4">
        <v>1</v>
      </c>
      <c r="P1306">
        <v>6</v>
      </c>
      <c r="Q1306" t="str">
        <f>IFERROR(VLOOKUP(E1306,Lookups!$A$5:$B$24,2,FALSE),"Other")</f>
        <v>Email</v>
      </c>
      <c r="R1306" t="str">
        <f>IFERROR(VLOOKUP(F1306,Lookups!$D$5:$F$10,2,FALSE),"Unknown Product")</f>
        <v>Service Cloud</v>
      </c>
      <c r="S1306" t="str">
        <f>IFERROR(VLOOKUP(F1306,Lookups!$D$5:$F$10,3,FALSE),"Unknown")</f>
        <v>Customer Service</v>
      </c>
      <c r="T1306" t="str">
        <f t="shared" si="220"/>
        <v>Mid-Market</v>
      </c>
      <c r="U1306" t="str">
        <f t="shared" si="221"/>
        <v>Won</v>
      </c>
      <c r="V1306" s="3">
        <f t="shared" si="222"/>
        <v>34900</v>
      </c>
      <c r="W1306" s="3">
        <f t="shared" si="223"/>
        <v>0</v>
      </c>
      <c r="X1306" s="5">
        <f t="shared" si="224"/>
        <v>59</v>
      </c>
      <c r="Y1306" s="5">
        <f>IF(U1306="Open",Lookups!$B$2-B1306,X1306)</f>
        <v>59</v>
      </c>
      <c r="Z1306" t="str">
        <f t="shared" si="225"/>
        <v>OK</v>
      </c>
      <c r="AA1306" t="str">
        <f t="shared" si="226"/>
        <v>2025-10</v>
      </c>
      <c r="AB1306" t="str">
        <f t="shared" si="227"/>
        <v>2025-12</v>
      </c>
      <c r="AC1306" t="str">
        <f t="shared" si="228"/>
        <v>Q4-2025</v>
      </c>
      <c r="AD1306" s="5">
        <f t="shared" si="229"/>
        <v>63</v>
      </c>
      <c r="AE1306" t="str">
        <f t="shared" si="230"/>
        <v>Won</v>
      </c>
    </row>
    <row r="1307" spans="1:31">
      <c r="A1307" t="s">
        <v>1409</v>
      </c>
      <c r="B1307" s="1">
        <v>45873</v>
      </c>
      <c r="C1307" t="s">
        <v>148</v>
      </c>
      <c r="D1307" t="s">
        <v>43</v>
      </c>
      <c r="E1307" t="s">
        <v>98</v>
      </c>
      <c r="F1307" t="s">
        <v>52</v>
      </c>
      <c r="G1307" t="s">
        <v>112</v>
      </c>
      <c r="H1307" t="s">
        <v>47</v>
      </c>
      <c r="I1307" t="s">
        <v>48</v>
      </c>
      <c r="J1307" s="1">
        <v>46075</v>
      </c>
      <c r="K1307" s="1"/>
      <c r="L1307" s="3">
        <v>6600</v>
      </c>
      <c r="M1307" s="4">
        <v>0</v>
      </c>
      <c r="N1307" s="4">
        <v>0.85</v>
      </c>
      <c r="P1307">
        <v>5</v>
      </c>
      <c r="Q1307" t="str">
        <f>IFERROR(VLOOKUP(E1307,Lookups!$A$5:$B$24,2,FALSE),"Other")</f>
        <v>Outbound</v>
      </c>
      <c r="R1307" t="str">
        <f>IFERROR(VLOOKUP(F1307,Lookups!$D$5:$F$10,2,FALSE),"Unknown Product")</f>
        <v>NexaCRM Core</v>
      </c>
      <c r="S1307" t="str">
        <f>IFERROR(VLOOKUP(F1307,Lookups!$D$5:$F$10,3,FALSE),"Unknown")</f>
        <v>CRM</v>
      </c>
      <c r="T1307" t="str">
        <f t="shared" si="220"/>
        <v>SMB</v>
      </c>
      <c r="U1307" t="str">
        <f t="shared" si="221"/>
        <v>Open</v>
      </c>
      <c r="V1307" s="3">
        <f t="shared" si="222"/>
        <v>0</v>
      </c>
      <c r="W1307" s="3">
        <f t="shared" si="223"/>
        <v>5610</v>
      </c>
      <c r="X1307" s="5" t="str">
        <f t="shared" si="224"/>
        <v/>
      </c>
      <c r="Y1307" s="5">
        <f>IF(U1307="Open",Lookups!$B$2-B1307,X1307)</f>
        <v>393</v>
      </c>
      <c r="Z1307" t="str">
        <f t="shared" si="225"/>
        <v>STALE</v>
      </c>
      <c r="AA1307" t="str">
        <f t="shared" si="226"/>
        <v>2025-08</v>
      </c>
      <c r="AB1307" t="str">
        <f t="shared" si="227"/>
        <v/>
      </c>
      <c r="AC1307" t="str">
        <f t="shared" si="228"/>
        <v>Q3-2025</v>
      </c>
      <c r="AD1307" s="5">
        <f t="shared" si="229"/>
        <v>48</v>
      </c>
      <c r="AE1307" t="str">
        <f t="shared" si="230"/>
        <v>Commit</v>
      </c>
    </row>
    <row r="1308" spans="1:31">
      <c r="A1308" t="s">
        <v>1410</v>
      </c>
      <c r="B1308" s="1">
        <v>46155</v>
      </c>
      <c r="C1308" t="s">
        <v>56</v>
      </c>
      <c r="D1308" t="s">
        <v>57</v>
      </c>
      <c r="E1308" t="s">
        <v>70</v>
      </c>
      <c r="F1308" t="s">
        <v>133</v>
      </c>
      <c r="G1308" t="s">
        <v>46</v>
      </c>
      <c r="H1308" t="s">
        <v>53</v>
      </c>
      <c r="I1308" t="s">
        <v>77</v>
      </c>
      <c r="J1308" s="1">
        <v>46188</v>
      </c>
      <c r="K1308" s="1">
        <v>46188</v>
      </c>
      <c r="L1308" s="3">
        <v>44000</v>
      </c>
      <c r="M1308" s="4">
        <v>0.12</v>
      </c>
      <c r="N1308" s="4">
        <v>1</v>
      </c>
      <c r="P1308">
        <v>6</v>
      </c>
      <c r="Q1308" t="str">
        <f>IFERROR(VLOOKUP(E1308,Lookups!$A$5:$B$24,2,FALSE),"Other")</f>
        <v>LinkedIn</v>
      </c>
      <c r="R1308" t="str">
        <f>IFERROR(VLOOKUP(F1308,Lookups!$D$5:$F$10,2,FALSE),"Unknown Product")</f>
        <v>Analytics Plus</v>
      </c>
      <c r="S1308" t="str">
        <f>IFERROR(VLOOKUP(F1308,Lookups!$D$5:$F$10,3,FALSE),"Unknown")</f>
        <v>Analytics</v>
      </c>
      <c r="T1308" t="str">
        <f t="shared" si="220"/>
        <v>Mid-Market</v>
      </c>
      <c r="U1308" t="str">
        <f t="shared" si="221"/>
        <v>Won</v>
      </c>
      <c r="V1308" s="3">
        <f t="shared" si="222"/>
        <v>38720</v>
      </c>
      <c r="W1308" s="3">
        <f t="shared" si="223"/>
        <v>0</v>
      </c>
      <c r="X1308" s="5">
        <f t="shared" si="224"/>
        <v>33</v>
      </c>
      <c r="Y1308" s="5">
        <f>IF(U1308="Open",Lookups!$B$2-B1308,X1308)</f>
        <v>33</v>
      </c>
      <c r="Z1308" t="str">
        <f t="shared" si="225"/>
        <v>OK</v>
      </c>
      <c r="AA1308" t="str">
        <f t="shared" si="226"/>
        <v>2026-05</v>
      </c>
      <c r="AB1308" t="str">
        <f t="shared" si="227"/>
        <v>2026-06</v>
      </c>
      <c r="AC1308" t="str">
        <f t="shared" si="228"/>
        <v>Q2-2026</v>
      </c>
      <c r="AD1308" s="5">
        <f t="shared" si="229"/>
        <v>59</v>
      </c>
      <c r="AE1308" t="str">
        <f t="shared" si="230"/>
        <v>Won</v>
      </c>
    </row>
    <row r="1309" spans="1:31">
      <c r="A1309" t="s">
        <v>1411</v>
      </c>
      <c r="B1309" s="1">
        <v>46258</v>
      </c>
      <c r="C1309" t="s">
        <v>148</v>
      </c>
      <c r="D1309" t="s">
        <v>43</v>
      </c>
      <c r="E1309" t="s">
        <v>119</v>
      </c>
      <c r="F1309" t="s">
        <v>45</v>
      </c>
      <c r="G1309" t="s">
        <v>46</v>
      </c>
      <c r="H1309" t="s">
        <v>53</v>
      </c>
      <c r="I1309" t="s">
        <v>61</v>
      </c>
      <c r="J1309" s="1">
        <v>46266</v>
      </c>
      <c r="K1309" s="1">
        <v>46266</v>
      </c>
      <c r="L1309" s="3">
        <v>49800</v>
      </c>
      <c r="M1309" s="4">
        <v>0</v>
      </c>
      <c r="N1309" s="4">
        <v>0</v>
      </c>
      <c r="O1309" t="s">
        <v>116</v>
      </c>
      <c r="P1309">
        <v>5</v>
      </c>
      <c r="Q1309" t="str">
        <f>IFERROR(VLOOKUP(E1309,Lookups!$A$5:$B$24,2,FALSE),"Other")</f>
        <v>Referral</v>
      </c>
      <c r="R1309" t="str">
        <f>IFERROR(VLOOKUP(F1309,Lookups!$D$5:$F$10,2,FALSE),"Unknown Product")</f>
        <v>Service Cloud</v>
      </c>
      <c r="S1309" t="str">
        <f>IFERROR(VLOOKUP(F1309,Lookups!$D$5:$F$10,3,FALSE),"Unknown")</f>
        <v>Customer Service</v>
      </c>
      <c r="T1309" t="str">
        <f t="shared" si="220"/>
        <v>Mid-Market</v>
      </c>
      <c r="U1309" t="str">
        <f t="shared" si="221"/>
        <v>Lost</v>
      </c>
      <c r="V1309" s="3">
        <f t="shared" si="222"/>
        <v>0</v>
      </c>
      <c r="W1309" s="3">
        <f t="shared" si="223"/>
        <v>0</v>
      </c>
      <c r="X1309" s="5">
        <f t="shared" si="224"/>
        <v>8</v>
      </c>
      <c r="Y1309" s="5">
        <f>IF(U1309="Open",Lookups!$B$2-B1309,X1309)</f>
        <v>8</v>
      </c>
      <c r="Z1309" t="str">
        <f t="shared" si="225"/>
        <v>OK</v>
      </c>
      <c r="AA1309" t="str">
        <f t="shared" si="226"/>
        <v>2026-08</v>
      </c>
      <c r="AB1309" t="str">
        <f t="shared" si="227"/>
        <v>2026-09</v>
      </c>
      <c r="AC1309" t="str">
        <f t="shared" si="228"/>
        <v>Q3-2026</v>
      </c>
      <c r="AD1309" s="5">
        <f t="shared" si="229"/>
        <v>70</v>
      </c>
      <c r="AE1309" t="str">
        <f t="shared" si="230"/>
        <v>Lost</v>
      </c>
    </row>
    <row r="1310" spans="1:31">
      <c r="A1310" t="s">
        <v>1412</v>
      </c>
      <c r="B1310" s="1">
        <v>46007</v>
      </c>
      <c r="C1310" t="s">
        <v>90</v>
      </c>
      <c r="D1310" t="s">
        <v>57</v>
      </c>
      <c r="E1310" t="s">
        <v>58</v>
      </c>
      <c r="F1310" t="s">
        <v>59</v>
      </c>
      <c r="G1310" t="s">
        <v>72</v>
      </c>
      <c r="H1310" t="s">
        <v>47</v>
      </c>
      <c r="I1310" t="s">
        <v>61</v>
      </c>
      <c r="J1310" s="1">
        <v>46051</v>
      </c>
      <c r="K1310" s="1">
        <v>46051</v>
      </c>
      <c r="L1310" s="3">
        <v>17700</v>
      </c>
      <c r="M1310" s="4">
        <v>0</v>
      </c>
      <c r="N1310" s="4">
        <v>0</v>
      </c>
      <c r="O1310" t="s">
        <v>62</v>
      </c>
      <c r="P1310">
        <v>5</v>
      </c>
      <c r="Q1310" t="str">
        <f>IFERROR(VLOOKUP(E1310,Lookups!$A$5:$B$24,2,FALSE),"Other")</f>
        <v>Email</v>
      </c>
      <c r="R1310" t="str">
        <f>IFERROR(VLOOKUP(F1310,Lookups!$D$5:$F$10,2,FALSE),"Unknown Product")</f>
        <v>NexaCRM Pro</v>
      </c>
      <c r="S1310" t="str">
        <f>IFERROR(VLOOKUP(F1310,Lookups!$D$5:$F$10,3,FALSE),"Unknown")</f>
        <v>CRM</v>
      </c>
      <c r="T1310" t="str">
        <f t="shared" si="220"/>
        <v>SMB</v>
      </c>
      <c r="U1310" t="str">
        <f t="shared" si="221"/>
        <v>Lost</v>
      </c>
      <c r="V1310" s="3">
        <f t="shared" si="222"/>
        <v>0</v>
      </c>
      <c r="W1310" s="3">
        <f t="shared" si="223"/>
        <v>0</v>
      </c>
      <c r="X1310" s="5">
        <f t="shared" si="224"/>
        <v>44</v>
      </c>
      <c r="Y1310" s="5">
        <f>IF(U1310="Open",Lookups!$B$2-B1310,X1310)</f>
        <v>44</v>
      </c>
      <c r="Z1310" t="str">
        <f t="shared" si="225"/>
        <v>OK</v>
      </c>
      <c r="AA1310" t="str">
        <f t="shared" si="226"/>
        <v>2025-12</v>
      </c>
      <c r="AB1310" t="str">
        <f t="shared" si="227"/>
        <v>2026-01</v>
      </c>
      <c r="AC1310" t="str">
        <f t="shared" si="228"/>
        <v>Q4-2025</v>
      </c>
      <c r="AD1310" s="5">
        <f t="shared" si="229"/>
        <v>47</v>
      </c>
      <c r="AE1310" t="str">
        <f t="shared" si="230"/>
        <v>Lost</v>
      </c>
    </row>
    <row r="1311" spans="1:31">
      <c r="A1311" t="s">
        <v>1413</v>
      </c>
      <c r="B1311" s="1">
        <v>46015</v>
      </c>
      <c r="C1311" t="s">
        <v>90</v>
      </c>
      <c r="D1311" t="s">
        <v>57</v>
      </c>
      <c r="E1311" t="s">
        <v>123</v>
      </c>
      <c r="F1311" t="s">
        <v>52</v>
      </c>
      <c r="G1311" t="s">
        <v>72</v>
      </c>
      <c r="H1311" t="s">
        <v>47</v>
      </c>
      <c r="I1311" t="s">
        <v>61</v>
      </c>
      <c r="J1311" s="1">
        <v>46050</v>
      </c>
      <c r="K1311" s="1">
        <v>46050</v>
      </c>
      <c r="L1311" s="3">
        <v>10100</v>
      </c>
      <c r="M1311" s="4">
        <v>0</v>
      </c>
      <c r="N1311" s="4">
        <v>0</v>
      </c>
      <c r="O1311" t="s">
        <v>81</v>
      </c>
      <c r="P1311">
        <v>4</v>
      </c>
      <c r="Q1311" t="str">
        <f>IFERROR(VLOOKUP(E1311,Lookups!$A$5:$B$24,2,FALSE),"Other")</f>
        <v>Email</v>
      </c>
      <c r="R1311" t="str">
        <f>IFERROR(VLOOKUP(F1311,Lookups!$D$5:$F$10,2,FALSE),"Unknown Product")</f>
        <v>NexaCRM Core</v>
      </c>
      <c r="S1311" t="str">
        <f>IFERROR(VLOOKUP(F1311,Lookups!$D$5:$F$10,3,FALSE),"Unknown")</f>
        <v>CRM</v>
      </c>
      <c r="T1311" t="str">
        <f t="shared" si="220"/>
        <v>SMB</v>
      </c>
      <c r="U1311" t="str">
        <f t="shared" si="221"/>
        <v>Lost</v>
      </c>
      <c r="V1311" s="3">
        <f t="shared" si="222"/>
        <v>0</v>
      </c>
      <c r="W1311" s="3">
        <f t="shared" si="223"/>
        <v>0</v>
      </c>
      <c r="X1311" s="5">
        <f t="shared" si="224"/>
        <v>35</v>
      </c>
      <c r="Y1311" s="5">
        <f>IF(U1311="Open",Lookups!$B$2-B1311,X1311)</f>
        <v>35</v>
      </c>
      <c r="Z1311" t="str">
        <f t="shared" si="225"/>
        <v>OK</v>
      </c>
      <c r="AA1311" t="str">
        <f t="shared" si="226"/>
        <v>2025-12</v>
      </c>
      <c r="AB1311" t="str">
        <f t="shared" si="227"/>
        <v>2026-01</v>
      </c>
      <c r="AC1311" t="str">
        <f t="shared" si="228"/>
        <v>Q4-2025</v>
      </c>
      <c r="AD1311" s="5">
        <f t="shared" si="229"/>
        <v>47</v>
      </c>
      <c r="AE1311" t="str">
        <f t="shared" si="230"/>
        <v>Lost</v>
      </c>
    </row>
    <row r="1312" spans="1:31">
      <c r="A1312" t="s">
        <v>1414</v>
      </c>
      <c r="B1312" s="1">
        <v>45900</v>
      </c>
      <c r="C1312" t="s">
        <v>56</v>
      </c>
      <c r="D1312" t="s">
        <v>57</v>
      </c>
      <c r="E1312" t="s">
        <v>65</v>
      </c>
      <c r="F1312" t="s">
        <v>59</v>
      </c>
      <c r="G1312" t="s">
        <v>46</v>
      </c>
      <c r="H1312" t="s">
        <v>53</v>
      </c>
      <c r="I1312" t="s">
        <v>61</v>
      </c>
      <c r="J1312" s="1">
        <v>45941</v>
      </c>
      <c r="K1312" s="1">
        <v>45941</v>
      </c>
      <c r="L1312" s="3">
        <v>25600</v>
      </c>
      <c r="M1312" s="4">
        <v>0</v>
      </c>
      <c r="N1312" s="4">
        <v>0</v>
      </c>
      <c r="O1312" t="s">
        <v>79</v>
      </c>
      <c r="P1312">
        <v>4</v>
      </c>
      <c r="Q1312" t="str">
        <f>IFERROR(VLOOKUP(E1312,Lookups!$A$5:$B$24,2,FALSE),"Other")</f>
        <v>Paid Search</v>
      </c>
      <c r="R1312" t="str">
        <f>IFERROR(VLOOKUP(F1312,Lookups!$D$5:$F$10,2,FALSE),"Unknown Product")</f>
        <v>NexaCRM Pro</v>
      </c>
      <c r="S1312" t="str">
        <f>IFERROR(VLOOKUP(F1312,Lookups!$D$5:$F$10,3,FALSE),"Unknown")</f>
        <v>CRM</v>
      </c>
      <c r="T1312" t="str">
        <f t="shared" si="220"/>
        <v>Mid-Market</v>
      </c>
      <c r="U1312" t="str">
        <f t="shared" si="221"/>
        <v>Lost</v>
      </c>
      <c r="V1312" s="3">
        <f t="shared" si="222"/>
        <v>0</v>
      </c>
      <c r="W1312" s="3">
        <f t="shared" si="223"/>
        <v>0</v>
      </c>
      <c r="X1312" s="5">
        <f t="shared" si="224"/>
        <v>41</v>
      </c>
      <c r="Y1312" s="5">
        <f>IF(U1312="Open",Lookups!$B$2-B1312,X1312)</f>
        <v>41</v>
      </c>
      <c r="Z1312" t="str">
        <f t="shared" si="225"/>
        <v>OK</v>
      </c>
      <c r="AA1312" t="str">
        <f t="shared" si="226"/>
        <v>2025-08</v>
      </c>
      <c r="AB1312" t="str">
        <f t="shared" si="227"/>
        <v>2025-10</v>
      </c>
      <c r="AC1312" t="str">
        <f t="shared" si="228"/>
        <v>Q3-2025</v>
      </c>
      <c r="AD1312" s="5">
        <f t="shared" si="229"/>
        <v>59</v>
      </c>
      <c r="AE1312" t="str">
        <f t="shared" si="230"/>
        <v>Lost</v>
      </c>
    </row>
    <row r="1313" spans="1:31">
      <c r="A1313" t="s">
        <v>1415</v>
      </c>
      <c r="B1313" s="1">
        <v>45823</v>
      </c>
      <c r="C1313" t="s">
        <v>50</v>
      </c>
      <c r="D1313" t="s">
        <v>43</v>
      </c>
      <c r="E1313" t="s">
        <v>146</v>
      </c>
      <c r="F1313" t="s">
        <v>71</v>
      </c>
      <c r="G1313" t="s">
        <v>76</v>
      </c>
      <c r="H1313" t="s">
        <v>47</v>
      </c>
      <c r="I1313" t="s">
        <v>48</v>
      </c>
      <c r="J1313" s="1">
        <v>46055</v>
      </c>
      <c r="K1313" s="1"/>
      <c r="L1313" s="3">
        <v>18200</v>
      </c>
      <c r="M1313" s="4">
        <v>0</v>
      </c>
      <c r="N1313" s="4">
        <v>0.85</v>
      </c>
      <c r="P1313">
        <v>5</v>
      </c>
      <c r="Q1313" t="str">
        <f>IFERROR(VLOOKUP(E1313,Lookups!$A$5:$B$24,2,FALSE),"Other")</f>
        <v>LinkedIn</v>
      </c>
      <c r="R1313" t="str">
        <f>IFERROR(VLOOKUP(F1313,Lookups!$D$5:$F$10,2,FALSE),"Unknown Product")</f>
        <v>Marketing Automation</v>
      </c>
      <c r="S1313" t="str">
        <f>IFERROR(VLOOKUP(F1313,Lookups!$D$5:$F$10,3,FALSE),"Unknown")</f>
        <v>Marketing</v>
      </c>
      <c r="T1313" t="str">
        <f t="shared" si="220"/>
        <v>SMB</v>
      </c>
      <c r="U1313" t="str">
        <f t="shared" si="221"/>
        <v>Open</v>
      </c>
      <c r="V1313" s="3">
        <f t="shared" si="222"/>
        <v>0</v>
      </c>
      <c r="W1313" s="3">
        <f t="shared" si="223"/>
        <v>15470</v>
      </c>
      <c r="X1313" s="5" t="str">
        <f t="shared" si="224"/>
        <v/>
      </c>
      <c r="Y1313" s="5">
        <f>IF(U1313="Open",Lookups!$B$2-B1313,X1313)</f>
        <v>443</v>
      </c>
      <c r="Z1313" t="str">
        <f t="shared" si="225"/>
        <v>STALE</v>
      </c>
      <c r="AA1313" t="str">
        <f t="shared" si="226"/>
        <v>2025-06</v>
      </c>
      <c r="AB1313" t="str">
        <f t="shared" si="227"/>
        <v/>
      </c>
      <c r="AC1313" t="str">
        <f t="shared" si="228"/>
        <v>Q2-2025</v>
      </c>
      <c r="AD1313" s="5">
        <f t="shared" si="229"/>
        <v>43</v>
      </c>
      <c r="AE1313" t="str">
        <f t="shared" si="230"/>
        <v>Commit</v>
      </c>
    </row>
    <row r="1314" spans="1:31">
      <c r="A1314" t="s">
        <v>1416</v>
      </c>
      <c r="B1314" s="1">
        <v>46144</v>
      </c>
      <c r="C1314" t="s">
        <v>69</v>
      </c>
      <c r="D1314" t="s">
        <v>57</v>
      </c>
      <c r="E1314" t="s">
        <v>51</v>
      </c>
      <c r="F1314" t="s">
        <v>71</v>
      </c>
      <c r="G1314" t="s">
        <v>72</v>
      </c>
      <c r="H1314" t="s">
        <v>47</v>
      </c>
      <c r="I1314" t="s">
        <v>61</v>
      </c>
      <c r="J1314" s="1">
        <v>46152</v>
      </c>
      <c r="K1314" s="1">
        <v>46152</v>
      </c>
      <c r="L1314" s="3">
        <v>9600</v>
      </c>
      <c r="M1314" s="4">
        <v>0</v>
      </c>
      <c r="N1314" s="4">
        <v>0</v>
      </c>
      <c r="O1314" t="s">
        <v>110</v>
      </c>
      <c r="P1314">
        <v>4</v>
      </c>
      <c r="Q1314" t="str">
        <f>IFERROR(VLOOKUP(E1314,Lookups!$A$5:$B$24,2,FALSE),"Other")</f>
        <v>Paid Search</v>
      </c>
      <c r="R1314" t="str">
        <f>IFERROR(VLOOKUP(F1314,Lookups!$D$5:$F$10,2,FALSE),"Unknown Product")</f>
        <v>Marketing Automation</v>
      </c>
      <c r="S1314" t="str">
        <f>IFERROR(VLOOKUP(F1314,Lookups!$D$5:$F$10,3,FALSE),"Unknown")</f>
        <v>Marketing</v>
      </c>
      <c r="T1314" t="str">
        <f t="shared" si="220"/>
        <v>SMB</v>
      </c>
      <c r="U1314" t="str">
        <f t="shared" si="221"/>
        <v>Lost</v>
      </c>
      <c r="V1314" s="3">
        <f t="shared" si="222"/>
        <v>0</v>
      </c>
      <c r="W1314" s="3">
        <f t="shared" si="223"/>
        <v>0</v>
      </c>
      <c r="X1314" s="5">
        <f t="shared" si="224"/>
        <v>8</v>
      </c>
      <c r="Y1314" s="5">
        <f>IF(U1314="Open",Lookups!$B$2-B1314,X1314)</f>
        <v>8</v>
      </c>
      <c r="Z1314" t="str">
        <f t="shared" si="225"/>
        <v>OK</v>
      </c>
      <c r="AA1314" t="str">
        <f t="shared" si="226"/>
        <v>2026-05</v>
      </c>
      <c r="AB1314" t="str">
        <f t="shared" si="227"/>
        <v>2026-05</v>
      </c>
      <c r="AC1314" t="str">
        <f t="shared" si="228"/>
        <v>Q2-2026</v>
      </c>
      <c r="AD1314" s="5">
        <f t="shared" si="229"/>
        <v>43</v>
      </c>
      <c r="AE1314" t="str">
        <f t="shared" si="230"/>
        <v>Lost</v>
      </c>
    </row>
    <row r="1315" spans="1:31">
      <c r="A1315" t="s">
        <v>1417</v>
      </c>
      <c r="B1315" s="1">
        <v>45682</v>
      </c>
      <c r="C1315" t="s">
        <v>86</v>
      </c>
      <c r="D1315" t="s">
        <v>87</v>
      </c>
      <c r="E1315" t="s">
        <v>51</v>
      </c>
      <c r="F1315" t="s">
        <v>67</v>
      </c>
      <c r="G1315" t="s">
        <v>99</v>
      </c>
      <c r="H1315" t="s">
        <v>53</v>
      </c>
      <c r="I1315" t="s">
        <v>61</v>
      </c>
      <c r="J1315" s="1">
        <v>45757</v>
      </c>
      <c r="K1315" s="1">
        <v>45757</v>
      </c>
      <c r="L1315" s="3">
        <v>81500</v>
      </c>
      <c r="M1315" s="4">
        <v>0</v>
      </c>
      <c r="N1315" s="4">
        <v>0</v>
      </c>
      <c r="O1315" t="s">
        <v>110</v>
      </c>
      <c r="P1315">
        <v>4</v>
      </c>
      <c r="Q1315" t="str">
        <f>IFERROR(VLOOKUP(E1315,Lookups!$A$5:$B$24,2,FALSE),"Other")</f>
        <v>Paid Search</v>
      </c>
      <c r="R1315" t="str">
        <f>IFERROR(VLOOKUP(F1315,Lookups!$D$5:$F$10,2,FALSE),"Unknown Product")</f>
        <v>Revenue Operations Suite</v>
      </c>
      <c r="S1315" t="str">
        <f>IFERROR(VLOOKUP(F1315,Lookups!$D$5:$F$10,3,FALSE),"Unknown")</f>
        <v>Revenue Ops</v>
      </c>
      <c r="T1315" t="str">
        <f t="shared" si="220"/>
        <v>Enterprise</v>
      </c>
      <c r="U1315" t="str">
        <f t="shared" si="221"/>
        <v>Lost</v>
      </c>
      <c r="V1315" s="3">
        <f t="shared" si="222"/>
        <v>0</v>
      </c>
      <c r="W1315" s="3">
        <f t="shared" si="223"/>
        <v>0</v>
      </c>
      <c r="X1315" s="5">
        <f t="shared" si="224"/>
        <v>75</v>
      </c>
      <c r="Y1315" s="5">
        <f>IF(U1315="Open",Lookups!$B$2-B1315,X1315)</f>
        <v>75</v>
      </c>
      <c r="Z1315" t="str">
        <f t="shared" si="225"/>
        <v>OK</v>
      </c>
      <c r="AA1315" t="str">
        <f t="shared" si="226"/>
        <v>2025-01</v>
      </c>
      <c r="AB1315" t="str">
        <f t="shared" si="227"/>
        <v>2025-04</v>
      </c>
      <c r="AC1315" t="str">
        <f t="shared" si="228"/>
        <v>Q1-2025</v>
      </c>
      <c r="AD1315" s="5">
        <f t="shared" si="229"/>
        <v>66</v>
      </c>
      <c r="AE1315" t="str">
        <f t="shared" si="230"/>
        <v>Lost</v>
      </c>
    </row>
    <row r="1316" spans="1:31">
      <c r="A1316" t="s">
        <v>1418</v>
      </c>
      <c r="B1316" s="1">
        <v>45701</v>
      </c>
      <c r="C1316" t="s">
        <v>69</v>
      </c>
      <c r="D1316" t="s">
        <v>57</v>
      </c>
      <c r="E1316" t="s">
        <v>44</v>
      </c>
      <c r="F1316" t="s">
        <v>67</v>
      </c>
      <c r="G1316" t="s">
        <v>99</v>
      </c>
      <c r="H1316" t="s">
        <v>47</v>
      </c>
      <c r="I1316" t="s">
        <v>48</v>
      </c>
      <c r="J1316" s="1">
        <v>46027</v>
      </c>
      <c r="K1316" s="1"/>
      <c r="L1316" s="3">
        <v>20500</v>
      </c>
      <c r="M1316" s="4">
        <v>0.05</v>
      </c>
      <c r="N1316" s="4">
        <v>0.85</v>
      </c>
      <c r="P1316">
        <v>5</v>
      </c>
      <c r="Q1316" t="str">
        <f>IFERROR(VLOOKUP(E1316,Lookups!$A$5:$B$24,2,FALSE),"Other")</f>
        <v>Organic Search</v>
      </c>
      <c r="R1316" t="str">
        <f>IFERROR(VLOOKUP(F1316,Lookups!$D$5:$F$10,2,FALSE),"Unknown Product")</f>
        <v>Revenue Operations Suite</v>
      </c>
      <c r="S1316" t="str">
        <f>IFERROR(VLOOKUP(F1316,Lookups!$D$5:$F$10,3,FALSE),"Unknown")</f>
        <v>Revenue Ops</v>
      </c>
      <c r="T1316" t="str">
        <f t="shared" si="220"/>
        <v>Mid-Market</v>
      </c>
      <c r="U1316" t="str">
        <f t="shared" si="221"/>
        <v>Open</v>
      </c>
      <c r="V1316" s="3">
        <f t="shared" si="222"/>
        <v>0</v>
      </c>
      <c r="W1316" s="3">
        <f t="shared" si="223"/>
        <v>17425</v>
      </c>
      <c r="X1316" s="5" t="str">
        <f t="shared" si="224"/>
        <v/>
      </c>
      <c r="Y1316" s="5">
        <f>IF(U1316="Open",Lookups!$B$2-B1316,X1316)</f>
        <v>565</v>
      </c>
      <c r="Z1316" t="str">
        <f t="shared" si="225"/>
        <v>STALE</v>
      </c>
      <c r="AA1316" t="str">
        <f t="shared" si="226"/>
        <v>2025-02</v>
      </c>
      <c r="AB1316" t="str">
        <f t="shared" si="227"/>
        <v/>
      </c>
      <c r="AC1316" t="str">
        <f t="shared" si="228"/>
        <v>Q1-2025</v>
      </c>
      <c r="AD1316" s="5">
        <f t="shared" si="229"/>
        <v>57</v>
      </c>
      <c r="AE1316" t="str">
        <f t="shared" si="230"/>
        <v>Commit</v>
      </c>
    </row>
    <row r="1317" spans="1:31">
      <c r="A1317" t="s">
        <v>1419</v>
      </c>
      <c r="B1317" s="1">
        <v>45879</v>
      </c>
      <c r="C1317" t="s">
        <v>90</v>
      </c>
      <c r="D1317" t="s">
        <v>57</v>
      </c>
      <c r="E1317" t="s">
        <v>92</v>
      </c>
      <c r="F1317" t="s">
        <v>67</v>
      </c>
      <c r="G1317" t="s">
        <v>72</v>
      </c>
      <c r="H1317" t="s">
        <v>84</v>
      </c>
      <c r="I1317" t="s">
        <v>61</v>
      </c>
      <c r="J1317" s="1">
        <v>45914</v>
      </c>
      <c r="K1317" s="1">
        <v>45914</v>
      </c>
      <c r="L1317" s="3">
        <v>110200</v>
      </c>
      <c r="M1317" s="4">
        <v>0</v>
      </c>
      <c r="N1317" s="4">
        <v>0</v>
      </c>
      <c r="O1317" t="s">
        <v>79</v>
      </c>
      <c r="P1317">
        <v>4</v>
      </c>
      <c r="Q1317" t="str">
        <f>IFERROR(VLOOKUP(E1317,Lookups!$A$5:$B$24,2,FALSE),"Other")</f>
        <v>Webinar</v>
      </c>
      <c r="R1317" t="str">
        <f>IFERROR(VLOOKUP(F1317,Lookups!$D$5:$F$10,2,FALSE),"Unknown Product")</f>
        <v>Revenue Operations Suite</v>
      </c>
      <c r="S1317" t="str">
        <f>IFERROR(VLOOKUP(F1317,Lookups!$D$5:$F$10,3,FALSE),"Unknown")</f>
        <v>Revenue Ops</v>
      </c>
      <c r="T1317" t="str">
        <f t="shared" si="220"/>
        <v>Enterprise</v>
      </c>
      <c r="U1317" t="str">
        <f t="shared" si="221"/>
        <v>Lost</v>
      </c>
      <c r="V1317" s="3">
        <f t="shared" si="222"/>
        <v>0</v>
      </c>
      <c r="W1317" s="3">
        <f t="shared" si="223"/>
        <v>0</v>
      </c>
      <c r="X1317" s="5">
        <f t="shared" si="224"/>
        <v>35</v>
      </c>
      <c r="Y1317" s="5">
        <f>IF(U1317="Open",Lookups!$B$2-B1317,X1317)</f>
        <v>35</v>
      </c>
      <c r="Z1317" t="str">
        <f t="shared" si="225"/>
        <v>OK</v>
      </c>
      <c r="AA1317" t="str">
        <f t="shared" si="226"/>
        <v>2025-08</v>
      </c>
      <c r="AB1317" t="str">
        <f t="shared" si="227"/>
        <v>2025-09</v>
      </c>
      <c r="AC1317" t="str">
        <f t="shared" si="228"/>
        <v>Q3-2025</v>
      </c>
      <c r="AD1317" s="5">
        <f t="shared" si="229"/>
        <v>74</v>
      </c>
      <c r="AE1317" t="str">
        <f t="shared" si="230"/>
        <v>Lost</v>
      </c>
    </row>
    <row r="1318" spans="1:31">
      <c r="A1318" t="s">
        <v>1420</v>
      </c>
      <c r="B1318" s="1">
        <v>46030</v>
      </c>
      <c r="C1318" t="s">
        <v>64</v>
      </c>
      <c r="D1318" t="s">
        <v>57</v>
      </c>
      <c r="E1318" t="s">
        <v>51</v>
      </c>
      <c r="F1318" t="s">
        <v>59</v>
      </c>
      <c r="G1318" t="s">
        <v>60</v>
      </c>
      <c r="H1318" t="s">
        <v>47</v>
      </c>
      <c r="I1318" t="s">
        <v>61</v>
      </c>
      <c r="J1318" s="1">
        <v>46079</v>
      </c>
      <c r="K1318" s="1">
        <v>46079</v>
      </c>
      <c r="L1318" s="3">
        <v>20000</v>
      </c>
      <c r="M1318" s="4">
        <v>0</v>
      </c>
      <c r="N1318" s="4">
        <v>0</v>
      </c>
      <c r="O1318" t="s">
        <v>79</v>
      </c>
      <c r="P1318">
        <v>4</v>
      </c>
      <c r="Q1318" t="str">
        <f>IFERROR(VLOOKUP(E1318,Lookups!$A$5:$B$24,2,FALSE),"Other")</f>
        <v>Paid Search</v>
      </c>
      <c r="R1318" t="str">
        <f>IFERROR(VLOOKUP(F1318,Lookups!$D$5:$F$10,2,FALSE),"Unknown Product")</f>
        <v>NexaCRM Pro</v>
      </c>
      <c r="S1318" t="str">
        <f>IFERROR(VLOOKUP(F1318,Lookups!$D$5:$F$10,3,FALSE),"Unknown")</f>
        <v>CRM</v>
      </c>
      <c r="T1318" t="str">
        <f t="shared" si="220"/>
        <v>Mid-Market</v>
      </c>
      <c r="U1318" t="str">
        <f t="shared" si="221"/>
        <v>Lost</v>
      </c>
      <c r="V1318" s="3">
        <f t="shared" si="222"/>
        <v>0</v>
      </c>
      <c r="W1318" s="3">
        <f t="shared" si="223"/>
        <v>0</v>
      </c>
      <c r="X1318" s="5">
        <f t="shared" si="224"/>
        <v>49</v>
      </c>
      <c r="Y1318" s="5">
        <f>IF(U1318="Open",Lookups!$B$2-B1318,X1318)</f>
        <v>49</v>
      </c>
      <c r="Z1318" t="str">
        <f t="shared" si="225"/>
        <v>OK</v>
      </c>
      <c r="AA1318" t="str">
        <f t="shared" si="226"/>
        <v>2026-01</v>
      </c>
      <c r="AB1318" t="str">
        <f t="shared" si="227"/>
        <v>2026-02</v>
      </c>
      <c r="AC1318" t="str">
        <f t="shared" si="228"/>
        <v>Q1-2026</v>
      </c>
      <c r="AD1318" s="5">
        <f t="shared" si="229"/>
        <v>51</v>
      </c>
      <c r="AE1318" t="str">
        <f t="shared" si="230"/>
        <v>Lost</v>
      </c>
    </row>
    <row r="1319" spans="1:31">
      <c r="A1319" t="s">
        <v>1421</v>
      </c>
      <c r="B1319" s="1">
        <v>45970</v>
      </c>
      <c r="C1319" t="s">
        <v>148</v>
      </c>
      <c r="D1319" t="s">
        <v>43</v>
      </c>
      <c r="E1319" t="s">
        <v>127</v>
      </c>
      <c r="F1319" t="s">
        <v>67</v>
      </c>
      <c r="G1319" t="s">
        <v>76</v>
      </c>
      <c r="H1319" t="s">
        <v>84</v>
      </c>
      <c r="I1319" t="s">
        <v>48</v>
      </c>
      <c r="J1319" s="1">
        <v>46213</v>
      </c>
      <c r="K1319" s="1"/>
      <c r="L1319" s="3">
        <v>97000</v>
      </c>
      <c r="M1319" s="4">
        <v>0.05</v>
      </c>
      <c r="N1319" s="4">
        <v>0.85</v>
      </c>
      <c r="P1319">
        <v>5</v>
      </c>
      <c r="Q1319" t="str">
        <f>IFERROR(VLOOKUP(E1319,Lookups!$A$5:$B$24,2,FALSE),"Other")</f>
        <v>Paid Search</v>
      </c>
      <c r="R1319" t="str">
        <f>IFERROR(VLOOKUP(F1319,Lookups!$D$5:$F$10,2,FALSE),"Unknown Product")</f>
        <v>Revenue Operations Suite</v>
      </c>
      <c r="S1319" t="str">
        <f>IFERROR(VLOOKUP(F1319,Lookups!$D$5:$F$10,3,FALSE),"Unknown")</f>
        <v>Revenue Ops</v>
      </c>
      <c r="T1319" t="str">
        <f t="shared" si="220"/>
        <v>Enterprise</v>
      </c>
      <c r="U1319" t="str">
        <f t="shared" si="221"/>
        <v>Open</v>
      </c>
      <c r="V1319" s="3">
        <f t="shared" si="222"/>
        <v>0</v>
      </c>
      <c r="W1319" s="3">
        <f t="shared" si="223"/>
        <v>82450</v>
      </c>
      <c r="X1319" s="5" t="str">
        <f t="shared" si="224"/>
        <v/>
      </c>
      <c r="Y1319" s="5">
        <f>IF(U1319="Open",Lookups!$B$2-B1319,X1319)</f>
        <v>296</v>
      </c>
      <c r="Z1319" t="str">
        <f t="shared" si="225"/>
        <v>STALE</v>
      </c>
      <c r="AA1319" t="str">
        <f t="shared" si="226"/>
        <v>2025-11</v>
      </c>
      <c r="AB1319" t="str">
        <f t="shared" si="227"/>
        <v/>
      </c>
      <c r="AC1319" t="str">
        <f t="shared" si="228"/>
        <v>Q4-2025</v>
      </c>
      <c r="AD1319" s="5">
        <f t="shared" si="229"/>
        <v>74</v>
      </c>
      <c r="AE1319" t="str">
        <f t="shared" si="230"/>
        <v>Commit</v>
      </c>
    </row>
    <row r="1320" spans="1:31">
      <c r="A1320" t="s">
        <v>1422</v>
      </c>
      <c r="B1320" s="1">
        <v>45803</v>
      </c>
      <c r="C1320" t="s">
        <v>90</v>
      </c>
      <c r="D1320" t="s">
        <v>57</v>
      </c>
      <c r="E1320" t="s">
        <v>138</v>
      </c>
      <c r="F1320" t="s">
        <v>59</v>
      </c>
      <c r="G1320" t="s">
        <v>72</v>
      </c>
      <c r="H1320" t="s">
        <v>53</v>
      </c>
      <c r="I1320" t="s">
        <v>61</v>
      </c>
      <c r="J1320" s="1">
        <v>45814</v>
      </c>
      <c r="K1320" s="1">
        <v>45814</v>
      </c>
      <c r="L1320" s="3">
        <v>41200</v>
      </c>
      <c r="M1320" s="4">
        <v>0</v>
      </c>
      <c r="N1320" s="4">
        <v>0</v>
      </c>
      <c r="O1320" t="s">
        <v>62</v>
      </c>
      <c r="P1320">
        <v>4</v>
      </c>
      <c r="Q1320" t="str">
        <f>IFERROR(VLOOKUP(E1320,Lookups!$A$5:$B$24,2,FALSE),"Other")</f>
        <v>Organic Search</v>
      </c>
      <c r="R1320" t="str">
        <f>IFERROR(VLOOKUP(F1320,Lookups!$D$5:$F$10,2,FALSE),"Unknown Product")</f>
        <v>NexaCRM Pro</v>
      </c>
      <c r="S1320" t="str">
        <f>IFERROR(VLOOKUP(F1320,Lookups!$D$5:$F$10,3,FALSE),"Unknown")</f>
        <v>CRM</v>
      </c>
      <c r="T1320" t="str">
        <f t="shared" si="220"/>
        <v>Mid-Market</v>
      </c>
      <c r="U1320" t="str">
        <f t="shared" si="221"/>
        <v>Lost</v>
      </c>
      <c r="V1320" s="3">
        <f t="shared" si="222"/>
        <v>0</v>
      </c>
      <c r="W1320" s="3">
        <f t="shared" si="223"/>
        <v>0</v>
      </c>
      <c r="X1320" s="5">
        <f t="shared" si="224"/>
        <v>11</v>
      </c>
      <c r="Y1320" s="5">
        <f>IF(U1320="Open",Lookups!$B$2-B1320,X1320)</f>
        <v>11</v>
      </c>
      <c r="Z1320" t="str">
        <f t="shared" si="225"/>
        <v>OK</v>
      </c>
      <c r="AA1320" t="str">
        <f t="shared" si="226"/>
        <v>2025-05</v>
      </c>
      <c r="AB1320" t="str">
        <f t="shared" si="227"/>
        <v>2025-06</v>
      </c>
      <c r="AC1320" t="str">
        <f t="shared" si="228"/>
        <v>Q2-2025</v>
      </c>
      <c r="AD1320" s="5">
        <f t="shared" si="229"/>
        <v>65</v>
      </c>
      <c r="AE1320" t="str">
        <f t="shared" si="230"/>
        <v>Lost</v>
      </c>
    </row>
    <row r="1321" spans="1:31">
      <c r="A1321" t="s">
        <v>1423</v>
      </c>
      <c r="B1321" s="1">
        <v>46182</v>
      </c>
      <c r="C1321" t="s">
        <v>50</v>
      </c>
      <c r="D1321" t="s">
        <v>43</v>
      </c>
      <c r="E1321" t="s">
        <v>109</v>
      </c>
      <c r="F1321" t="s">
        <v>133</v>
      </c>
      <c r="G1321" t="s">
        <v>76</v>
      </c>
      <c r="H1321" t="s">
        <v>47</v>
      </c>
      <c r="I1321" t="s">
        <v>61</v>
      </c>
      <c r="J1321" s="1">
        <v>46221</v>
      </c>
      <c r="K1321" s="1">
        <v>46221</v>
      </c>
      <c r="L1321" s="3">
        <v>27600</v>
      </c>
      <c r="M1321" s="4">
        <v>0</v>
      </c>
      <c r="N1321" s="4">
        <v>0</v>
      </c>
      <c r="O1321" t="s">
        <v>116</v>
      </c>
      <c r="P1321">
        <v>4</v>
      </c>
      <c r="Q1321" t="str">
        <f>IFERROR(VLOOKUP(E1321,Lookups!$A$5:$B$24,2,FALSE),"Other")</f>
        <v>Outbound</v>
      </c>
      <c r="R1321" t="str">
        <f>IFERROR(VLOOKUP(F1321,Lookups!$D$5:$F$10,2,FALSE),"Unknown Product")</f>
        <v>Analytics Plus</v>
      </c>
      <c r="S1321" t="str">
        <f>IFERROR(VLOOKUP(F1321,Lookups!$D$5:$F$10,3,FALSE),"Unknown")</f>
        <v>Analytics</v>
      </c>
      <c r="T1321" t="str">
        <f t="shared" si="220"/>
        <v>Mid-Market</v>
      </c>
      <c r="U1321" t="str">
        <f t="shared" si="221"/>
        <v>Lost</v>
      </c>
      <c r="V1321" s="3">
        <f t="shared" si="222"/>
        <v>0</v>
      </c>
      <c r="W1321" s="3">
        <f t="shared" si="223"/>
        <v>0</v>
      </c>
      <c r="X1321" s="5">
        <f t="shared" si="224"/>
        <v>39</v>
      </c>
      <c r="Y1321" s="5">
        <f>IF(U1321="Open",Lookups!$B$2-B1321,X1321)</f>
        <v>39</v>
      </c>
      <c r="Z1321" t="str">
        <f t="shared" si="225"/>
        <v>OK</v>
      </c>
      <c r="AA1321" t="str">
        <f t="shared" si="226"/>
        <v>2026-06</v>
      </c>
      <c r="AB1321" t="str">
        <f t="shared" si="227"/>
        <v>2026-07</v>
      </c>
      <c r="AC1321" t="str">
        <f t="shared" si="228"/>
        <v>Q2-2026</v>
      </c>
      <c r="AD1321" s="5">
        <f t="shared" si="229"/>
        <v>51</v>
      </c>
      <c r="AE1321" t="str">
        <f t="shared" si="230"/>
        <v>Lost</v>
      </c>
    </row>
    <row r="1322" spans="1:31">
      <c r="A1322" t="s">
        <v>1424</v>
      </c>
      <c r="B1322" s="1">
        <v>45803</v>
      </c>
      <c r="C1322" t="s">
        <v>86</v>
      </c>
      <c r="D1322" t="s">
        <v>87</v>
      </c>
      <c r="E1322" t="s">
        <v>160</v>
      </c>
      <c r="F1322" t="s">
        <v>45</v>
      </c>
      <c r="G1322" t="s">
        <v>46</v>
      </c>
      <c r="H1322" t="s">
        <v>47</v>
      </c>
      <c r="I1322" t="s">
        <v>61</v>
      </c>
      <c r="J1322" s="1">
        <v>45847</v>
      </c>
      <c r="K1322" s="1">
        <v>45847</v>
      </c>
      <c r="L1322" s="3">
        <v>27100</v>
      </c>
      <c r="M1322" s="4">
        <v>0</v>
      </c>
      <c r="N1322" s="4">
        <v>0</v>
      </c>
      <c r="O1322" t="s">
        <v>62</v>
      </c>
      <c r="P1322">
        <v>3</v>
      </c>
      <c r="Q1322" t="str">
        <f>IFERROR(VLOOKUP(E1322,Lookups!$A$5:$B$24,2,FALSE),"Other")</f>
        <v>Email</v>
      </c>
      <c r="R1322" t="str">
        <f>IFERROR(VLOOKUP(F1322,Lookups!$D$5:$F$10,2,FALSE),"Unknown Product")</f>
        <v>Service Cloud</v>
      </c>
      <c r="S1322" t="str">
        <f>IFERROR(VLOOKUP(F1322,Lookups!$D$5:$F$10,3,FALSE),"Unknown")</f>
        <v>Customer Service</v>
      </c>
      <c r="T1322" t="str">
        <f t="shared" si="220"/>
        <v>Mid-Market</v>
      </c>
      <c r="U1322" t="str">
        <f t="shared" si="221"/>
        <v>Lost</v>
      </c>
      <c r="V1322" s="3">
        <f t="shared" si="222"/>
        <v>0</v>
      </c>
      <c r="W1322" s="3">
        <f t="shared" si="223"/>
        <v>0</v>
      </c>
      <c r="X1322" s="5">
        <f t="shared" si="224"/>
        <v>44</v>
      </c>
      <c r="Y1322" s="5">
        <f>IF(U1322="Open",Lookups!$B$2-B1322,X1322)</f>
        <v>44</v>
      </c>
      <c r="Z1322" t="str">
        <f t="shared" si="225"/>
        <v>OK</v>
      </c>
      <c r="AA1322" t="str">
        <f t="shared" si="226"/>
        <v>2025-05</v>
      </c>
      <c r="AB1322" t="str">
        <f t="shared" si="227"/>
        <v>2025-07</v>
      </c>
      <c r="AC1322" t="str">
        <f t="shared" si="228"/>
        <v>Q2-2025</v>
      </c>
      <c r="AD1322" s="5">
        <f t="shared" si="229"/>
        <v>55</v>
      </c>
      <c r="AE1322" t="str">
        <f t="shared" si="230"/>
        <v>Lost</v>
      </c>
    </row>
    <row r="1323" spans="1:31">
      <c r="A1323" t="s">
        <v>1425</v>
      </c>
      <c r="B1323" s="1">
        <v>46024</v>
      </c>
      <c r="C1323" t="s">
        <v>148</v>
      </c>
      <c r="D1323" t="s">
        <v>43</v>
      </c>
      <c r="E1323" t="s">
        <v>96</v>
      </c>
      <c r="F1323" t="s">
        <v>59</v>
      </c>
      <c r="G1323" t="s">
        <v>112</v>
      </c>
      <c r="H1323" t="s">
        <v>53</v>
      </c>
      <c r="I1323" t="s">
        <v>48</v>
      </c>
      <c r="J1323" s="1">
        <v>46235</v>
      </c>
      <c r="K1323" s="1"/>
      <c r="L1323" s="3">
        <v>45300</v>
      </c>
      <c r="M1323" s="4">
        <v>0</v>
      </c>
      <c r="N1323" s="4">
        <v>0.85</v>
      </c>
      <c r="P1323">
        <v>5</v>
      </c>
      <c r="Q1323" t="str">
        <f>IFERROR(VLOOKUP(E1323,Lookups!$A$5:$B$24,2,FALSE),"Other")</f>
        <v>LinkedIn</v>
      </c>
      <c r="R1323" t="str">
        <f>IFERROR(VLOOKUP(F1323,Lookups!$D$5:$F$10,2,FALSE),"Unknown Product")</f>
        <v>NexaCRM Pro</v>
      </c>
      <c r="S1323" t="str">
        <f>IFERROR(VLOOKUP(F1323,Lookups!$D$5:$F$10,3,FALSE),"Unknown")</f>
        <v>CRM</v>
      </c>
      <c r="T1323" t="str">
        <f t="shared" si="220"/>
        <v>Mid-Market</v>
      </c>
      <c r="U1323" t="str">
        <f t="shared" si="221"/>
        <v>Open</v>
      </c>
      <c r="V1323" s="3">
        <f t="shared" si="222"/>
        <v>0</v>
      </c>
      <c r="W1323" s="3">
        <f t="shared" si="223"/>
        <v>38505</v>
      </c>
      <c r="X1323" s="5" t="str">
        <f t="shared" si="224"/>
        <v/>
      </c>
      <c r="Y1323" s="5">
        <f>IF(U1323="Open",Lookups!$B$2-B1323,X1323)</f>
        <v>242</v>
      </c>
      <c r="Z1323" t="str">
        <f t="shared" si="225"/>
        <v>STALE</v>
      </c>
      <c r="AA1323" t="str">
        <f t="shared" si="226"/>
        <v>2026-01</v>
      </c>
      <c r="AB1323" t="str">
        <f t="shared" si="227"/>
        <v/>
      </c>
      <c r="AC1323" t="str">
        <f t="shared" si="228"/>
        <v>Q1-2026</v>
      </c>
      <c r="AD1323" s="5">
        <f t="shared" si="229"/>
        <v>64</v>
      </c>
      <c r="AE1323" t="str">
        <f t="shared" si="230"/>
        <v>Commit</v>
      </c>
    </row>
    <row r="1324" spans="1:31">
      <c r="A1324" t="s">
        <v>1426</v>
      </c>
      <c r="B1324" s="1">
        <v>45753</v>
      </c>
      <c r="C1324" t="s">
        <v>56</v>
      </c>
      <c r="D1324" t="s">
        <v>57</v>
      </c>
      <c r="E1324" t="s">
        <v>96</v>
      </c>
      <c r="F1324" t="s">
        <v>59</v>
      </c>
      <c r="G1324" t="s">
        <v>76</v>
      </c>
      <c r="H1324" t="s">
        <v>47</v>
      </c>
      <c r="I1324" t="s">
        <v>77</v>
      </c>
      <c r="J1324" s="1">
        <v>45800</v>
      </c>
      <c r="K1324" s="1">
        <v>45800</v>
      </c>
      <c r="L1324" s="3">
        <v>16300</v>
      </c>
      <c r="M1324" s="4">
        <v>0.05</v>
      </c>
      <c r="N1324" s="4">
        <v>1</v>
      </c>
      <c r="P1324">
        <v>6</v>
      </c>
      <c r="Q1324" t="str">
        <f>IFERROR(VLOOKUP(E1324,Lookups!$A$5:$B$24,2,FALSE),"Other")</f>
        <v>LinkedIn</v>
      </c>
      <c r="R1324" t="str">
        <f>IFERROR(VLOOKUP(F1324,Lookups!$D$5:$F$10,2,FALSE),"Unknown Product")</f>
        <v>NexaCRM Pro</v>
      </c>
      <c r="S1324" t="str">
        <f>IFERROR(VLOOKUP(F1324,Lookups!$D$5:$F$10,3,FALSE),"Unknown")</f>
        <v>CRM</v>
      </c>
      <c r="T1324" t="str">
        <f t="shared" si="220"/>
        <v>SMB</v>
      </c>
      <c r="U1324" t="str">
        <f t="shared" si="221"/>
        <v>Won</v>
      </c>
      <c r="V1324" s="3">
        <f t="shared" si="222"/>
        <v>15485</v>
      </c>
      <c r="W1324" s="3">
        <f t="shared" si="223"/>
        <v>0</v>
      </c>
      <c r="X1324" s="5">
        <f t="shared" si="224"/>
        <v>47</v>
      </c>
      <c r="Y1324" s="5">
        <f>IF(U1324="Open",Lookups!$B$2-B1324,X1324)</f>
        <v>47</v>
      </c>
      <c r="Z1324" t="str">
        <f t="shared" si="225"/>
        <v>OK</v>
      </c>
      <c r="AA1324" t="str">
        <f t="shared" si="226"/>
        <v>2025-04</v>
      </c>
      <c r="AB1324" t="str">
        <f t="shared" si="227"/>
        <v>2025-05</v>
      </c>
      <c r="AC1324" t="str">
        <f t="shared" si="228"/>
        <v>Q2-2025</v>
      </c>
      <c r="AD1324" s="5">
        <f t="shared" si="229"/>
        <v>43</v>
      </c>
      <c r="AE1324" t="str">
        <f t="shared" si="230"/>
        <v>Won</v>
      </c>
    </row>
    <row r="1325" spans="1:31">
      <c r="A1325" t="s">
        <v>1427</v>
      </c>
      <c r="B1325" s="1">
        <v>45717</v>
      </c>
      <c r="C1325" t="s">
        <v>90</v>
      </c>
      <c r="D1325" t="s">
        <v>57</v>
      </c>
      <c r="E1325" t="s">
        <v>115</v>
      </c>
      <c r="F1325" t="s">
        <v>52</v>
      </c>
      <c r="G1325" t="s">
        <v>76</v>
      </c>
      <c r="H1325" t="s">
        <v>53</v>
      </c>
      <c r="I1325" t="s">
        <v>61</v>
      </c>
      <c r="J1325" s="1">
        <v>45781</v>
      </c>
      <c r="K1325" s="1">
        <v>45781</v>
      </c>
      <c r="L1325" s="3">
        <v>12800</v>
      </c>
      <c r="M1325" s="4">
        <v>0</v>
      </c>
      <c r="N1325" s="4">
        <v>0</v>
      </c>
      <c r="O1325" t="s">
        <v>79</v>
      </c>
      <c r="P1325">
        <v>5</v>
      </c>
      <c r="Q1325" t="str">
        <f>IFERROR(VLOOKUP(E1325,Lookups!$A$5:$B$24,2,FALSE),"Other")</f>
        <v>Outbound</v>
      </c>
      <c r="R1325" t="str">
        <f>IFERROR(VLOOKUP(F1325,Lookups!$D$5:$F$10,2,FALSE),"Unknown Product")</f>
        <v>NexaCRM Core</v>
      </c>
      <c r="S1325" t="str">
        <f>IFERROR(VLOOKUP(F1325,Lookups!$D$5:$F$10,3,FALSE),"Unknown")</f>
        <v>CRM</v>
      </c>
      <c r="T1325" t="str">
        <f t="shared" si="220"/>
        <v>SMB</v>
      </c>
      <c r="U1325" t="str">
        <f t="shared" si="221"/>
        <v>Lost</v>
      </c>
      <c r="V1325" s="3">
        <f t="shared" si="222"/>
        <v>0</v>
      </c>
      <c r="W1325" s="3">
        <f t="shared" si="223"/>
        <v>0</v>
      </c>
      <c r="X1325" s="5">
        <f t="shared" si="224"/>
        <v>64</v>
      </c>
      <c r="Y1325" s="5">
        <f>IF(U1325="Open",Lookups!$B$2-B1325,X1325)</f>
        <v>64</v>
      </c>
      <c r="Z1325" t="str">
        <f t="shared" si="225"/>
        <v>OK</v>
      </c>
      <c r="AA1325" t="str">
        <f t="shared" si="226"/>
        <v>2025-03</v>
      </c>
      <c r="AB1325" t="str">
        <f t="shared" si="227"/>
        <v>2025-05</v>
      </c>
      <c r="AC1325" t="str">
        <f t="shared" si="228"/>
        <v>Q1-2025</v>
      </c>
      <c r="AD1325" s="5">
        <f t="shared" si="229"/>
        <v>51</v>
      </c>
      <c r="AE1325" t="str">
        <f t="shared" si="230"/>
        <v>Lost</v>
      </c>
    </row>
    <row r="1326" spans="1:31">
      <c r="A1326" t="s">
        <v>1428</v>
      </c>
      <c r="B1326" s="1">
        <v>45773</v>
      </c>
      <c r="C1326" t="s">
        <v>148</v>
      </c>
      <c r="D1326" t="s">
        <v>43</v>
      </c>
      <c r="E1326" t="s">
        <v>75</v>
      </c>
      <c r="F1326" t="s">
        <v>45</v>
      </c>
      <c r="G1326" t="s">
        <v>46</v>
      </c>
      <c r="H1326" t="s">
        <v>84</v>
      </c>
      <c r="I1326" t="s">
        <v>61</v>
      </c>
      <c r="J1326" s="1">
        <v>45814</v>
      </c>
      <c r="K1326" s="1">
        <v>45814</v>
      </c>
      <c r="L1326" s="3">
        <v>45000</v>
      </c>
      <c r="M1326" s="4">
        <v>0</v>
      </c>
      <c r="N1326" s="4">
        <v>0</v>
      </c>
      <c r="O1326" t="s">
        <v>79</v>
      </c>
      <c r="P1326">
        <v>3</v>
      </c>
      <c r="Q1326" t="str">
        <f>IFERROR(VLOOKUP(E1326,Lookups!$A$5:$B$24,2,FALSE),"Other")</f>
        <v>Webinar</v>
      </c>
      <c r="R1326" t="str">
        <f>IFERROR(VLOOKUP(F1326,Lookups!$D$5:$F$10,2,FALSE),"Unknown Product")</f>
        <v>Service Cloud</v>
      </c>
      <c r="S1326" t="str">
        <f>IFERROR(VLOOKUP(F1326,Lookups!$D$5:$F$10,3,FALSE),"Unknown")</f>
        <v>Customer Service</v>
      </c>
      <c r="T1326" t="str">
        <f t="shared" si="220"/>
        <v>Mid-Market</v>
      </c>
      <c r="U1326" t="str">
        <f t="shared" si="221"/>
        <v>Lost</v>
      </c>
      <c r="V1326" s="3">
        <f t="shared" si="222"/>
        <v>0</v>
      </c>
      <c r="W1326" s="3">
        <f t="shared" si="223"/>
        <v>0</v>
      </c>
      <c r="X1326" s="5">
        <f t="shared" si="224"/>
        <v>41</v>
      </c>
      <c r="Y1326" s="5">
        <f>IF(U1326="Open",Lookups!$B$2-B1326,X1326)</f>
        <v>41</v>
      </c>
      <c r="Z1326" t="str">
        <f t="shared" si="225"/>
        <v>OK</v>
      </c>
      <c r="AA1326" t="str">
        <f t="shared" si="226"/>
        <v>2025-04</v>
      </c>
      <c r="AB1326" t="str">
        <f t="shared" si="227"/>
        <v>2025-06</v>
      </c>
      <c r="AC1326" t="str">
        <f t="shared" si="228"/>
        <v>Q2-2025</v>
      </c>
      <c r="AD1326" s="5">
        <f t="shared" si="229"/>
        <v>67</v>
      </c>
      <c r="AE1326" t="str">
        <f t="shared" si="230"/>
        <v>Lost</v>
      </c>
    </row>
    <row r="1327" spans="1:31">
      <c r="A1327" t="s">
        <v>1429</v>
      </c>
      <c r="B1327" s="1">
        <v>45967</v>
      </c>
      <c r="C1327" t="s">
        <v>64</v>
      </c>
      <c r="D1327" t="s">
        <v>57</v>
      </c>
      <c r="E1327" t="s">
        <v>75</v>
      </c>
      <c r="F1327" t="s">
        <v>71</v>
      </c>
      <c r="G1327" t="s">
        <v>76</v>
      </c>
      <c r="H1327" t="s">
        <v>84</v>
      </c>
      <c r="I1327" t="s">
        <v>77</v>
      </c>
      <c r="J1327" s="1">
        <v>46043</v>
      </c>
      <c r="K1327" s="1">
        <v>46043</v>
      </c>
      <c r="L1327" s="3">
        <v>39000</v>
      </c>
      <c r="M1327" s="4">
        <v>0.1</v>
      </c>
      <c r="N1327" s="4">
        <v>1</v>
      </c>
      <c r="P1327">
        <v>6</v>
      </c>
      <c r="Q1327" t="str">
        <f>IFERROR(VLOOKUP(E1327,Lookups!$A$5:$B$24,2,FALSE),"Other")</f>
        <v>Webinar</v>
      </c>
      <c r="R1327" t="str">
        <f>IFERROR(VLOOKUP(F1327,Lookups!$D$5:$F$10,2,FALSE),"Unknown Product")</f>
        <v>Marketing Automation</v>
      </c>
      <c r="S1327" t="str">
        <f>IFERROR(VLOOKUP(F1327,Lookups!$D$5:$F$10,3,FALSE),"Unknown")</f>
        <v>Marketing</v>
      </c>
      <c r="T1327" t="str">
        <f t="shared" si="220"/>
        <v>Mid-Market</v>
      </c>
      <c r="U1327" t="str">
        <f t="shared" si="221"/>
        <v>Won</v>
      </c>
      <c r="V1327" s="3">
        <f t="shared" si="222"/>
        <v>35100</v>
      </c>
      <c r="W1327" s="3">
        <f t="shared" si="223"/>
        <v>0</v>
      </c>
      <c r="X1327" s="5">
        <f t="shared" si="224"/>
        <v>76</v>
      </c>
      <c r="Y1327" s="5">
        <f>IF(U1327="Open",Lookups!$B$2-B1327,X1327)</f>
        <v>76</v>
      </c>
      <c r="Z1327" t="str">
        <f t="shared" si="225"/>
        <v>OK</v>
      </c>
      <c r="AA1327" t="str">
        <f t="shared" si="226"/>
        <v>2025-11</v>
      </c>
      <c r="AB1327" t="str">
        <f t="shared" si="227"/>
        <v>2026-01</v>
      </c>
      <c r="AC1327" t="str">
        <f t="shared" si="228"/>
        <v>Q4-2025</v>
      </c>
      <c r="AD1327" s="5">
        <f t="shared" si="229"/>
        <v>67</v>
      </c>
      <c r="AE1327" t="str">
        <f t="shared" si="230"/>
        <v>Won</v>
      </c>
    </row>
    <row r="1328" spans="1:31">
      <c r="A1328" t="s">
        <v>1430</v>
      </c>
      <c r="B1328" s="1">
        <v>45929</v>
      </c>
      <c r="C1328" t="s">
        <v>64</v>
      </c>
      <c r="D1328" t="s">
        <v>57</v>
      </c>
      <c r="E1328" t="s">
        <v>75</v>
      </c>
      <c r="F1328" t="s">
        <v>67</v>
      </c>
      <c r="G1328" t="s">
        <v>60</v>
      </c>
      <c r="H1328" t="s">
        <v>47</v>
      </c>
      <c r="I1328" t="s">
        <v>61</v>
      </c>
      <c r="J1328" s="1">
        <v>45973</v>
      </c>
      <c r="K1328" s="1">
        <v>45973</v>
      </c>
      <c r="L1328" s="3">
        <v>38400</v>
      </c>
      <c r="M1328" s="4">
        <v>0</v>
      </c>
      <c r="N1328" s="4">
        <v>0</v>
      </c>
      <c r="O1328" t="s">
        <v>62</v>
      </c>
      <c r="P1328">
        <v>4</v>
      </c>
      <c r="Q1328" t="str">
        <f>IFERROR(VLOOKUP(E1328,Lookups!$A$5:$B$24,2,FALSE),"Other")</f>
        <v>Webinar</v>
      </c>
      <c r="R1328" t="str">
        <f>IFERROR(VLOOKUP(F1328,Lookups!$D$5:$F$10,2,FALSE),"Unknown Product")</f>
        <v>Revenue Operations Suite</v>
      </c>
      <c r="S1328" t="str">
        <f>IFERROR(VLOOKUP(F1328,Lookups!$D$5:$F$10,3,FALSE),"Unknown")</f>
        <v>Revenue Ops</v>
      </c>
      <c r="T1328" t="str">
        <f t="shared" si="220"/>
        <v>Mid-Market</v>
      </c>
      <c r="U1328" t="str">
        <f t="shared" si="221"/>
        <v>Lost</v>
      </c>
      <c r="V1328" s="3">
        <f t="shared" si="222"/>
        <v>0</v>
      </c>
      <c r="W1328" s="3">
        <f t="shared" si="223"/>
        <v>0</v>
      </c>
      <c r="X1328" s="5">
        <f t="shared" si="224"/>
        <v>44</v>
      </c>
      <c r="Y1328" s="5">
        <f>IF(U1328="Open",Lookups!$B$2-B1328,X1328)</f>
        <v>44</v>
      </c>
      <c r="Z1328" t="str">
        <f t="shared" si="225"/>
        <v>OK</v>
      </c>
      <c r="AA1328" t="str">
        <f t="shared" si="226"/>
        <v>2025-09</v>
      </c>
      <c r="AB1328" t="str">
        <f t="shared" si="227"/>
        <v>2025-11</v>
      </c>
      <c r="AC1328" t="str">
        <f t="shared" si="228"/>
        <v>Q3-2025</v>
      </c>
      <c r="AD1328" s="5">
        <f t="shared" si="229"/>
        <v>51</v>
      </c>
      <c r="AE1328" t="str">
        <f t="shared" si="230"/>
        <v>Lost</v>
      </c>
    </row>
    <row r="1329" spans="1:31">
      <c r="A1329" t="s">
        <v>1431</v>
      </c>
      <c r="B1329" s="1">
        <v>46250</v>
      </c>
      <c r="C1329" t="s">
        <v>69</v>
      </c>
      <c r="D1329" t="s">
        <v>57</v>
      </c>
      <c r="E1329" t="s">
        <v>166</v>
      </c>
      <c r="F1329" t="s">
        <v>133</v>
      </c>
      <c r="G1329" t="s">
        <v>112</v>
      </c>
      <c r="H1329" t="s">
        <v>47</v>
      </c>
      <c r="I1329" t="s">
        <v>73</v>
      </c>
      <c r="J1329" s="1">
        <v>46261</v>
      </c>
      <c r="K1329" s="1"/>
      <c r="L1329" s="3">
        <v>19100</v>
      </c>
      <c r="M1329" s="4">
        <v>0</v>
      </c>
      <c r="N1329" s="4">
        <v>0.2</v>
      </c>
      <c r="P1329">
        <v>2</v>
      </c>
      <c r="Q1329" t="str">
        <f>IFERROR(VLOOKUP(E1329,Lookups!$A$5:$B$24,2,FALSE),"Other")</f>
        <v>Referral</v>
      </c>
      <c r="R1329" t="str">
        <f>IFERROR(VLOOKUP(F1329,Lookups!$D$5:$F$10,2,FALSE),"Unknown Product")</f>
        <v>Analytics Plus</v>
      </c>
      <c r="S1329" t="str">
        <f>IFERROR(VLOOKUP(F1329,Lookups!$D$5:$F$10,3,FALSE),"Unknown")</f>
        <v>Analytics</v>
      </c>
      <c r="T1329" t="str">
        <f t="shared" si="220"/>
        <v>SMB</v>
      </c>
      <c r="U1329" t="str">
        <f t="shared" si="221"/>
        <v>Open</v>
      </c>
      <c r="V1329" s="3">
        <f t="shared" si="222"/>
        <v>0</v>
      </c>
      <c r="W1329" s="3">
        <f t="shared" si="223"/>
        <v>3820</v>
      </c>
      <c r="X1329" s="5" t="str">
        <f t="shared" si="224"/>
        <v/>
      </c>
      <c r="Y1329" s="5">
        <f>IF(U1329="Open",Lookups!$B$2-B1329,X1329)</f>
        <v>16</v>
      </c>
      <c r="Z1329" t="str">
        <f t="shared" si="225"/>
        <v>OK</v>
      </c>
      <c r="AA1329" t="str">
        <f t="shared" si="226"/>
        <v>2026-08</v>
      </c>
      <c r="AB1329" t="str">
        <f t="shared" si="227"/>
        <v/>
      </c>
      <c r="AC1329" t="str">
        <f t="shared" si="228"/>
        <v>Q3-2026</v>
      </c>
      <c r="AD1329" s="5">
        <f t="shared" si="229"/>
        <v>59</v>
      </c>
      <c r="AE1329" t="str">
        <f t="shared" si="230"/>
        <v>Pipeline</v>
      </c>
    </row>
    <row r="1330" spans="1:31">
      <c r="A1330" t="s">
        <v>1432</v>
      </c>
      <c r="B1330" s="1">
        <v>45931</v>
      </c>
      <c r="C1330" t="s">
        <v>64</v>
      </c>
      <c r="D1330" t="s">
        <v>57</v>
      </c>
      <c r="E1330" t="s">
        <v>146</v>
      </c>
      <c r="F1330" t="s">
        <v>52</v>
      </c>
      <c r="G1330" t="s">
        <v>72</v>
      </c>
      <c r="H1330" t="s">
        <v>53</v>
      </c>
      <c r="I1330" t="s">
        <v>48</v>
      </c>
      <c r="J1330" s="1">
        <v>46100</v>
      </c>
      <c r="K1330" s="1"/>
      <c r="L1330" s="3">
        <v>16300</v>
      </c>
      <c r="M1330" s="4">
        <v>0</v>
      </c>
      <c r="N1330" s="4">
        <v>0.85</v>
      </c>
      <c r="P1330">
        <v>5</v>
      </c>
      <c r="Q1330" t="str">
        <f>IFERROR(VLOOKUP(E1330,Lookups!$A$5:$B$24,2,FALSE),"Other")</f>
        <v>LinkedIn</v>
      </c>
      <c r="R1330" t="str">
        <f>IFERROR(VLOOKUP(F1330,Lookups!$D$5:$F$10,2,FALSE),"Unknown Product")</f>
        <v>NexaCRM Core</v>
      </c>
      <c r="S1330" t="str">
        <f>IFERROR(VLOOKUP(F1330,Lookups!$D$5:$F$10,3,FALSE),"Unknown")</f>
        <v>CRM</v>
      </c>
      <c r="T1330" t="str">
        <f t="shared" si="220"/>
        <v>SMB</v>
      </c>
      <c r="U1330" t="str">
        <f t="shared" si="221"/>
        <v>Open</v>
      </c>
      <c r="V1330" s="3">
        <f t="shared" si="222"/>
        <v>0</v>
      </c>
      <c r="W1330" s="3">
        <f t="shared" si="223"/>
        <v>13855</v>
      </c>
      <c r="X1330" s="5" t="str">
        <f t="shared" si="224"/>
        <v/>
      </c>
      <c r="Y1330" s="5">
        <f>IF(U1330="Open",Lookups!$B$2-B1330,X1330)</f>
        <v>335</v>
      </c>
      <c r="Z1330" t="str">
        <f t="shared" si="225"/>
        <v>STALE</v>
      </c>
      <c r="AA1330" t="str">
        <f t="shared" si="226"/>
        <v>2025-10</v>
      </c>
      <c r="AB1330" t="str">
        <f t="shared" si="227"/>
        <v/>
      </c>
      <c r="AC1330" t="str">
        <f t="shared" si="228"/>
        <v>Q4-2025</v>
      </c>
      <c r="AD1330" s="5">
        <f t="shared" si="229"/>
        <v>51</v>
      </c>
      <c r="AE1330" t="str">
        <f t="shared" si="230"/>
        <v>Commit</v>
      </c>
    </row>
    <row r="1331" spans="1:31">
      <c r="A1331" t="s">
        <v>1433</v>
      </c>
      <c r="B1331" s="1">
        <v>45846</v>
      </c>
      <c r="C1331" t="s">
        <v>69</v>
      </c>
      <c r="D1331" t="s">
        <v>57</v>
      </c>
      <c r="E1331" t="s">
        <v>109</v>
      </c>
      <c r="F1331" t="s">
        <v>133</v>
      </c>
      <c r="G1331" t="s">
        <v>112</v>
      </c>
      <c r="H1331" t="s">
        <v>53</v>
      </c>
      <c r="I1331" t="s">
        <v>61</v>
      </c>
      <c r="J1331" s="1">
        <v>45912</v>
      </c>
      <c r="K1331" s="1">
        <v>45912</v>
      </c>
      <c r="L1331" s="3">
        <v>35900</v>
      </c>
      <c r="M1331" s="4">
        <v>0</v>
      </c>
      <c r="N1331" s="4">
        <v>0</v>
      </c>
      <c r="O1331" t="s">
        <v>102</v>
      </c>
      <c r="P1331">
        <v>2</v>
      </c>
      <c r="Q1331" t="str">
        <f>IFERROR(VLOOKUP(E1331,Lookups!$A$5:$B$24,2,FALSE),"Other")</f>
        <v>Outbound</v>
      </c>
      <c r="R1331" t="str">
        <f>IFERROR(VLOOKUP(F1331,Lookups!$D$5:$F$10,2,FALSE),"Unknown Product")</f>
        <v>Analytics Plus</v>
      </c>
      <c r="S1331" t="str">
        <f>IFERROR(VLOOKUP(F1331,Lookups!$D$5:$F$10,3,FALSE),"Unknown")</f>
        <v>Analytics</v>
      </c>
      <c r="T1331" t="str">
        <f t="shared" si="220"/>
        <v>Mid-Market</v>
      </c>
      <c r="U1331" t="str">
        <f t="shared" si="221"/>
        <v>Lost</v>
      </c>
      <c r="V1331" s="3">
        <f t="shared" si="222"/>
        <v>0</v>
      </c>
      <c r="W1331" s="3">
        <f t="shared" si="223"/>
        <v>0</v>
      </c>
      <c r="X1331" s="5">
        <f t="shared" si="224"/>
        <v>66</v>
      </c>
      <c r="Y1331" s="5">
        <f>IF(U1331="Open",Lookups!$B$2-B1331,X1331)</f>
        <v>66</v>
      </c>
      <c r="Z1331" t="str">
        <f t="shared" si="225"/>
        <v>OK</v>
      </c>
      <c r="AA1331" t="str">
        <f t="shared" si="226"/>
        <v>2025-07</v>
      </c>
      <c r="AB1331" t="str">
        <f t="shared" si="227"/>
        <v>2025-09</v>
      </c>
      <c r="AC1331" t="str">
        <f t="shared" si="228"/>
        <v>Q3-2025</v>
      </c>
      <c r="AD1331" s="5">
        <f t="shared" si="229"/>
        <v>64</v>
      </c>
      <c r="AE1331" t="str">
        <f t="shared" si="230"/>
        <v>Lost</v>
      </c>
    </row>
    <row r="1332" spans="1:31">
      <c r="A1332" t="s">
        <v>1434</v>
      </c>
      <c r="B1332" s="1">
        <v>45922</v>
      </c>
      <c r="C1332" t="s">
        <v>90</v>
      </c>
      <c r="D1332" t="s">
        <v>57</v>
      </c>
      <c r="E1332" t="s">
        <v>92</v>
      </c>
      <c r="F1332" t="s">
        <v>71</v>
      </c>
      <c r="G1332" t="s">
        <v>46</v>
      </c>
      <c r="H1332" t="s">
        <v>47</v>
      </c>
      <c r="I1332" t="s">
        <v>61</v>
      </c>
      <c r="J1332" s="1">
        <v>45951</v>
      </c>
      <c r="K1332" s="1">
        <v>45951</v>
      </c>
      <c r="L1332" s="3">
        <v>16400</v>
      </c>
      <c r="M1332" s="4">
        <v>0</v>
      </c>
      <c r="N1332" s="4">
        <v>0</v>
      </c>
      <c r="O1332" t="s">
        <v>116</v>
      </c>
      <c r="P1332">
        <v>5</v>
      </c>
      <c r="Q1332" t="str">
        <f>IFERROR(VLOOKUP(E1332,Lookups!$A$5:$B$24,2,FALSE),"Other")</f>
        <v>Webinar</v>
      </c>
      <c r="R1332" t="str">
        <f>IFERROR(VLOOKUP(F1332,Lookups!$D$5:$F$10,2,FALSE),"Unknown Product")</f>
        <v>Marketing Automation</v>
      </c>
      <c r="S1332" t="str">
        <f>IFERROR(VLOOKUP(F1332,Lookups!$D$5:$F$10,3,FALSE),"Unknown")</f>
        <v>Marketing</v>
      </c>
      <c r="T1332" t="str">
        <f t="shared" si="220"/>
        <v>SMB</v>
      </c>
      <c r="U1332" t="str">
        <f t="shared" si="221"/>
        <v>Lost</v>
      </c>
      <c r="V1332" s="3">
        <f t="shared" si="222"/>
        <v>0</v>
      </c>
      <c r="W1332" s="3">
        <f t="shared" si="223"/>
        <v>0</v>
      </c>
      <c r="X1332" s="5">
        <f t="shared" si="224"/>
        <v>29</v>
      </c>
      <c r="Y1332" s="5">
        <f>IF(U1332="Open",Lookups!$B$2-B1332,X1332)</f>
        <v>29</v>
      </c>
      <c r="Z1332" t="str">
        <f t="shared" si="225"/>
        <v>OK</v>
      </c>
      <c r="AA1332" t="str">
        <f t="shared" si="226"/>
        <v>2025-09</v>
      </c>
      <c r="AB1332" t="str">
        <f t="shared" si="227"/>
        <v>2025-10</v>
      </c>
      <c r="AC1332" t="str">
        <f t="shared" si="228"/>
        <v>Q3-2025</v>
      </c>
      <c r="AD1332" s="5">
        <f t="shared" si="229"/>
        <v>43</v>
      </c>
      <c r="AE1332" t="str">
        <f t="shared" si="230"/>
        <v>Lost</v>
      </c>
    </row>
    <row r="1333" spans="1:31">
      <c r="A1333" t="s">
        <v>1435</v>
      </c>
      <c r="B1333" s="1">
        <v>46231</v>
      </c>
      <c r="C1333" t="s">
        <v>50</v>
      </c>
      <c r="D1333" t="s">
        <v>43</v>
      </c>
      <c r="E1333" t="s">
        <v>123</v>
      </c>
      <c r="F1333" t="s">
        <v>71</v>
      </c>
      <c r="G1333" t="s">
        <v>76</v>
      </c>
      <c r="H1333" t="s">
        <v>53</v>
      </c>
      <c r="I1333" t="s">
        <v>61</v>
      </c>
      <c r="J1333" s="1">
        <v>46266</v>
      </c>
      <c r="K1333" s="1">
        <v>46266</v>
      </c>
      <c r="L1333" s="3">
        <v>28300</v>
      </c>
      <c r="M1333" s="4">
        <v>0</v>
      </c>
      <c r="N1333" s="4">
        <v>0</v>
      </c>
      <c r="O1333" t="s">
        <v>110</v>
      </c>
      <c r="P1333">
        <v>4</v>
      </c>
      <c r="Q1333" t="str">
        <f>IFERROR(VLOOKUP(E1333,Lookups!$A$5:$B$24,2,FALSE),"Other")</f>
        <v>Email</v>
      </c>
      <c r="R1333" t="str">
        <f>IFERROR(VLOOKUP(F1333,Lookups!$D$5:$F$10,2,FALSE),"Unknown Product")</f>
        <v>Marketing Automation</v>
      </c>
      <c r="S1333" t="str">
        <f>IFERROR(VLOOKUP(F1333,Lookups!$D$5:$F$10,3,FALSE),"Unknown")</f>
        <v>Marketing</v>
      </c>
      <c r="T1333" t="str">
        <f t="shared" si="220"/>
        <v>Mid-Market</v>
      </c>
      <c r="U1333" t="str">
        <f t="shared" si="221"/>
        <v>Lost</v>
      </c>
      <c r="V1333" s="3">
        <f t="shared" si="222"/>
        <v>0</v>
      </c>
      <c r="W1333" s="3">
        <f t="shared" si="223"/>
        <v>0</v>
      </c>
      <c r="X1333" s="5">
        <f t="shared" si="224"/>
        <v>35</v>
      </c>
      <c r="Y1333" s="5">
        <f>IF(U1333="Open",Lookups!$B$2-B1333,X1333)</f>
        <v>35</v>
      </c>
      <c r="Z1333" t="str">
        <f t="shared" si="225"/>
        <v>OK</v>
      </c>
      <c r="AA1333" t="str">
        <f t="shared" si="226"/>
        <v>2026-07</v>
      </c>
      <c r="AB1333" t="str">
        <f t="shared" si="227"/>
        <v>2026-09</v>
      </c>
      <c r="AC1333" t="str">
        <f t="shared" si="228"/>
        <v>Q3-2026</v>
      </c>
      <c r="AD1333" s="5">
        <f t="shared" si="229"/>
        <v>63</v>
      </c>
      <c r="AE1333" t="str">
        <f t="shared" si="230"/>
        <v>Lost</v>
      </c>
    </row>
    <row r="1334" spans="1:31">
      <c r="A1334" t="s">
        <v>1436</v>
      </c>
      <c r="B1334" s="1">
        <v>45714</v>
      </c>
      <c r="C1334" t="s">
        <v>69</v>
      </c>
      <c r="D1334" t="s">
        <v>57</v>
      </c>
      <c r="E1334" t="s">
        <v>123</v>
      </c>
      <c r="F1334" t="s">
        <v>45</v>
      </c>
      <c r="G1334" t="s">
        <v>46</v>
      </c>
      <c r="H1334" t="s">
        <v>47</v>
      </c>
      <c r="I1334" t="s">
        <v>61</v>
      </c>
      <c r="J1334" s="1">
        <v>45749</v>
      </c>
      <c r="K1334" s="1">
        <v>45749</v>
      </c>
      <c r="L1334" s="3">
        <v>24800</v>
      </c>
      <c r="M1334" s="4">
        <v>0</v>
      </c>
      <c r="N1334" s="4">
        <v>0</v>
      </c>
      <c r="O1334" t="s">
        <v>81</v>
      </c>
      <c r="P1334">
        <v>3</v>
      </c>
      <c r="Q1334" t="str">
        <f>IFERROR(VLOOKUP(E1334,Lookups!$A$5:$B$24,2,FALSE),"Other")</f>
        <v>Email</v>
      </c>
      <c r="R1334" t="str">
        <f>IFERROR(VLOOKUP(F1334,Lookups!$D$5:$F$10,2,FALSE),"Unknown Product")</f>
        <v>Service Cloud</v>
      </c>
      <c r="S1334" t="str">
        <f>IFERROR(VLOOKUP(F1334,Lookups!$D$5:$F$10,3,FALSE),"Unknown")</f>
        <v>Customer Service</v>
      </c>
      <c r="T1334" t="str">
        <f t="shared" si="220"/>
        <v>Mid-Market</v>
      </c>
      <c r="U1334" t="str">
        <f t="shared" si="221"/>
        <v>Lost</v>
      </c>
      <c r="V1334" s="3">
        <f t="shared" si="222"/>
        <v>0</v>
      </c>
      <c r="W1334" s="3">
        <f t="shared" si="223"/>
        <v>0</v>
      </c>
      <c r="X1334" s="5">
        <f t="shared" si="224"/>
        <v>35</v>
      </c>
      <c r="Y1334" s="5">
        <f>IF(U1334="Open",Lookups!$B$2-B1334,X1334)</f>
        <v>35</v>
      </c>
      <c r="Z1334" t="str">
        <f t="shared" si="225"/>
        <v>OK</v>
      </c>
      <c r="AA1334" t="str">
        <f t="shared" si="226"/>
        <v>2025-02</v>
      </c>
      <c r="AB1334" t="str">
        <f t="shared" si="227"/>
        <v>2025-04</v>
      </c>
      <c r="AC1334" t="str">
        <f t="shared" si="228"/>
        <v>Q1-2025</v>
      </c>
      <c r="AD1334" s="5">
        <f t="shared" si="229"/>
        <v>55</v>
      </c>
      <c r="AE1334" t="str">
        <f t="shared" si="230"/>
        <v>Lost</v>
      </c>
    </row>
    <row r="1335" spans="1:31">
      <c r="A1335" t="s">
        <v>1437</v>
      </c>
      <c r="B1335" s="1">
        <v>46236</v>
      </c>
      <c r="C1335" t="s">
        <v>56</v>
      </c>
      <c r="D1335" t="s">
        <v>57</v>
      </c>
      <c r="E1335" t="s">
        <v>115</v>
      </c>
      <c r="F1335" t="s">
        <v>59</v>
      </c>
      <c r="G1335" t="s">
        <v>46</v>
      </c>
      <c r="H1335" t="s">
        <v>53</v>
      </c>
      <c r="I1335" t="s">
        <v>187</v>
      </c>
      <c r="J1335" s="1">
        <v>46252</v>
      </c>
      <c r="K1335" s="1"/>
      <c r="L1335" s="3">
        <v>35600</v>
      </c>
      <c r="M1335" s="4">
        <v>0</v>
      </c>
      <c r="N1335" s="4">
        <v>0.05</v>
      </c>
      <c r="P1335">
        <v>1</v>
      </c>
      <c r="Q1335" t="str">
        <f>IFERROR(VLOOKUP(E1335,Lookups!$A$5:$B$24,2,FALSE),"Other")</f>
        <v>Outbound</v>
      </c>
      <c r="R1335" t="str">
        <f>IFERROR(VLOOKUP(F1335,Lookups!$D$5:$F$10,2,FALSE),"Unknown Product")</f>
        <v>NexaCRM Pro</v>
      </c>
      <c r="S1335" t="str">
        <f>IFERROR(VLOOKUP(F1335,Lookups!$D$5:$F$10,3,FALSE),"Unknown")</f>
        <v>CRM</v>
      </c>
      <c r="T1335" t="str">
        <f t="shared" si="220"/>
        <v>Mid-Market</v>
      </c>
      <c r="U1335" t="str">
        <f t="shared" si="221"/>
        <v>Open</v>
      </c>
      <c r="V1335" s="3">
        <f t="shared" si="222"/>
        <v>0</v>
      </c>
      <c r="W1335" s="3">
        <f t="shared" si="223"/>
        <v>1780</v>
      </c>
      <c r="X1335" s="5" t="str">
        <f t="shared" si="224"/>
        <v/>
      </c>
      <c r="Y1335" s="5">
        <f>IF(U1335="Open",Lookups!$B$2-B1335,X1335)</f>
        <v>30</v>
      </c>
      <c r="Z1335" t="str">
        <f t="shared" si="225"/>
        <v>OK</v>
      </c>
      <c r="AA1335" t="str">
        <f t="shared" si="226"/>
        <v>2026-08</v>
      </c>
      <c r="AB1335" t="str">
        <f t="shared" si="227"/>
        <v/>
      </c>
      <c r="AC1335" t="str">
        <f t="shared" si="228"/>
        <v>Q3-2026</v>
      </c>
      <c r="AD1335" s="5">
        <f t="shared" si="229"/>
        <v>59</v>
      </c>
      <c r="AE1335" t="str">
        <f t="shared" si="230"/>
        <v>Pipeline</v>
      </c>
    </row>
    <row r="1336" spans="1:31">
      <c r="A1336" t="s">
        <v>1438</v>
      </c>
      <c r="B1336" s="1">
        <v>46059</v>
      </c>
      <c r="C1336" t="s">
        <v>64</v>
      </c>
      <c r="D1336" t="s">
        <v>57</v>
      </c>
      <c r="E1336" t="s">
        <v>51</v>
      </c>
      <c r="F1336" t="s">
        <v>71</v>
      </c>
      <c r="G1336" t="s">
        <v>112</v>
      </c>
      <c r="H1336" t="s">
        <v>47</v>
      </c>
      <c r="I1336" t="s">
        <v>77</v>
      </c>
      <c r="J1336" s="1">
        <v>46104</v>
      </c>
      <c r="K1336" s="1">
        <v>46104</v>
      </c>
      <c r="L1336" s="3">
        <v>12700</v>
      </c>
      <c r="M1336" s="4">
        <v>0.1</v>
      </c>
      <c r="N1336" s="4">
        <v>1</v>
      </c>
      <c r="P1336">
        <v>6</v>
      </c>
      <c r="Q1336" t="str">
        <f>IFERROR(VLOOKUP(E1336,Lookups!$A$5:$B$24,2,FALSE),"Other")</f>
        <v>Paid Search</v>
      </c>
      <c r="R1336" t="str">
        <f>IFERROR(VLOOKUP(F1336,Lookups!$D$5:$F$10,2,FALSE),"Unknown Product")</f>
        <v>Marketing Automation</v>
      </c>
      <c r="S1336" t="str">
        <f>IFERROR(VLOOKUP(F1336,Lookups!$D$5:$F$10,3,FALSE),"Unknown")</f>
        <v>Marketing</v>
      </c>
      <c r="T1336" t="str">
        <f t="shared" si="220"/>
        <v>SMB</v>
      </c>
      <c r="U1336" t="str">
        <f t="shared" si="221"/>
        <v>Won</v>
      </c>
      <c r="V1336" s="3">
        <f t="shared" si="222"/>
        <v>11430</v>
      </c>
      <c r="W1336" s="3">
        <f t="shared" si="223"/>
        <v>0</v>
      </c>
      <c r="X1336" s="5">
        <f t="shared" si="224"/>
        <v>45</v>
      </c>
      <c r="Y1336" s="5">
        <f>IF(U1336="Open",Lookups!$B$2-B1336,X1336)</f>
        <v>45</v>
      </c>
      <c r="Z1336" t="str">
        <f t="shared" si="225"/>
        <v>OK</v>
      </c>
      <c r="AA1336" t="str">
        <f t="shared" si="226"/>
        <v>2026-02</v>
      </c>
      <c r="AB1336" t="str">
        <f t="shared" si="227"/>
        <v>2026-03</v>
      </c>
      <c r="AC1336" t="str">
        <f t="shared" si="228"/>
        <v>Q1-2026</v>
      </c>
      <c r="AD1336" s="5">
        <f t="shared" si="229"/>
        <v>48</v>
      </c>
      <c r="AE1336" t="str">
        <f t="shared" si="230"/>
        <v>Won</v>
      </c>
    </row>
    <row r="1337" spans="1:31">
      <c r="A1337" t="s">
        <v>1439</v>
      </c>
      <c r="B1337" s="1">
        <v>46239</v>
      </c>
      <c r="C1337" t="s">
        <v>56</v>
      </c>
      <c r="D1337" t="s">
        <v>57</v>
      </c>
      <c r="E1337" t="s">
        <v>160</v>
      </c>
      <c r="F1337" t="s">
        <v>45</v>
      </c>
      <c r="G1337" t="s">
        <v>112</v>
      </c>
      <c r="H1337" t="s">
        <v>47</v>
      </c>
      <c r="I1337" t="s">
        <v>77</v>
      </c>
      <c r="J1337" s="1">
        <v>46266</v>
      </c>
      <c r="K1337" s="1">
        <v>46266</v>
      </c>
      <c r="L1337" s="3">
        <v>27000</v>
      </c>
      <c r="M1337" s="4">
        <v>0.12</v>
      </c>
      <c r="N1337" s="4">
        <v>1</v>
      </c>
      <c r="P1337">
        <v>6</v>
      </c>
      <c r="Q1337" t="str">
        <f>IFERROR(VLOOKUP(E1337,Lookups!$A$5:$B$24,2,FALSE),"Other")</f>
        <v>Email</v>
      </c>
      <c r="R1337" t="str">
        <f>IFERROR(VLOOKUP(F1337,Lookups!$D$5:$F$10,2,FALSE),"Unknown Product")</f>
        <v>Service Cloud</v>
      </c>
      <c r="S1337" t="str">
        <f>IFERROR(VLOOKUP(F1337,Lookups!$D$5:$F$10,3,FALSE),"Unknown")</f>
        <v>Customer Service</v>
      </c>
      <c r="T1337" t="str">
        <f t="shared" si="220"/>
        <v>Mid-Market</v>
      </c>
      <c r="U1337" t="str">
        <f t="shared" si="221"/>
        <v>Won</v>
      </c>
      <c r="V1337" s="3">
        <f t="shared" si="222"/>
        <v>23760</v>
      </c>
      <c r="W1337" s="3">
        <f t="shared" si="223"/>
        <v>0</v>
      </c>
      <c r="X1337" s="5">
        <f t="shared" si="224"/>
        <v>27</v>
      </c>
      <c r="Y1337" s="5">
        <f>IF(U1337="Open",Lookups!$B$2-B1337,X1337)</f>
        <v>27</v>
      </c>
      <c r="Z1337" t="str">
        <f t="shared" si="225"/>
        <v>OK</v>
      </c>
      <c r="AA1337" t="str">
        <f t="shared" si="226"/>
        <v>2026-08</v>
      </c>
      <c r="AB1337" t="str">
        <f t="shared" si="227"/>
        <v>2026-09</v>
      </c>
      <c r="AC1337" t="str">
        <f t="shared" si="228"/>
        <v>Q3-2026</v>
      </c>
      <c r="AD1337" s="5">
        <f t="shared" si="229"/>
        <v>60</v>
      </c>
      <c r="AE1337" t="str">
        <f t="shared" si="230"/>
        <v>Won</v>
      </c>
    </row>
    <row r="1338" spans="1:31">
      <c r="A1338" t="s">
        <v>1440</v>
      </c>
      <c r="B1338" s="1">
        <v>45976</v>
      </c>
      <c r="C1338" t="s">
        <v>90</v>
      </c>
      <c r="D1338" t="s">
        <v>57</v>
      </c>
      <c r="E1338" t="s">
        <v>146</v>
      </c>
      <c r="F1338" t="s">
        <v>52</v>
      </c>
      <c r="G1338" t="s">
        <v>46</v>
      </c>
      <c r="H1338" t="s">
        <v>53</v>
      </c>
      <c r="I1338" t="s">
        <v>61</v>
      </c>
      <c r="J1338" s="1">
        <v>46032</v>
      </c>
      <c r="K1338" s="1">
        <v>46032</v>
      </c>
      <c r="L1338" s="3">
        <v>10600</v>
      </c>
      <c r="M1338" s="4">
        <v>0</v>
      </c>
      <c r="N1338" s="4">
        <v>0</v>
      </c>
      <c r="O1338" t="s">
        <v>81</v>
      </c>
      <c r="P1338">
        <v>2</v>
      </c>
      <c r="Q1338" t="str">
        <f>IFERROR(VLOOKUP(E1338,Lookups!$A$5:$B$24,2,FALSE),"Other")</f>
        <v>LinkedIn</v>
      </c>
      <c r="R1338" t="str">
        <f>IFERROR(VLOOKUP(F1338,Lookups!$D$5:$F$10,2,FALSE),"Unknown Product")</f>
        <v>NexaCRM Core</v>
      </c>
      <c r="S1338" t="str">
        <f>IFERROR(VLOOKUP(F1338,Lookups!$D$5:$F$10,3,FALSE),"Unknown")</f>
        <v>CRM</v>
      </c>
      <c r="T1338" t="str">
        <f t="shared" si="220"/>
        <v>SMB</v>
      </c>
      <c r="U1338" t="str">
        <f t="shared" si="221"/>
        <v>Lost</v>
      </c>
      <c r="V1338" s="3">
        <f t="shared" si="222"/>
        <v>0</v>
      </c>
      <c r="W1338" s="3">
        <f t="shared" si="223"/>
        <v>0</v>
      </c>
      <c r="X1338" s="5">
        <f t="shared" si="224"/>
        <v>56</v>
      </c>
      <c r="Y1338" s="5">
        <f>IF(U1338="Open",Lookups!$B$2-B1338,X1338)</f>
        <v>56</v>
      </c>
      <c r="Z1338" t="str">
        <f t="shared" si="225"/>
        <v>OK</v>
      </c>
      <c r="AA1338" t="str">
        <f t="shared" si="226"/>
        <v>2025-11</v>
      </c>
      <c r="AB1338" t="str">
        <f t="shared" si="227"/>
        <v>2026-01</v>
      </c>
      <c r="AC1338" t="str">
        <f t="shared" si="228"/>
        <v>Q4-2025</v>
      </c>
      <c r="AD1338" s="5">
        <f t="shared" si="229"/>
        <v>51</v>
      </c>
      <c r="AE1338" t="str">
        <f t="shared" si="230"/>
        <v>Lost</v>
      </c>
    </row>
    <row r="1339" spans="1:31">
      <c r="A1339" t="s">
        <v>1441</v>
      </c>
      <c r="B1339" s="1">
        <v>45724</v>
      </c>
      <c r="C1339" t="s">
        <v>64</v>
      </c>
      <c r="D1339" t="s">
        <v>57</v>
      </c>
      <c r="E1339" t="s">
        <v>92</v>
      </c>
      <c r="F1339" t="s">
        <v>52</v>
      </c>
      <c r="G1339" t="s">
        <v>72</v>
      </c>
      <c r="H1339" t="s">
        <v>47</v>
      </c>
      <c r="I1339" t="s">
        <v>61</v>
      </c>
      <c r="J1339" s="1">
        <v>45775</v>
      </c>
      <c r="K1339" s="1">
        <v>45775</v>
      </c>
      <c r="L1339" s="3">
        <v>8500</v>
      </c>
      <c r="M1339" s="4">
        <v>0</v>
      </c>
      <c r="N1339" s="4">
        <v>0</v>
      </c>
      <c r="O1339" t="s">
        <v>62</v>
      </c>
      <c r="P1339">
        <v>5</v>
      </c>
      <c r="Q1339" t="str">
        <f>IFERROR(VLOOKUP(E1339,Lookups!$A$5:$B$24,2,FALSE),"Other")</f>
        <v>Webinar</v>
      </c>
      <c r="R1339" t="str">
        <f>IFERROR(VLOOKUP(F1339,Lookups!$D$5:$F$10,2,FALSE),"Unknown Product")</f>
        <v>NexaCRM Core</v>
      </c>
      <c r="S1339" t="str">
        <f>IFERROR(VLOOKUP(F1339,Lookups!$D$5:$F$10,3,FALSE),"Unknown")</f>
        <v>CRM</v>
      </c>
      <c r="T1339" t="str">
        <f t="shared" si="220"/>
        <v>SMB</v>
      </c>
      <c r="U1339" t="str">
        <f t="shared" si="221"/>
        <v>Lost</v>
      </c>
      <c r="V1339" s="3">
        <f t="shared" si="222"/>
        <v>0</v>
      </c>
      <c r="W1339" s="3">
        <f t="shared" si="223"/>
        <v>0</v>
      </c>
      <c r="X1339" s="5">
        <f t="shared" si="224"/>
        <v>51</v>
      </c>
      <c r="Y1339" s="5">
        <f>IF(U1339="Open",Lookups!$B$2-B1339,X1339)</f>
        <v>51</v>
      </c>
      <c r="Z1339" t="str">
        <f t="shared" si="225"/>
        <v>OK</v>
      </c>
      <c r="AA1339" t="str">
        <f t="shared" si="226"/>
        <v>2025-03</v>
      </c>
      <c r="AB1339" t="str">
        <f t="shared" si="227"/>
        <v>2025-04</v>
      </c>
      <c r="AC1339" t="str">
        <f t="shared" si="228"/>
        <v>Q1-2025</v>
      </c>
      <c r="AD1339" s="5">
        <f t="shared" si="229"/>
        <v>43</v>
      </c>
      <c r="AE1339" t="str">
        <f t="shared" si="230"/>
        <v>Lost</v>
      </c>
    </row>
    <row r="1340" spans="1:31">
      <c r="A1340" t="s">
        <v>1442</v>
      </c>
      <c r="B1340" s="1">
        <v>45787</v>
      </c>
      <c r="C1340" t="s">
        <v>42</v>
      </c>
      <c r="D1340" t="s">
        <v>43</v>
      </c>
      <c r="E1340" t="s">
        <v>123</v>
      </c>
      <c r="F1340" t="s">
        <v>71</v>
      </c>
      <c r="G1340" t="s">
        <v>76</v>
      </c>
      <c r="H1340" t="s">
        <v>53</v>
      </c>
      <c r="I1340" t="s">
        <v>77</v>
      </c>
      <c r="J1340" s="1">
        <v>45864</v>
      </c>
      <c r="K1340" s="1">
        <v>45864</v>
      </c>
      <c r="L1340" s="3">
        <v>25200</v>
      </c>
      <c r="M1340" s="4">
        <v>0.05</v>
      </c>
      <c r="N1340" s="4">
        <v>1</v>
      </c>
      <c r="P1340">
        <v>6</v>
      </c>
      <c r="Q1340" t="str">
        <f>IFERROR(VLOOKUP(E1340,Lookups!$A$5:$B$24,2,FALSE),"Other")</f>
        <v>Email</v>
      </c>
      <c r="R1340" t="str">
        <f>IFERROR(VLOOKUP(F1340,Lookups!$D$5:$F$10,2,FALSE),"Unknown Product")</f>
        <v>Marketing Automation</v>
      </c>
      <c r="S1340" t="str">
        <f>IFERROR(VLOOKUP(F1340,Lookups!$D$5:$F$10,3,FALSE),"Unknown")</f>
        <v>Marketing</v>
      </c>
      <c r="T1340" t="str">
        <f t="shared" si="220"/>
        <v>Mid-Market</v>
      </c>
      <c r="U1340" t="str">
        <f t="shared" si="221"/>
        <v>Won</v>
      </c>
      <c r="V1340" s="3">
        <f t="shared" si="222"/>
        <v>23940</v>
      </c>
      <c r="W1340" s="3">
        <f t="shared" si="223"/>
        <v>0</v>
      </c>
      <c r="X1340" s="5">
        <f t="shared" si="224"/>
        <v>77</v>
      </c>
      <c r="Y1340" s="5">
        <f>IF(U1340="Open",Lookups!$B$2-B1340,X1340)</f>
        <v>77</v>
      </c>
      <c r="Z1340" t="str">
        <f t="shared" si="225"/>
        <v>OK</v>
      </c>
      <c r="AA1340" t="str">
        <f t="shared" si="226"/>
        <v>2025-05</v>
      </c>
      <c r="AB1340" t="str">
        <f t="shared" si="227"/>
        <v>2025-07</v>
      </c>
      <c r="AC1340" t="str">
        <f t="shared" si="228"/>
        <v>Q2-2025</v>
      </c>
      <c r="AD1340" s="5">
        <f t="shared" si="229"/>
        <v>63</v>
      </c>
      <c r="AE1340" t="str">
        <f t="shared" si="230"/>
        <v>Won</v>
      </c>
    </row>
    <row r="1341" spans="1:31">
      <c r="A1341" t="s">
        <v>1443</v>
      </c>
      <c r="B1341" s="1">
        <v>45780</v>
      </c>
      <c r="C1341" t="s">
        <v>90</v>
      </c>
      <c r="D1341" t="s">
        <v>57</v>
      </c>
      <c r="E1341" t="s">
        <v>98</v>
      </c>
      <c r="F1341" t="s">
        <v>45</v>
      </c>
      <c r="G1341" t="s">
        <v>60</v>
      </c>
      <c r="H1341" t="s">
        <v>53</v>
      </c>
      <c r="I1341" t="s">
        <v>48</v>
      </c>
      <c r="J1341" s="1">
        <v>46104</v>
      </c>
      <c r="K1341" s="1"/>
      <c r="L1341" s="3">
        <v>35500</v>
      </c>
      <c r="M1341" s="4">
        <v>0</v>
      </c>
      <c r="N1341" s="4">
        <v>0.85</v>
      </c>
      <c r="P1341">
        <v>5</v>
      </c>
      <c r="Q1341" t="str">
        <f>IFERROR(VLOOKUP(E1341,Lookups!$A$5:$B$24,2,FALSE),"Other")</f>
        <v>Outbound</v>
      </c>
      <c r="R1341" t="str">
        <f>IFERROR(VLOOKUP(F1341,Lookups!$D$5:$F$10,2,FALSE),"Unknown Product")</f>
        <v>Service Cloud</v>
      </c>
      <c r="S1341" t="str">
        <f>IFERROR(VLOOKUP(F1341,Lookups!$D$5:$F$10,3,FALSE),"Unknown")</f>
        <v>Customer Service</v>
      </c>
      <c r="T1341" t="str">
        <f t="shared" si="220"/>
        <v>Mid-Market</v>
      </c>
      <c r="U1341" t="str">
        <f t="shared" si="221"/>
        <v>Open</v>
      </c>
      <c r="V1341" s="3">
        <f t="shared" si="222"/>
        <v>0</v>
      </c>
      <c r="W1341" s="3">
        <f t="shared" si="223"/>
        <v>30175</v>
      </c>
      <c r="X1341" s="5" t="str">
        <f t="shared" si="224"/>
        <v/>
      </c>
      <c r="Y1341" s="5">
        <f>IF(U1341="Open",Lookups!$B$2-B1341,X1341)</f>
        <v>486</v>
      </c>
      <c r="Z1341" t="str">
        <f t="shared" si="225"/>
        <v>STALE</v>
      </c>
      <c r="AA1341" t="str">
        <f t="shared" si="226"/>
        <v>2025-05</v>
      </c>
      <c r="AB1341" t="str">
        <f t="shared" si="227"/>
        <v/>
      </c>
      <c r="AC1341" t="str">
        <f t="shared" si="228"/>
        <v>Q2-2025</v>
      </c>
      <c r="AD1341" s="5">
        <f t="shared" si="229"/>
        <v>59</v>
      </c>
      <c r="AE1341" t="str">
        <f t="shared" si="230"/>
        <v>Commit</v>
      </c>
    </row>
    <row r="1342" spans="1:31">
      <c r="A1342" t="s">
        <v>1444</v>
      </c>
      <c r="B1342" s="1">
        <v>46117</v>
      </c>
      <c r="C1342" t="s">
        <v>148</v>
      </c>
      <c r="D1342" t="s">
        <v>43</v>
      </c>
      <c r="E1342" t="s">
        <v>96</v>
      </c>
      <c r="F1342" t="s">
        <v>45</v>
      </c>
      <c r="G1342" t="s">
        <v>76</v>
      </c>
      <c r="H1342" t="s">
        <v>53</v>
      </c>
      <c r="I1342" t="s">
        <v>61</v>
      </c>
      <c r="J1342" s="1">
        <v>46141</v>
      </c>
      <c r="K1342" s="1">
        <v>46141</v>
      </c>
      <c r="L1342" s="3">
        <v>32200</v>
      </c>
      <c r="M1342" s="4">
        <v>0</v>
      </c>
      <c r="N1342" s="4">
        <v>0</v>
      </c>
      <c r="O1342" t="s">
        <v>79</v>
      </c>
      <c r="P1342">
        <v>4</v>
      </c>
      <c r="Q1342" t="str">
        <f>IFERROR(VLOOKUP(E1342,Lookups!$A$5:$B$24,2,FALSE),"Other")</f>
        <v>LinkedIn</v>
      </c>
      <c r="R1342" t="str">
        <f>IFERROR(VLOOKUP(F1342,Lookups!$D$5:$F$10,2,FALSE),"Unknown Product")</f>
        <v>Service Cloud</v>
      </c>
      <c r="S1342" t="str">
        <f>IFERROR(VLOOKUP(F1342,Lookups!$D$5:$F$10,3,FALSE),"Unknown")</f>
        <v>Customer Service</v>
      </c>
      <c r="T1342" t="str">
        <f t="shared" si="220"/>
        <v>Mid-Market</v>
      </c>
      <c r="U1342" t="str">
        <f t="shared" si="221"/>
        <v>Lost</v>
      </c>
      <c r="V1342" s="3">
        <f t="shared" si="222"/>
        <v>0</v>
      </c>
      <c r="W1342" s="3">
        <f t="shared" si="223"/>
        <v>0</v>
      </c>
      <c r="X1342" s="5">
        <f t="shared" si="224"/>
        <v>24</v>
      </c>
      <c r="Y1342" s="5">
        <f>IF(U1342="Open",Lookups!$B$2-B1342,X1342)</f>
        <v>24</v>
      </c>
      <c r="Z1342" t="str">
        <f t="shared" si="225"/>
        <v>OK</v>
      </c>
      <c r="AA1342" t="str">
        <f t="shared" si="226"/>
        <v>2026-04</v>
      </c>
      <c r="AB1342" t="str">
        <f t="shared" si="227"/>
        <v>2026-04</v>
      </c>
      <c r="AC1342" t="str">
        <f t="shared" si="228"/>
        <v>Q2-2026</v>
      </c>
      <c r="AD1342" s="5">
        <f t="shared" si="229"/>
        <v>59</v>
      </c>
      <c r="AE1342" t="str">
        <f t="shared" si="230"/>
        <v>Lost</v>
      </c>
    </row>
    <row r="1343" spans="1:31">
      <c r="A1343" t="s">
        <v>1445</v>
      </c>
      <c r="B1343" s="1">
        <v>45703</v>
      </c>
      <c r="C1343" t="s">
        <v>42</v>
      </c>
      <c r="D1343" t="s">
        <v>43</v>
      </c>
      <c r="E1343" t="s">
        <v>127</v>
      </c>
      <c r="F1343" t="s">
        <v>52</v>
      </c>
      <c r="G1343" t="s">
        <v>46</v>
      </c>
      <c r="H1343" t="s">
        <v>47</v>
      </c>
      <c r="I1343" t="s">
        <v>61</v>
      </c>
      <c r="J1343" s="1">
        <v>45751</v>
      </c>
      <c r="K1343" s="1">
        <v>45751</v>
      </c>
      <c r="L1343" s="3">
        <v>7600</v>
      </c>
      <c r="M1343" s="4">
        <v>0</v>
      </c>
      <c r="N1343" s="4">
        <v>0</v>
      </c>
      <c r="O1343" t="s">
        <v>102</v>
      </c>
      <c r="P1343">
        <v>5</v>
      </c>
      <c r="Q1343" t="str">
        <f>IFERROR(VLOOKUP(E1343,Lookups!$A$5:$B$24,2,FALSE),"Other")</f>
        <v>Paid Search</v>
      </c>
      <c r="R1343" t="str">
        <f>IFERROR(VLOOKUP(F1343,Lookups!$D$5:$F$10,2,FALSE),"Unknown Product")</f>
        <v>NexaCRM Core</v>
      </c>
      <c r="S1343" t="str">
        <f>IFERROR(VLOOKUP(F1343,Lookups!$D$5:$F$10,3,FALSE),"Unknown")</f>
        <v>CRM</v>
      </c>
      <c r="T1343" t="str">
        <f t="shared" si="220"/>
        <v>SMB</v>
      </c>
      <c r="U1343" t="str">
        <f t="shared" si="221"/>
        <v>Lost</v>
      </c>
      <c r="V1343" s="3">
        <f t="shared" si="222"/>
        <v>0</v>
      </c>
      <c r="W1343" s="3">
        <f t="shared" si="223"/>
        <v>0</v>
      </c>
      <c r="X1343" s="5">
        <f t="shared" si="224"/>
        <v>48</v>
      </c>
      <c r="Y1343" s="5">
        <f>IF(U1343="Open",Lookups!$B$2-B1343,X1343)</f>
        <v>48</v>
      </c>
      <c r="Z1343" t="str">
        <f t="shared" si="225"/>
        <v>OK</v>
      </c>
      <c r="AA1343" t="str">
        <f t="shared" si="226"/>
        <v>2025-02</v>
      </c>
      <c r="AB1343" t="str">
        <f t="shared" si="227"/>
        <v>2025-04</v>
      </c>
      <c r="AC1343" t="str">
        <f t="shared" si="228"/>
        <v>Q1-2025</v>
      </c>
      <c r="AD1343" s="5">
        <f t="shared" si="229"/>
        <v>43</v>
      </c>
      <c r="AE1343" t="str">
        <f t="shared" si="230"/>
        <v>Lost</v>
      </c>
    </row>
    <row r="1344" spans="1:31">
      <c r="A1344" t="s">
        <v>1446</v>
      </c>
      <c r="B1344" s="1">
        <v>45693</v>
      </c>
      <c r="C1344" t="s">
        <v>50</v>
      </c>
      <c r="D1344" t="s">
        <v>43</v>
      </c>
      <c r="E1344" t="s">
        <v>44</v>
      </c>
      <c r="F1344" t="s">
        <v>133</v>
      </c>
      <c r="G1344" t="s">
        <v>99</v>
      </c>
      <c r="H1344" t="s">
        <v>53</v>
      </c>
      <c r="I1344" t="s">
        <v>61</v>
      </c>
      <c r="J1344" s="1">
        <v>45764</v>
      </c>
      <c r="K1344" s="1">
        <v>45764</v>
      </c>
      <c r="L1344" s="3">
        <v>40600</v>
      </c>
      <c r="M1344" s="4">
        <v>0</v>
      </c>
      <c r="N1344" s="4">
        <v>0</v>
      </c>
      <c r="O1344" t="s">
        <v>79</v>
      </c>
      <c r="P1344">
        <v>5</v>
      </c>
      <c r="Q1344" t="str">
        <f>IFERROR(VLOOKUP(E1344,Lookups!$A$5:$B$24,2,FALSE),"Other")</f>
        <v>Organic Search</v>
      </c>
      <c r="R1344" t="str">
        <f>IFERROR(VLOOKUP(F1344,Lookups!$D$5:$F$10,2,FALSE),"Unknown Product")</f>
        <v>Analytics Plus</v>
      </c>
      <c r="S1344" t="str">
        <f>IFERROR(VLOOKUP(F1344,Lookups!$D$5:$F$10,3,FALSE),"Unknown")</f>
        <v>Analytics</v>
      </c>
      <c r="T1344" t="str">
        <f t="shared" si="220"/>
        <v>Mid-Market</v>
      </c>
      <c r="U1344" t="str">
        <f t="shared" si="221"/>
        <v>Lost</v>
      </c>
      <c r="V1344" s="3">
        <f t="shared" si="222"/>
        <v>0</v>
      </c>
      <c r="W1344" s="3">
        <f t="shared" si="223"/>
        <v>0</v>
      </c>
      <c r="X1344" s="5">
        <f t="shared" si="224"/>
        <v>71</v>
      </c>
      <c r="Y1344" s="5">
        <f>IF(U1344="Open",Lookups!$B$2-B1344,X1344)</f>
        <v>71</v>
      </c>
      <c r="Z1344" t="str">
        <f t="shared" si="225"/>
        <v>OK</v>
      </c>
      <c r="AA1344" t="str">
        <f t="shared" si="226"/>
        <v>2025-02</v>
      </c>
      <c r="AB1344" t="str">
        <f t="shared" si="227"/>
        <v>2025-04</v>
      </c>
      <c r="AC1344" t="str">
        <f t="shared" si="228"/>
        <v>Q1-2025</v>
      </c>
      <c r="AD1344" s="5">
        <f t="shared" si="229"/>
        <v>65</v>
      </c>
      <c r="AE1344" t="str">
        <f t="shared" si="230"/>
        <v>Lost</v>
      </c>
    </row>
    <row r="1345" spans="1:31">
      <c r="A1345" t="s">
        <v>1447</v>
      </c>
      <c r="B1345" s="1">
        <v>45979</v>
      </c>
      <c r="C1345" t="s">
        <v>50</v>
      </c>
      <c r="D1345" t="s">
        <v>43</v>
      </c>
      <c r="E1345" t="s">
        <v>160</v>
      </c>
      <c r="F1345" t="s">
        <v>71</v>
      </c>
      <c r="G1345" t="s">
        <v>99</v>
      </c>
      <c r="H1345" t="s">
        <v>53</v>
      </c>
      <c r="I1345" t="s">
        <v>48</v>
      </c>
      <c r="J1345" s="1">
        <v>46195</v>
      </c>
      <c r="K1345" s="1"/>
      <c r="L1345" s="3">
        <v>28100</v>
      </c>
      <c r="M1345" s="4">
        <v>0</v>
      </c>
      <c r="N1345" s="4">
        <v>0.85</v>
      </c>
      <c r="P1345">
        <v>5</v>
      </c>
      <c r="Q1345" t="str">
        <f>IFERROR(VLOOKUP(E1345,Lookups!$A$5:$B$24,2,FALSE),"Other")</f>
        <v>Email</v>
      </c>
      <c r="R1345" t="str">
        <f>IFERROR(VLOOKUP(F1345,Lookups!$D$5:$F$10,2,FALSE),"Unknown Product")</f>
        <v>Marketing Automation</v>
      </c>
      <c r="S1345" t="str">
        <f>IFERROR(VLOOKUP(F1345,Lookups!$D$5:$F$10,3,FALSE),"Unknown")</f>
        <v>Marketing</v>
      </c>
      <c r="T1345" t="str">
        <f t="shared" si="220"/>
        <v>Mid-Market</v>
      </c>
      <c r="U1345" t="str">
        <f t="shared" si="221"/>
        <v>Open</v>
      </c>
      <c r="V1345" s="3">
        <f t="shared" si="222"/>
        <v>0</v>
      </c>
      <c r="W1345" s="3">
        <f t="shared" si="223"/>
        <v>23885</v>
      </c>
      <c r="X1345" s="5" t="str">
        <f t="shared" si="224"/>
        <v/>
      </c>
      <c r="Y1345" s="5">
        <f>IF(U1345="Open",Lookups!$B$2-B1345,X1345)</f>
        <v>287</v>
      </c>
      <c r="Z1345" t="str">
        <f t="shared" si="225"/>
        <v>STALE</v>
      </c>
      <c r="AA1345" t="str">
        <f t="shared" si="226"/>
        <v>2025-11</v>
      </c>
      <c r="AB1345" t="str">
        <f t="shared" si="227"/>
        <v/>
      </c>
      <c r="AC1345" t="str">
        <f t="shared" si="228"/>
        <v>Q4-2025</v>
      </c>
      <c r="AD1345" s="5">
        <f t="shared" si="229"/>
        <v>63</v>
      </c>
      <c r="AE1345" t="str">
        <f t="shared" si="230"/>
        <v>Commit</v>
      </c>
    </row>
    <row r="1346" spans="1:31">
      <c r="A1346" t="s">
        <v>1448</v>
      </c>
      <c r="B1346" s="1">
        <v>45872</v>
      </c>
      <c r="C1346" t="s">
        <v>42</v>
      </c>
      <c r="D1346" t="s">
        <v>43</v>
      </c>
      <c r="E1346" t="s">
        <v>44</v>
      </c>
      <c r="F1346" t="s">
        <v>133</v>
      </c>
      <c r="G1346" t="s">
        <v>72</v>
      </c>
      <c r="H1346" t="s">
        <v>47</v>
      </c>
      <c r="I1346" t="s">
        <v>48</v>
      </c>
      <c r="J1346" s="1">
        <v>46155</v>
      </c>
      <c r="K1346" s="1"/>
      <c r="L1346" s="3">
        <v>21600</v>
      </c>
      <c r="M1346" s="4">
        <v>0</v>
      </c>
      <c r="N1346" s="4">
        <v>0.85</v>
      </c>
      <c r="P1346">
        <v>5</v>
      </c>
      <c r="Q1346" t="str">
        <f>IFERROR(VLOOKUP(E1346,Lookups!$A$5:$B$24,2,FALSE),"Other")</f>
        <v>Organic Search</v>
      </c>
      <c r="R1346" t="str">
        <f>IFERROR(VLOOKUP(F1346,Lookups!$D$5:$F$10,2,FALSE),"Unknown Product")</f>
        <v>Analytics Plus</v>
      </c>
      <c r="S1346" t="str">
        <f>IFERROR(VLOOKUP(F1346,Lookups!$D$5:$F$10,3,FALSE),"Unknown")</f>
        <v>Analytics</v>
      </c>
      <c r="T1346" t="str">
        <f t="shared" ref="T1346:T1409" si="231">IF(L1346&gt;=50000,"Enterprise",IF(L1346&gt;=20000,"Mid-Market","SMB"))</f>
        <v>Mid-Market</v>
      </c>
      <c r="U1346" t="str">
        <f t="shared" ref="U1346:U1409" si="232">IF(I1346="Closed Won","Won",IF(I1346="Closed Lost","Lost","Open"))</f>
        <v>Open</v>
      </c>
      <c r="V1346" s="3">
        <f t="shared" ref="V1346:V1409" si="233">IF(U1346="Won",L1346*(1-M1346),0)</f>
        <v>0</v>
      </c>
      <c r="W1346" s="3">
        <f t="shared" ref="W1346:W1409" si="234">IF(U1346="Open",L1346*N1346,0)</f>
        <v>18360</v>
      </c>
      <c r="X1346" s="5" t="str">
        <f t="shared" ref="X1346:X1409" si="235">IF(U1346="Open","",IFERROR(K1346-B1346,""))</f>
        <v/>
      </c>
      <c r="Y1346" s="5">
        <f>IF(U1346="Open",Lookups!$B$2-B1346,X1346)</f>
        <v>394</v>
      </c>
      <c r="Z1346" t="str">
        <f t="shared" ref="Z1346:Z1409" si="236">IF(AND(U1346="Open",Y1346&gt;30),"STALE","OK")</f>
        <v>STALE</v>
      </c>
      <c r="AA1346" t="str">
        <f t="shared" ref="AA1346:AA1409" si="237">TEXT(B1346,"yyyy-mm")</f>
        <v>2025-08</v>
      </c>
      <c r="AB1346" t="str">
        <f t="shared" ref="AB1346:AB1409" si="238">IF(K1346="","",TEXT(K1346,"yyyy-mm"))</f>
        <v/>
      </c>
      <c r="AC1346" t="str">
        <f t="shared" ref="AC1346:AC1409" si="239">"Q"&amp;ROUNDUP(MONTH(B1346)/3,0)&amp;"-"&amp;YEAR(B1346)</f>
        <v>Q3-2025</v>
      </c>
      <c r="AD1346" s="5">
        <f t="shared" ref="AD1346:AD1409" si="240">MIN(100,IF(H1346="Enterprise",30,IF(H1346="Mid-Market",22,14))+IF(T1346="Enterprise",25,IF(T1346="Mid-Market",18,10))+IF(Q1346="Referral",25,IF(Q1346="Organic Search",20,IF(Q1346="Email",18,14)))+IF(G1346="Technology",10,5))</f>
        <v>57</v>
      </c>
      <c r="AE1346" t="str">
        <f t="shared" ref="AE1346:AE1409" si="241">IF(U1346&lt;&gt;"Open",U1346,IF(N1346&gt;=0.8,"Commit",IF(N1346&gt;=0.5,"Best Case","Pipeline")))</f>
        <v>Commit</v>
      </c>
    </row>
    <row r="1347" spans="1:31">
      <c r="A1347" t="s">
        <v>1449</v>
      </c>
      <c r="B1347" s="1">
        <v>46226</v>
      </c>
      <c r="C1347" t="s">
        <v>90</v>
      </c>
      <c r="D1347" t="s">
        <v>57</v>
      </c>
      <c r="E1347" t="s">
        <v>83</v>
      </c>
      <c r="F1347" t="s">
        <v>52</v>
      </c>
      <c r="G1347" t="s">
        <v>94</v>
      </c>
      <c r="H1347" t="s">
        <v>47</v>
      </c>
      <c r="I1347" t="s">
        <v>187</v>
      </c>
      <c r="J1347" s="1">
        <v>46259</v>
      </c>
      <c r="K1347" s="1"/>
      <c r="L1347" s="3">
        <v>5400</v>
      </c>
      <c r="M1347" s="4">
        <v>0</v>
      </c>
      <c r="N1347" s="4">
        <v>0.05</v>
      </c>
      <c r="P1347">
        <v>1</v>
      </c>
      <c r="Q1347" t="str">
        <f>IFERROR(VLOOKUP(E1347,Lookups!$A$5:$B$24,2,FALSE),"Other")</f>
        <v>Organic Search</v>
      </c>
      <c r="R1347" t="str">
        <f>IFERROR(VLOOKUP(F1347,Lookups!$D$5:$F$10,2,FALSE),"Unknown Product")</f>
        <v>NexaCRM Core</v>
      </c>
      <c r="S1347" t="str">
        <f>IFERROR(VLOOKUP(F1347,Lookups!$D$5:$F$10,3,FALSE),"Unknown")</f>
        <v>CRM</v>
      </c>
      <c r="T1347" t="str">
        <f t="shared" si="231"/>
        <v>SMB</v>
      </c>
      <c r="U1347" t="str">
        <f t="shared" si="232"/>
        <v>Open</v>
      </c>
      <c r="V1347" s="3">
        <f t="shared" si="233"/>
        <v>0</v>
      </c>
      <c r="W1347" s="3">
        <f t="shared" si="234"/>
        <v>270</v>
      </c>
      <c r="X1347" s="5" t="str">
        <f t="shared" si="235"/>
        <v/>
      </c>
      <c r="Y1347" s="5">
        <f>IF(U1347="Open",Lookups!$B$2-B1347,X1347)</f>
        <v>40</v>
      </c>
      <c r="Z1347" t="str">
        <f t="shared" si="236"/>
        <v>STALE</v>
      </c>
      <c r="AA1347" t="str">
        <f t="shared" si="237"/>
        <v>2026-07</v>
      </c>
      <c r="AB1347" t="str">
        <f t="shared" si="238"/>
        <v/>
      </c>
      <c r="AC1347" t="str">
        <f t="shared" si="239"/>
        <v>Q3-2026</v>
      </c>
      <c r="AD1347" s="5">
        <f t="shared" si="240"/>
        <v>49</v>
      </c>
      <c r="AE1347" t="str">
        <f t="shared" si="241"/>
        <v>Pipeline</v>
      </c>
    </row>
    <row r="1348" spans="1:31">
      <c r="A1348" t="s">
        <v>1450</v>
      </c>
      <c r="B1348" s="1">
        <v>45685</v>
      </c>
      <c r="C1348" t="s">
        <v>64</v>
      </c>
      <c r="D1348" t="s">
        <v>57</v>
      </c>
      <c r="E1348" t="s">
        <v>98</v>
      </c>
      <c r="F1348" t="s">
        <v>45</v>
      </c>
      <c r="G1348" t="s">
        <v>99</v>
      </c>
      <c r="H1348" t="s">
        <v>47</v>
      </c>
      <c r="I1348" t="s">
        <v>48</v>
      </c>
      <c r="J1348" s="1">
        <v>46138</v>
      </c>
      <c r="K1348" s="1"/>
      <c r="L1348" s="3">
        <v>25400</v>
      </c>
      <c r="M1348" s="4">
        <v>0.03</v>
      </c>
      <c r="N1348" s="4">
        <v>0.85</v>
      </c>
      <c r="P1348">
        <v>5</v>
      </c>
      <c r="Q1348" t="str">
        <f>IFERROR(VLOOKUP(E1348,Lookups!$A$5:$B$24,2,FALSE),"Other")</f>
        <v>Outbound</v>
      </c>
      <c r="R1348" t="str">
        <f>IFERROR(VLOOKUP(F1348,Lookups!$D$5:$F$10,2,FALSE),"Unknown Product")</f>
        <v>Service Cloud</v>
      </c>
      <c r="S1348" t="str">
        <f>IFERROR(VLOOKUP(F1348,Lookups!$D$5:$F$10,3,FALSE),"Unknown")</f>
        <v>Customer Service</v>
      </c>
      <c r="T1348" t="str">
        <f t="shared" si="231"/>
        <v>Mid-Market</v>
      </c>
      <c r="U1348" t="str">
        <f t="shared" si="232"/>
        <v>Open</v>
      </c>
      <c r="V1348" s="3">
        <f t="shared" si="233"/>
        <v>0</v>
      </c>
      <c r="W1348" s="3">
        <f t="shared" si="234"/>
        <v>21590</v>
      </c>
      <c r="X1348" s="5" t="str">
        <f t="shared" si="235"/>
        <v/>
      </c>
      <c r="Y1348" s="5">
        <f>IF(U1348="Open",Lookups!$B$2-B1348,X1348)</f>
        <v>581</v>
      </c>
      <c r="Z1348" t="str">
        <f t="shared" si="236"/>
        <v>STALE</v>
      </c>
      <c r="AA1348" t="str">
        <f t="shared" si="237"/>
        <v>2025-01</v>
      </c>
      <c r="AB1348" t="str">
        <f t="shared" si="238"/>
        <v/>
      </c>
      <c r="AC1348" t="str">
        <f t="shared" si="239"/>
        <v>Q1-2025</v>
      </c>
      <c r="AD1348" s="5">
        <f t="shared" si="240"/>
        <v>51</v>
      </c>
      <c r="AE1348" t="str">
        <f t="shared" si="241"/>
        <v>Commit</v>
      </c>
    </row>
    <row r="1349" spans="1:31">
      <c r="A1349" t="s">
        <v>1451</v>
      </c>
      <c r="B1349" s="1">
        <v>45885</v>
      </c>
      <c r="C1349" t="s">
        <v>90</v>
      </c>
      <c r="D1349" t="s">
        <v>57</v>
      </c>
      <c r="E1349" t="s">
        <v>127</v>
      </c>
      <c r="F1349" t="s">
        <v>59</v>
      </c>
      <c r="G1349" t="s">
        <v>76</v>
      </c>
      <c r="H1349" t="s">
        <v>53</v>
      </c>
      <c r="I1349" t="s">
        <v>48</v>
      </c>
      <c r="J1349" s="1">
        <v>46181</v>
      </c>
      <c r="K1349" s="1"/>
      <c r="L1349" s="3">
        <v>34500</v>
      </c>
      <c r="M1349" s="4">
        <v>0.03</v>
      </c>
      <c r="N1349" s="4">
        <v>0.85</v>
      </c>
      <c r="P1349">
        <v>5</v>
      </c>
      <c r="Q1349" t="str">
        <f>IFERROR(VLOOKUP(E1349,Lookups!$A$5:$B$24,2,FALSE),"Other")</f>
        <v>Paid Search</v>
      </c>
      <c r="R1349" t="str">
        <f>IFERROR(VLOOKUP(F1349,Lookups!$D$5:$F$10,2,FALSE),"Unknown Product")</f>
        <v>NexaCRM Pro</v>
      </c>
      <c r="S1349" t="str">
        <f>IFERROR(VLOOKUP(F1349,Lookups!$D$5:$F$10,3,FALSE),"Unknown")</f>
        <v>CRM</v>
      </c>
      <c r="T1349" t="str">
        <f t="shared" si="231"/>
        <v>Mid-Market</v>
      </c>
      <c r="U1349" t="str">
        <f t="shared" si="232"/>
        <v>Open</v>
      </c>
      <c r="V1349" s="3">
        <f t="shared" si="233"/>
        <v>0</v>
      </c>
      <c r="W1349" s="3">
        <f t="shared" si="234"/>
        <v>29325</v>
      </c>
      <c r="X1349" s="5" t="str">
        <f t="shared" si="235"/>
        <v/>
      </c>
      <c r="Y1349" s="5">
        <f>IF(U1349="Open",Lookups!$B$2-B1349,X1349)</f>
        <v>381</v>
      </c>
      <c r="Z1349" t="str">
        <f t="shared" si="236"/>
        <v>STALE</v>
      </c>
      <c r="AA1349" t="str">
        <f t="shared" si="237"/>
        <v>2025-08</v>
      </c>
      <c r="AB1349" t="str">
        <f t="shared" si="238"/>
        <v/>
      </c>
      <c r="AC1349" t="str">
        <f t="shared" si="239"/>
        <v>Q3-2025</v>
      </c>
      <c r="AD1349" s="5">
        <f t="shared" si="240"/>
        <v>59</v>
      </c>
      <c r="AE1349" t="str">
        <f t="shared" si="241"/>
        <v>Commit</v>
      </c>
    </row>
    <row r="1350" spans="1:31">
      <c r="A1350" t="s">
        <v>1452</v>
      </c>
      <c r="B1350" s="1">
        <v>46025</v>
      </c>
      <c r="C1350" t="s">
        <v>56</v>
      </c>
      <c r="D1350" t="s">
        <v>57</v>
      </c>
      <c r="E1350" t="s">
        <v>138</v>
      </c>
      <c r="F1350" t="s">
        <v>52</v>
      </c>
      <c r="G1350" t="s">
        <v>72</v>
      </c>
      <c r="H1350" t="s">
        <v>53</v>
      </c>
      <c r="I1350" t="s">
        <v>61</v>
      </c>
      <c r="J1350" s="1">
        <v>46061</v>
      </c>
      <c r="K1350" s="1">
        <v>46061</v>
      </c>
      <c r="L1350" s="3">
        <v>15600</v>
      </c>
      <c r="M1350" s="4">
        <v>0</v>
      </c>
      <c r="N1350" s="4">
        <v>0</v>
      </c>
      <c r="O1350" t="s">
        <v>102</v>
      </c>
      <c r="P1350">
        <v>3</v>
      </c>
      <c r="Q1350" t="str">
        <f>IFERROR(VLOOKUP(E1350,Lookups!$A$5:$B$24,2,FALSE),"Other")</f>
        <v>Organic Search</v>
      </c>
      <c r="R1350" t="str">
        <f>IFERROR(VLOOKUP(F1350,Lookups!$D$5:$F$10,2,FALSE),"Unknown Product")</f>
        <v>NexaCRM Core</v>
      </c>
      <c r="S1350" t="str">
        <f>IFERROR(VLOOKUP(F1350,Lookups!$D$5:$F$10,3,FALSE),"Unknown")</f>
        <v>CRM</v>
      </c>
      <c r="T1350" t="str">
        <f t="shared" si="231"/>
        <v>SMB</v>
      </c>
      <c r="U1350" t="str">
        <f t="shared" si="232"/>
        <v>Lost</v>
      </c>
      <c r="V1350" s="3">
        <f t="shared" si="233"/>
        <v>0</v>
      </c>
      <c r="W1350" s="3">
        <f t="shared" si="234"/>
        <v>0</v>
      </c>
      <c r="X1350" s="5">
        <f t="shared" si="235"/>
        <v>36</v>
      </c>
      <c r="Y1350" s="5">
        <f>IF(U1350="Open",Lookups!$B$2-B1350,X1350)</f>
        <v>36</v>
      </c>
      <c r="Z1350" t="str">
        <f t="shared" si="236"/>
        <v>OK</v>
      </c>
      <c r="AA1350" t="str">
        <f t="shared" si="237"/>
        <v>2026-01</v>
      </c>
      <c r="AB1350" t="str">
        <f t="shared" si="238"/>
        <v>2026-02</v>
      </c>
      <c r="AC1350" t="str">
        <f t="shared" si="239"/>
        <v>Q1-2026</v>
      </c>
      <c r="AD1350" s="5">
        <f t="shared" si="240"/>
        <v>57</v>
      </c>
      <c r="AE1350" t="str">
        <f t="shared" si="241"/>
        <v>Lost</v>
      </c>
    </row>
    <row r="1351" spans="1:31">
      <c r="A1351" t="s">
        <v>1453</v>
      </c>
      <c r="B1351" s="1">
        <v>45916</v>
      </c>
      <c r="C1351" t="s">
        <v>69</v>
      </c>
      <c r="D1351" t="s">
        <v>57</v>
      </c>
      <c r="E1351" t="s">
        <v>127</v>
      </c>
      <c r="F1351" t="s">
        <v>52</v>
      </c>
      <c r="G1351" t="s">
        <v>94</v>
      </c>
      <c r="H1351" t="s">
        <v>47</v>
      </c>
      <c r="I1351" t="s">
        <v>61</v>
      </c>
      <c r="J1351" s="1">
        <v>45943</v>
      </c>
      <c r="K1351" s="1">
        <v>45943</v>
      </c>
      <c r="L1351" s="3">
        <v>8100</v>
      </c>
      <c r="M1351" s="4">
        <v>0</v>
      </c>
      <c r="N1351" s="4">
        <v>0</v>
      </c>
      <c r="O1351" t="s">
        <v>62</v>
      </c>
      <c r="P1351">
        <v>3</v>
      </c>
      <c r="Q1351" t="str">
        <f>IFERROR(VLOOKUP(E1351,Lookups!$A$5:$B$24,2,FALSE),"Other")</f>
        <v>Paid Search</v>
      </c>
      <c r="R1351" t="str">
        <f>IFERROR(VLOOKUP(F1351,Lookups!$D$5:$F$10,2,FALSE),"Unknown Product")</f>
        <v>NexaCRM Core</v>
      </c>
      <c r="S1351" t="str">
        <f>IFERROR(VLOOKUP(F1351,Lookups!$D$5:$F$10,3,FALSE),"Unknown")</f>
        <v>CRM</v>
      </c>
      <c r="T1351" t="str">
        <f t="shared" si="231"/>
        <v>SMB</v>
      </c>
      <c r="U1351" t="str">
        <f t="shared" si="232"/>
        <v>Lost</v>
      </c>
      <c r="V1351" s="3">
        <f t="shared" si="233"/>
        <v>0</v>
      </c>
      <c r="W1351" s="3">
        <f t="shared" si="234"/>
        <v>0</v>
      </c>
      <c r="X1351" s="5">
        <f t="shared" si="235"/>
        <v>27</v>
      </c>
      <c r="Y1351" s="5">
        <f>IF(U1351="Open",Lookups!$B$2-B1351,X1351)</f>
        <v>27</v>
      </c>
      <c r="Z1351" t="str">
        <f t="shared" si="236"/>
        <v>OK</v>
      </c>
      <c r="AA1351" t="str">
        <f t="shared" si="237"/>
        <v>2025-09</v>
      </c>
      <c r="AB1351" t="str">
        <f t="shared" si="238"/>
        <v>2025-10</v>
      </c>
      <c r="AC1351" t="str">
        <f t="shared" si="239"/>
        <v>Q3-2025</v>
      </c>
      <c r="AD1351" s="5">
        <f t="shared" si="240"/>
        <v>43</v>
      </c>
      <c r="AE1351" t="str">
        <f t="shared" si="241"/>
        <v>Lost</v>
      </c>
    </row>
    <row r="1352" spans="1:31">
      <c r="A1352" t="s">
        <v>1454</v>
      </c>
      <c r="B1352" s="1">
        <v>45925</v>
      </c>
      <c r="C1352" t="s">
        <v>148</v>
      </c>
      <c r="D1352" t="s">
        <v>43</v>
      </c>
      <c r="E1352" t="s">
        <v>107</v>
      </c>
      <c r="F1352" t="s">
        <v>71</v>
      </c>
      <c r="G1352" t="s">
        <v>94</v>
      </c>
      <c r="H1352" t="s">
        <v>47</v>
      </c>
      <c r="I1352" t="s">
        <v>61</v>
      </c>
      <c r="J1352" s="1">
        <v>45984</v>
      </c>
      <c r="K1352" s="1">
        <v>45984</v>
      </c>
      <c r="L1352" s="3">
        <v>18400</v>
      </c>
      <c r="M1352" s="4">
        <v>0</v>
      </c>
      <c r="N1352" s="4">
        <v>0</v>
      </c>
      <c r="O1352" t="s">
        <v>79</v>
      </c>
      <c r="P1352">
        <v>5</v>
      </c>
      <c r="Q1352" t="str">
        <f>IFERROR(VLOOKUP(E1352,Lookups!$A$5:$B$24,2,FALSE),"Other")</f>
        <v>Referral</v>
      </c>
      <c r="R1352" t="str">
        <f>IFERROR(VLOOKUP(F1352,Lookups!$D$5:$F$10,2,FALSE),"Unknown Product")</f>
        <v>Marketing Automation</v>
      </c>
      <c r="S1352" t="str">
        <f>IFERROR(VLOOKUP(F1352,Lookups!$D$5:$F$10,3,FALSE),"Unknown")</f>
        <v>Marketing</v>
      </c>
      <c r="T1352" t="str">
        <f t="shared" si="231"/>
        <v>SMB</v>
      </c>
      <c r="U1352" t="str">
        <f t="shared" si="232"/>
        <v>Lost</v>
      </c>
      <c r="V1352" s="3">
        <f t="shared" si="233"/>
        <v>0</v>
      </c>
      <c r="W1352" s="3">
        <f t="shared" si="234"/>
        <v>0</v>
      </c>
      <c r="X1352" s="5">
        <f t="shared" si="235"/>
        <v>59</v>
      </c>
      <c r="Y1352" s="5">
        <f>IF(U1352="Open",Lookups!$B$2-B1352,X1352)</f>
        <v>59</v>
      </c>
      <c r="Z1352" t="str">
        <f t="shared" si="236"/>
        <v>OK</v>
      </c>
      <c r="AA1352" t="str">
        <f t="shared" si="237"/>
        <v>2025-09</v>
      </c>
      <c r="AB1352" t="str">
        <f t="shared" si="238"/>
        <v>2025-11</v>
      </c>
      <c r="AC1352" t="str">
        <f t="shared" si="239"/>
        <v>Q3-2025</v>
      </c>
      <c r="AD1352" s="5">
        <f t="shared" si="240"/>
        <v>54</v>
      </c>
      <c r="AE1352" t="str">
        <f t="shared" si="241"/>
        <v>Lost</v>
      </c>
    </row>
    <row r="1353" spans="1:31">
      <c r="A1353" t="s">
        <v>1455</v>
      </c>
      <c r="B1353" s="1">
        <v>45808</v>
      </c>
      <c r="C1353" t="s">
        <v>69</v>
      </c>
      <c r="D1353" t="s">
        <v>57</v>
      </c>
      <c r="E1353" t="s">
        <v>160</v>
      </c>
      <c r="F1353" t="s">
        <v>71</v>
      </c>
      <c r="G1353" t="s">
        <v>72</v>
      </c>
      <c r="H1353" t="s">
        <v>53</v>
      </c>
      <c r="I1353" t="s">
        <v>77</v>
      </c>
      <c r="J1353" s="1">
        <v>45822</v>
      </c>
      <c r="K1353" s="1">
        <v>45822</v>
      </c>
      <c r="L1353" s="3">
        <v>34200</v>
      </c>
      <c r="M1353" s="4">
        <v>0.03</v>
      </c>
      <c r="N1353" s="4">
        <v>1</v>
      </c>
      <c r="P1353">
        <v>6</v>
      </c>
      <c r="Q1353" t="str">
        <f>IFERROR(VLOOKUP(E1353,Lookups!$A$5:$B$24,2,FALSE),"Other")</f>
        <v>Email</v>
      </c>
      <c r="R1353" t="str">
        <f>IFERROR(VLOOKUP(F1353,Lookups!$D$5:$F$10,2,FALSE),"Unknown Product")</f>
        <v>Marketing Automation</v>
      </c>
      <c r="S1353" t="str">
        <f>IFERROR(VLOOKUP(F1353,Lookups!$D$5:$F$10,3,FALSE),"Unknown")</f>
        <v>Marketing</v>
      </c>
      <c r="T1353" t="str">
        <f t="shared" si="231"/>
        <v>Mid-Market</v>
      </c>
      <c r="U1353" t="str">
        <f t="shared" si="232"/>
        <v>Won</v>
      </c>
      <c r="V1353" s="3">
        <f t="shared" si="233"/>
        <v>33174</v>
      </c>
      <c r="W1353" s="3">
        <f t="shared" si="234"/>
        <v>0</v>
      </c>
      <c r="X1353" s="5">
        <f t="shared" si="235"/>
        <v>14</v>
      </c>
      <c r="Y1353" s="5">
        <f>IF(U1353="Open",Lookups!$B$2-B1353,X1353)</f>
        <v>14</v>
      </c>
      <c r="Z1353" t="str">
        <f t="shared" si="236"/>
        <v>OK</v>
      </c>
      <c r="AA1353" t="str">
        <f t="shared" si="237"/>
        <v>2025-05</v>
      </c>
      <c r="AB1353" t="str">
        <f t="shared" si="238"/>
        <v>2025-06</v>
      </c>
      <c r="AC1353" t="str">
        <f t="shared" si="239"/>
        <v>Q2-2025</v>
      </c>
      <c r="AD1353" s="5">
        <f t="shared" si="240"/>
        <v>63</v>
      </c>
      <c r="AE1353" t="str">
        <f t="shared" si="241"/>
        <v>Won</v>
      </c>
    </row>
    <row r="1354" spans="1:31">
      <c r="A1354" t="s">
        <v>1456</v>
      </c>
      <c r="B1354" s="1">
        <v>46215</v>
      </c>
      <c r="C1354" t="s">
        <v>64</v>
      </c>
      <c r="D1354" t="s">
        <v>57</v>
      </c>
      <c r="E1354" t="s">
        <v>127</v>
      </c>
      <c r="F1354" t="s">
        <v>71</v>
      </c>
      <c r="G1354" t="s">
        <v>94</v>
      </c>
      <c r="H1354" t="s">
        <v>47</v>
      </c>
      <c r="I1354" t="s">
        <v>61</v>
      </c>
      <c r="J1354" s="1">
        <v>46240</v>
      </c>
      <c r="K1354" s="1">
        <v>46240</v>
      </c>
      <c r="L1354" s="3">
        <v>11400</v>
      </c>
      <c r="M1354" s="4">
        <v>0</v>
      </c>
      <c r="N1354" s="4">
        <v>0</v>
      </c>
      <c r="O1354" t="s">
        <v>102</v>
      </c>
      <c r="P1354">
        <v>5</v>
      </c>
      <c r="Q1354" t="str">
        <f>IFERROR(VLOOKUP(E1354,Lookups!$A$5:$B$24,2,FALSE),"Other")</f>
        <v>Paid Search</v>
      </c>
      <c r="R1354" t="str">
        <f>IFERROR(VLOOKUP(F1354,Lookups!$D$5:$F$10,2,FALSE),"Unknown Product")</f>
        <v>Marketing Automation</v>
      </c>
      <c r="S1354" t="str">
        <f>IFERROR(VLOOKUP(F1354,Lookups!$D$5:$F$10,3,FALSE),"Unknown")</f>
        <v>Marketing</v>
      </c>
      <c r="T1354" t="str">
        <f t="shared" si="231"/>
        <v>SMB</v>
      </c>
      <c r="U1354" t="str">
        <f t="shared" si="232"/>
        <v>Lost</v>
      </c>
      <c r="V1354" s="3">
        <f t="shared" si="233"/>
        <v>0</v>
      </c>
      <c r="W1354" s="3">
        <f t="shared" si="234"/>
        <v>0</v>
      </c>
      <c r="X1354" s="5">
        <f t="shared" si="235"/>
        <v>25</v>
      </c>
      <c r="Y1354" s="5">
        <f>IF(U1354="Open",Lookups!$B$2-B1354,X1354)</f>
        <v>25</v>
      </c>
      <c r="Z1354" t="str">
        <f t="shared" si="236"/>
        <v>OK</v>
      </c>
      <c r="AA1354" t="str">
        <f t="shared" si="237"/>
        <v>2026-07</v>
      </c>
      <c r="AB1354" t="str">
        <f t="shared" si="238"/>
        <v>2026-08</v>
      </c>
      <c r="AC1354" t="str">
        <f t="shared" si="239"/>
        <v>Q3-2026</v>
      </c>
      <c r="AD1354" s="5">
        <f t="shared" si="240"/>
        <v>43</v>
      </c>
      <c r="AE1354" t="str">
        <f t="shared" si="241"/>
        <v>Lost</v>
      </c>
    </row>
    <row r="1355" spans="1:31">
      <c r="A1355" t="s">
        <v>1457</v>
      </c>
      <c r="B1355" s="1">
        <v>46261</v>
      </c>
      <c r="C1355" t="s">
        <v>90</v>
      </c>
      <c r="D1355" t="s">
        <v>57</v>
      </c>
      <c r="E1355" t="s">
        <v>138</v>
      </c>
      <c r="F1355" t="s">
        <v>59</v>
      </c>
      <c r="G1355" t="s">
        <v>99</v>
      </c>
      <c r="H1355" t="s">
        <v>53</v>
      </c>
      <c r="I1355" t="s">
        <v>187</v>
      </c>
      <c r="J1355" s="1">
        <v>46264</v>
      </c>
      <c r="K1355" s="1"/>
      <c r="L1355" s="3">
        <v>40600</v>
      </c>
      <c r="M1355" s="4">
        <v>0.03</v>
      </c>
      <c r="N1355" s="4">
        <v>0.05</v>
      </c>
      <c r="P1355">
        <v>1</v>
      </c>
      <c r="Q1355" t="str">
        <f>IFERROR(VLOOKUP(E1355,Lookups!$A$5:$B$24,2,FALSE),"Other")</f>
        <v>Organic Search</v>
      </c>
      <c r="R1355" t="str">
        <f>IFERROR(VLOOKUP(F1355,Lookups!$D$5:$F$10,2,FALSE),"Unknown Product")</f>
        <v>NexaCRM Pro</v>
      </c>
      <c r="S1355" t="str">
        <f>IFERROR(VLOOKUP(F1355,Lookups!$D$5:$F$10,3,FALSE),"Unknown")</f>
        <v>CRM</v>
      </c>
      <c r="T1355" t="str">
        <f t="shared" si="231"/>
        <v>Mid-Market</v>
      </c>
      <c r="U1355" t="str">
        <f t="shared" si="232"/>
        <v>Open</v>
      </c>
      <c r="V1355" s="3">
        <f t="shared" si="233"/>
        <v>0</v>
      </c>
      <c r="W1355" s="3">
        <f t="shared" si="234"/>
        <v>2030</v>
      </c>
      <c r="X1355" s="5" t="str">
        <f t="shared" si="235"/>
        <v/>
      </c>
      <c r="Y1355" s="5">
        <f>IF(U1355="Open",Lookups!$B$2-B1355,X1355)</f>
        <v>5</v>
      </c>
      <c r="Z1355" t="str">
        <f t="shared" si="236"/>
        <v>OK</v>
      </c>
      <c r="AA1355" t="str">
        <f t="shared" si="237"/>
        <v>2026-08</v>
      </c>
      <c r="AB1355" t="str">
        <f t="shared" si="238"/>
        <v/>
      </c>
      <c r="AC1355" t="str">
        <f t="shared" si="239"/>
        <v>Q3-2026</v>
      </c>
      <c r="AD1355" s="5">
        <f t="shared" si="240"/>
        <v>65</v>
      </c>
      <c r="AE1355" t="str">
        <f t="shared" si="241"/>
        <v>Pipeline</v>
      </c>
    </row>
    <row r="1356" spans="1:31">
      <c r="A1356" t="s">
        <v>1458</v>
      </c>
      <c r="B1356" s="1">
        <v>46209</v>
      </c>
      <c r="C1356" t="s">
        <v>50</v>
      </c>
      <c r="D1356" t="s">
        <v>43</v>
      </c>
      <c r="E1356" t="s">
        <v>115</v>
      </c>
      <c r="F1356" t="s">
        <v>59</v>
      </c>
      <c r="G1356" t="s">
        <v>60</v>
      </c>
      <c r="H1356" t="s">
        <v>47</v>
      </c>
      <c r="I1356" t="s">
        <v>61</v>
      </c>
      <c r="J1356" s="1">
        <v>46250</v>
      </c>
      <c r="K1356" s="1">
        <v>46250</v>
      </c>
      <c r="L1356" s="3">
        <v>17000</v>
      </c>
      <c r="M1356" s="4">
        <v>0</v>
      </c>
      <c r="N1356" s="4">
        <v>0</v>
      </c>
      <c r="O1356" t="s">
        <v>102</v>
      </c>
      <c r="P1356">
        <v>4</v>
      </c>
      <c r="Q1356" t="str">
        <f>IFERROR(VLOOKUP(E1356,Lookups!$A$5:$B$24,2,FALSE),"Other")</f>
        <v>Outbound</v>
      </c>
      <c r="R1356" t="str">
        <f>IFERROR(VLOOKUP(F1356,Lookups!$D$5:$F$10,2,FALSE),"Unknown Product")</f>
        <v>NexaCRM Pro</v>
      </c>
      <c r="S1356" t="str">
        <f>IFERROR(VLOOKUP(F1356,Lookups!$D$5:$F$10,3,FALSE),"Unknown")</f>
        <v>CRM</v>
      </c>
      <c r="T1356" t="str">
        <f t="shared" si="231"/>
        <v>SMB</v>
      </c>
      <c r="U1356" t="str">
        <f t="shared" si="232"/>
        <v>Lost</v>
      </c>
      <c r="V1356" s="3">
        <f t="shared" si="233"/>
        <v>0</v>
      </c>
      <c r="W1356" s="3">
        <f t="shared" si="234"/>
        <v>0</v>
      </c>
      <c r="X1356" s="5">
        <f t="shared" si="235"/>
        <v>41</v>
      </c>
      <c r="Y1356" s="5">
        <f>IF(U1356="Open",Lookups!$B$2-B1356,X1356)</f>
        <v>41</v>
      </c>
      <c r="Z1356" t="str">
        <f t="shared" si="236"/>
        <v>OK</v>
      </c>
      <c r="AA1356" t="str">
        <f t="shared" si="237"/>
        <v>2026-07</v>
      </c>
      <c r="AB1356" t="str">
        <f t="shared" si="238"/>
        <v>2026-08</v>
      </c>
      <c r="AC1356" t="str">
        <f t="shared" si="239"/>
        <v>Q3-2026</v>
      </c>
      <c r="AD1356" s="5">
        <f t="shared" si="240"/>
        <v>43</v>
      </c>
      <c r="AE1356" t="str">
        <f t="shared" si="241"/>
        <v>Lost</v>
      </c>
    </row>
    <row r="1357" spans="1:31">
      <c r="A1357" t="s">
        <v>1459</v>
      </c>
      <c r="B1357" s="1">
        <v>45674</v>
      </c>
      <c r="C1357" t="s">
        <v>148</v>
      </c>
      <c r="D1357" t="s">
        <v>43</v>
      </c>
      <c r="E1357" t="s">
        <v>115</v>
      </c>
      <c r="F1357" t="s">
        <v>133</v>
      </c>
      <c r="G1357" t="s">
        <v>76</v>
      </c>
      <c r="H1357" t="s">
        <v>47</v>
      </c>
      <c r="I1357" t="s">
        <v>48</v>
      </c>
      <c r="J1357" s="1">
        <v>46073</v>
      </c>
      <c r="K1357" s="1"/>
      <c r="L1357" s="3">
        <v>15300</v>
      </c>
      <c r="M1357" s="4">
        <v>0</v>
      </c>
      <c r="N1357" s="4">
        <v>0.85</v>
      </c>
      <c r="P1357">
        <v>5</v>
      </c>
      <c r="Q1357" t="str">
        <f>IFERROR(VLOOKUP(E1357,Lookups!$A$5:$B$24,2,FALSE),"Other")</f>
        <v>Outbound</v>
      </c>
      <c r="R1357" t="str">
        <f>IFERROR(VLOOKUP(F1357,Lookups!$D$5:$F$10,2,FALSE),"Unknown Product")</f>
        <v>Analytics Plus</v>
      </c>
      <c r="S1357" t="str">
        <f>IFERROR(VLOOKUP(F1357,Lookups!$D$5:$F$10,3,FALSE),"Unknown")</f>
        <v>Analytics</v>
      </c>
      <c r="T1357" t="str">
        <f t="shared" si="231"/>
        <v>SMB</v>
      </c>
      <c r="U1357" t="str">
        <f t="shared" si="232"/>
        <v>Open</v>
      </c>
      <c r="V1357" s="3">
        <f t="shared" si="233"/>
        <v>0</v>
      </c>
      <c r="W1357" s="3">
        <f t="shared" si="234"/>
        <v>13005</v>
      </c>
      <c r="X1357" s="5" t="str">
        <f t="shared" si="235"/>
        <v/>
      </c>
      <c r="Y1357" s="5">
        <f>IF(U1357="Open",Lookups!$B$2-B1357,X1357)</f>
        <v>592</v>
      </c>
      <c r="Z1357" t="str">
        <f t="shared" si="236"/>
        <v>STALE</v>
      </c>
      <c r="AA1357" t="str">
        <f t="shared" si="237"/>
        <v>2025-01</v>
      </c>
      <c r="AB1357" t="str">
        <f t="shared" si="238"/>
        <v/>
      </c>
      <c r="AC1357" t="str">
        <f t="shared" si="239"/>
        <v>Q1-2025</v>
      </c>
      <c r="AD1357" s="5">
        <f t="shared" si="240"/>
        <v>43</v>
      </c>
      <c r="AE1357" t="str">
        <f t="shared" si="241"/>
        <v>Commit</v>
      </c>
    </row>
    <row r="1358" spans="1:31">
      <c r="A1358" t="s">
        <v>1460</v>
      </c>
      <c r="B1358" s="1">
        <v>45784</v>
      </c>
      <c r="C1358" t="s">
        <v>56</v>
      </c>
      <c r="D1358" t="s">
        <v>57</v>
      </c>
      <c r="E1358" t="s">
        <v>44</v>
      </c>
      <c r="F1358" t="s">
        <v>71</v>
      </c>
      <c r="G1358" t="s">
        <v>112</v>
      </c>
      <c r="H1358" t="s">
        <v>84</v>
      </c>
      <c r="I1358" t="s">
        <v>61</v>
      </c>
      <c r="J1358" s="1">
        <v>45819</v>
      </c>
      <c r="K1358" s="1">
        <v>45819</v>
      </c>
      <c r="L1358" s="3">
        <v>38100</v>
      </c>
      <c r="M1358" s="4">
        <v>0</v>
      </c>
      <c r="N1358" s="4">
        <v>0</v>
      </c>
      <c r="O1358" t="s">
        <v>79</v>
      </c>
      <c r="P1358">
        <v>3</v>
      </c>
      <c r="Q1358" t="str">
        <f>IFERROR(VLOOKUP(E1358,Lookups!$A$5:$B$24,2,FALSE),"Other")</f>
        <v>Organic Search</v>
      </c>
      <c r="R1358" t="str">
        <f>IFERROR(VLOOKUP(F1358,Lookups!$D$5:$F$10,2,FALSE),"Unknown Product")</f>
        <v>Marketing Automation</v>
      </c>
      <c r="S1358" t="str">
        <f>IFERROR(VLOOKUP(F1358,Lookups!$D$5:$F$10,3,FALSE),"Unknown")</f>
        <v>Marketing</v>
      </c>
      <c r="T1358" t="str">
        <f t="shared" si="231"/>
        <v>Mid-Market</v>
      </c>
      <c r="U1358" t="str">
        <f t="shared" si="232"/>
        <v>Lost</v>
      </c>
      <c r="V1358" s="3">
        <f t="shared" si="233"/>
        <v>0</v>
      </c>
      <c r="W1358" s="3">
        <f t="shared" si="234"/>
        <v>0</v>
      </c>
      <c r="X1358" s="5">
        <f t="shared" si="235"/>
        <v>35</v>
      </c>
      <c r="Y1358" s="5">
        <f>IF(U1358="Open",Lookups!$B$2-B1358,X1358)</f>
        <v>35</v>
      </c>
      <c r="Z1358" t="str">
        <f t="shared" si="236"/>
        <v>OK</v>
      </c>
      <c r="AA1358" t="str">
        <f t="shared" si="237"/>
        <v>2025-05</v>
      </c>
      <c r="AB1358" t="str">
        <f t="shared" si="238"/>
        <v>2025-06</v>
      </c>
      <c r="AC1358" t="str">
        <f t="shared" si="239"/>
        <v>Q2-2025</v>
      </c>
      <c r="AD1358" s="5">
        <f t="shared" si="240"/>
        <v>78</v>
      </c>
      <c r="AE1358" t="str">
        <f t="shared" si="241"/>
        <v>Lost</v>
      </c>
    </row>
    <row r="1359" spans="1:31">
      <c r="A1359" t="s">
        <v>1461</v>
      </c>
      <c r="B1359" s="1">
        <v>45934</v>
      </c>
      <c r="C1359" t="s">
        <v>69</v>
      </c>
      <c r="D1359" t="s">
        <v>57</v>
      </c>
      <c r="E1359" t="s">
        <v>92</v>
      </c>
      <c r="F1359" t="s">
        <v>45</v>
      </c>
      <c r="G1359" t="s">
        <v>112</v>
      </c>
      <c r="H1359" t="s">
        <v>84</v>
      </c>
      <c r="I1359" t="s">
        <v>77</v>
      </c>
      <c r="J1359" s="1">
        <v>46058</v>
      </c>
      <c r="K1359" s="1">
        <v>46058</v>
      </c>
      <c r="L1359" s="3">
        <v>42300</v>
      </c>
      <c r="M1359" s="4">
        <v>0.08</v>
      </c>
      <c r="N1359" s="4">
        <v>1</v>
      </c>
      <c r="P1359">
        <v>6</v>
      </c>
      <c r="Q1359" t="str">
        <f>IFERROR(VLOOKUP(E1359,Lookups!$A$5:$B$24,2,FALSE),"Other")</f>
        <v>Webinar</v>
      </c>
      <c r="R1359" t="str">
        <f>IFERROR(VLOOKUP(F1359,Lookups!$D$5:$F$10,2,FALSE),"Unknown Product")</f>
        <v>Service Cloud</v>
      </c>
      <c r="S1359" t="str">
        <f>IFERROR(VLOOKUP(F1359,Lookups!$D$5:$F$10,3,FALSE),"Unknown")</f>
        <v>Customer Service</v>
      </c>
      <c r="T1359" t="str">
        <f t="shared" si="231"/>
        <v>Mid-Market</v>
      </c>
      <c r="U1359" t="str">
        <f t="shared" si="232"/>
        <v>Won</v>
      </c>
      <c r="V1359" s="3">
        <f t="shared" si="233"/>
        <v>38916</v>
      </c>
      <c r="W1359" s="3">
        <f t="shared" si="234"/>
        <v>0</v>
      </c>
      <c r="X1359" s="5">
        <f t="shared" si="235"/>
        <v>124</v>
      </c>
      <c r="Y1359" s="5">
        <f>IF(U1359="Open",Lookups!$B$2-B1359,X1359)</f>
        <v>124</v>
      </c>
      <c r="Z1359" t="str">
        <f t="shared" si="236"/>
        <v>OK</v>
      </c>
      <c r="AA1359" t="str">
        <f t="shared" si="237"/>
        <v>2025-10</v>
      </c>
      <c r="AB1359" t="str">
        <f t="shared" si="238"/>
        <v>2026-02</v>
      </c>
      <c r="AC1359" t="str">
        <f t="shared" si="239"/>
        <v>Q4-2025</v>
      </c>
      <c r="AD1359" s="5">
        <f t="shared" si="240"/>
        <v>72</v>
      </c>
      <c r="AE1359" t="str">
        <f t="shared" si="241"/>
        <v>Won</v>
      </c>
    </row>
    <row r="1360" spans="1:31">
      <c r="A1360" t="s">
        <v>1462</v>
      </c>
      <c r="B1360" s="1">
        <v>46013</v>
      </c>
      <c r="C1360" t="s">
        <v>148</v>
      </c>
      <c r="D1360" t="s">
        <v>43</v>
      </c>
      <c r="E1360" t="s">
        <v>51</v>
      </c>
      <c r="F1360" t="s">
        <v>133</v>
      </c>
      <c r="G1360" t="s">
        <v>94</v>
      </c>
      <c r="H1360" t="s">
        <v>53</v>
      </c>
      <c r="I1360" t="s">
        <v>61</v>
      </c>
      <c r="J1360" s="1">
        <v>46024</v>
      </c>
      <c r="K1360" s="1">
        <v>46024</v>
      </c>
      <c r="L1360" s="3">
        <v>38400</v>
      </c>
      <c r="M1360" s="4">
        <v>0</v>
      </c>
      <c r="N1360" s="4">
        <v>0</v>
      </c>
      <c r="O1360" t="s">
        <v>79</v>
      </c>
      <c r="P1360">
        <v>3</v>
      </c>
      <c r="Q1360" t="str">
        <f>IFERROR(VLOOKUP(E1360,Lookups!$A$5:$B$24,2,FALSE),"Other")</f>
        <v>Paid Search</v>
      </c>
      <c r="R1360" t="str">
        <f>IFERROR(VLOOKUP(F1360,Lookups!$D$5:$F$10,2,FALSE),"Unknown Product")</f>
        <v>Analytics Plus</v>
      </c>
      <c r="S1360" t="str">
        <f>IFERROR(VLOOKUP(F1360,Lookups!$D$5:$F$10,3,FALSE),"Unknown")</f>
        <v>Analytics</v>
      </c>
      <c r="T1360" t="str">
        <f t="shared" si="231"/>
        <v>Mid-Market</v>
      </c>
      <c r="U1360" t="str">
        <f t="shared" si="232"/>
        <v>Lost</v>
      </c>
      <c r="V1360" s="3">
        <f t="shared" si="233"/>
        <v>0</v>
      </c>
      <c r="W1360" s="3">
        <f t="shared" si="234"/>
        <v>0</v>
      </c>
      <c r="X1360" s="5">
        <f t="shared" si="235"/>
        <v>11</v>
      </c>
      <c r="Y1360" s="5">
        <f>IF(U1360="Open",Lookups!$B$2-B1360,X1360)</f>
        <v>11</v>
      </c>
      <c r="Z1360" t="str">
        <f t="shared" si="236"/>
        <v>OK</v>
      </c>
      <c r="AA1360" t="str">
        <f t="shared" si="237"/>
        <v>2025-12</v>
      </c>
      <c r="AB1360" t="str">
        <f t="shared" si="238"/>
        <v>2026-01</v>
      </c>
      <c r="AC1360" t="str">
        <f t="shared" si="239"/>
        <v>Q4-2025</v>
      </c>
      <c r="AD1360" s="5">
        <f t="shared" si="240"/>
        <v>59</v>
      </c>
      <c r="AE1360" t="str">
        <f t="shared" si="241"/>
        <v>Lost</v>
      </c>
    </row>
    <row r="1361" spans="1:31">
      <c r="A1361" t="s">
        <v>1463</v>
      </c>
      <c r="B1361" s="1">
        <v>45691</v>
      </c>
      <c r="C1361" t="s">
        <v>148</v>
      </c>
      <c r="D1361" t="s">
        <v>43</v>
      </c>
      <c r="E1361" t="s">
        <v>98</v>
      </c>
      <c r="F1361" t="s">
        <v>45</v>
      </c>
      <c r="G1361" t="s">
        <v>60</v>
      </c>
      <c r="H1361" t="s">
        <v>53</v>
      </c>
      <c r="I1361" t="s">
        <v>77</v>
      </c>
      <c r="J1361" s="1">
        <v>45735</v>
      </c>
      <c r="K1361" s="1">
        <v>45735</v>
      </c>
      <c r="L1361" s="3">
        <v>40500</v>
      </c>
      <c r="M1361" s="4">
        <v>0.12</v>
      </c>
      <c r="N1361" s="4">
        <v>1</v>
      </c>
      <c r="P1361">
        <v>6</v>
      </c>
      <c r="Q1361" t="str">
        <f>IFERROR(VLOOKUP(E1361,Lookups!$A$5:$B$24,2,FALSE),"Other")</f>
        <v>Outbound</v>
      </c>
      <c r="R1361" t="str">
        <f>IFERROR(VLOOKUP(F1361,Lookups!$D$5:$F$10,2,FALSE),"Unknown Product")</f>
        <v>Service Cloud</v>
      </c>
      <c r="S1361" t="str">
        <f>IFERROR(VLOOKUP(F1361,Lookups!$D$5:$F$10,3,FALSE),"Unknown")</f>
        <v>Customer Service</v>
      </c>
      <c r="T1361" t="str">
        <f t="shared" si="231"/>
        <v>Mid-Market</v>
      </c>
      <c r="U1361" t="str">
        <f t="shared" si="232"/>
        <v>Won</v>
      </c>
      <c r="V1361" s="3">
        <f t="shared" si="233"/>
        <v>35640</v>
      </c>
      <c r="W1361" s="3">
        <f t="shared" si="234"/>
        <v>0</v>
      </c>
      <c r="X1361" s="5">
        <f t="shared" si="235"/>
        <v>44</v>
      </c>
      <c r="Y1361" s="5">
        <f>IF(U1361="Open",Lookups!$B$2-B1361,X1361)</f>
        <v>44</v>
      </c>
      <c r="Z1361" t="str">
        <f t="shared" si="236"/>
        <v>OK</v>
      </c>
      <c r="AA1361" t="str">
        <f t="shared" si="237"/>
        <v>2025-02</v>
      </c>
      <c r="AB1361" t="str">
        <f t="shared" si="238"/>
        <v>2025-03</v>
      </c>
      <c r="AC1361" t="str">
        <f t="shared" si="239"/>
        <v>Q1-2025</v>
      </c>
      <c r="AD1361" s="5">
        <f t="shared" si="240"/>
        <v>59</v>
      </c>
      <c r="AE1361" t="str">
        <f t="shared" si="241"/>
        <v>Won</v>
      </c>
    </row>
    <row r="1362" spans="1:31">
      <c r="A1362" t="s">
        <v>1464</v>
      </c>
      <c r="B1362" s="1">
        <v>45839</v>
      </c>
      <c r="C1362" t="s">
        <v>64</v>
      </c>
      <c r="D1362" t="s">
        <v>57</v>
      </c>
      <c r="E1362" t="s">
        <v>70</v>
      </c>
      <c r="F1362" t="s">
        <v>52</v>
      </c>
      <c r="G1362" t="s">
        <v>72</v>
      </c>
      <c r="H1362" t="s">
        <v>47</v>
      </c>
      <c r="I1362" t="s">
        <v>61</v>
      </c>
      <c r="J1362" s="1">
        <v>45849</v>
      </c>
      <c r="K1362" s="1">
        <v>45849</v>
      </c>
      <c r="L1362" s="3">
        <v>5000</v>
      </c>
      <c r="M1362" s="4">
        <v>0</v>
      </c>
      <c r="N1362" s="4">
        <v>0</v>
      </c>
      <c r="O1362" t="s">
        <v>102</v>
      </c>
      <c r="P1362">
        <v>3</v>
      </c>
      <c r="Q1362" t="str">
        <f>IFERROR(VLOOKUP(E1362,Lookups!$A$5:$B$24,2,FALSE),"Other")</f>
        <v>LinkedIn</v>
      </c>
      <c r="R1362" t="str">
        <f>IFERROR(VLOOKUP(F1362,Lookups!$D$5:$F$10,2,FALSE),"Unknown Product")</f>
        <v>NexaCRM Core</v>
      </c>
      <c r="S1362" t="str">
        <f>IFERROR(VLOOKUP(F1362,Lookups!$D$5:$F$10,3,FALSE),"Unknown")</f>
        <v>CRM</v>
      </c>
      <c r="T1362" t="str">
        <f t="shared" si="231"/>
        <v>SMB</v>
      </c>
      <c r="U1362" t="str">
        <f t="shared" si="232"/>
        <v>Lost</v>
      </c>
      <c r="V1362" s="3">
        <f t="shared" si="233"/>
        <v>0</v>
      </c>
      <c r="W1362" s="3">
        <f t="shared" si="234"/>
        <v>0</v>
      </c>
      <c r="X1362" s="5">
        <f t="shared" si="235"/>
        <v>10</v>
      </c>
      <c r="Y1362" s="5">
        <f>IF(U1362="Open",Lookups!$B$2-B1362,X1362)</f>
        <v>10</v>
      </c>
      <c r="Z1362" t="str">
        <f t="shared" si="236"/>
        <v>OK</v>
      </c>
      <c r="AA1362" t="str">
        <f t="shared" si="237"/>
        <v>2025-07</v>
      </c>
      <c r="AB1362" t="str">
        <f t="shared" si="238"/>
        <v>2025-07</v>
      </c>
      <c r="AC1362" t="str">
        <f t="shared" si="239"/>
        <v>Q3-2025</v>
      </c>
      <c r="AD1362" s="5">
        <f t="shared" si="240"/>
        <v>43</v>
      </c>
      <c r="AE1362" t="str">
        <f t="shared" si="241"/>
        <v>Lost</v>
      </c>
    </row>
    <row r="1363" spans="1:31">
      <c r="A1363" t="s">
        <v>1465</v>
      </c>
      <c r="B1363" s="1">
        <v>46129</v>
      </c>
      <c r="C1363" t="s">
        <v>56</v>
      </c>
      <c r="D1363" t="s">
        <v>57</v>
      </c>
      <c r="E1363" t="s">
        <v>65</v>
      </c>
      <c r="F1363" t="s">
        <v>133</v>
      </c>
      <c r="G1363" t="s">
        <v>99</v>
      </c>
      <c r="H1363" t="s">
        <v>47</v>
      </c>
      <c r="I1363" t="s">
        <v>61</v>
      </c>
      <c r="J1363" s="1">
        <v>46187</v>
      </c>
      <c r="K1363" s="1">
        <v>46187</v>
      </c>
      <c r="L1363" s="3">
        <v>21100</v>
      </c>
      <c r="M1363" s="4">
        <v>0</v>
      </c>
      <c r="N1363" s="4">
        <v>0</v>
      </c>
      <c r="O1363" t="s">
        <v>79</v>
      </c>
      <c r="P1363">
        <v>5</v>
      </c>
      <c r="Q1363" t="str">
        <f>IFERROR(VLOOKUP(E1363,Lookups!$A$5:$B$24,2,FALSE),"Other")</f>
        <v>Paid Search</v>
      </c>
      <c r="R1363" t="str">
        <f>IFERROR(VLOOKUP(F1363,Lookups!$D$5:$F$10,2,FALSE),"Unknown Product")</f>
        <v>Analytics Plus</v>
      </c>
      <c r="S1363" t="str">
        <f>IFERROR(VLOOKUP(F1363,Lookups!$D$5:$F$10,3,FALSE),"Unknown")</f>
        <v>Analytics</v>
      </c>
      <c r="T1363" t="str">
        <f t="shared" si="231"/>
        <v>Mid-Market</v>
      </c>
      <c r="U1363" t="str">
        <f t="shared" si="232"/>
        <v>Lost</v>
      </c>
      <c r="V1363" s="3">
        <f t="shared" si="233"/>
        <v>0</v>
      </c>
      <c r="W1363" s="3">
        <f t="shared" si="234"/>
        <v>0</v>
      </c>
      <c r="X1363" s="5">
        <f t="shared" si="235"/>
        <v>58</v>
      </c>
      <c r="Y1363" s="5">
        <f>IF(U1363="Open",Lookups!$B$2-B1363,X1363)</f>
        <v>58</v>
      </c>
      <c r="Z1363" t="str">
        <f t="shared" si="236"/>
        <v>OK</v>
      </c>
      <c r="AA1363" t="str">
        <f t="shared" si="237"/>
        <v>2026-04</v>
      </c>
      <c r="AB1363" t="str">
        <f t="shared" si="238"/>
        <v>2026-06</v>
      </c>
      <c r="AC1363" t="str">
        <f t="shared" si="239"/>
        <v>Q2-2026</v>
      </c>
      <c r="AD1363" s="5">
        <f t="shared" si="240"/>
        <v>51</v>
      </c>
      <c r="AE1363" t="str">
        <f t="shared" si="241"/>
        <v>Lost</v>
      </c>
    </row>
    <row r="1364" spans="1:31">
      <c r="A1364" t="s">
        <v>1466</v>
      </c>
      <c r="B1364" s="1">
        <v>45820</v>
      </c>
      <c r="C1364" t="s">
        <v>69</v>
      </c>
      <c r="D1364" t="s">
        <v>57</v>
      </c>
      <c r="E1364" t="s">
        <v>92</v>
      </c>
      <c r="F1364" t="s">
        <v>133</v>
      </c>
      <c r="G1364" t="s">
        <v>94</v>
      </c>
      <c r="H1364" t="s">
        <v>53</v>
      </c>
      <c r="I1364" t="s">
        <v>77</v>
      </c>
      <c r="J1364" s="1">
        <v>45850</v>
      </c>
      <c r="K1364" s="1">
        <v>45850</v>
      </c>
      <c r="L1364" s="3">
        <v>41200</v>
      </c>
      <c r="M1364" s="4">
        <v>0</v>
      </c>
      <c r="N1364" s="4">
        <v>1</v>
      </c>
      <c r="P1364">
        <v>6</v>
      </c>
      <c r="Q1364" t="str">
        <f>IFERROR(VLOOKUP(E1364,Lookups!$A$5:$B$24,2,FALSE),"Other")</f>
        <v>Webinar</v>
      </c>
      <c r="R1364" t="str">
        <f>IFERROR(VLOOKUP(F1364,Lookups!$D$5:$F$10,2,FALSE),"Unknown Product")</f>
        <v>Analytics Plus</v>
      </c>
      <c r="S1364" t="str">
        <f>IFERROR(VLOOKUP(F1364,Lookups!$D$5:$F$10,3,FALSE),"Unknown")</f>
        <v>Analytics</v>
      </c>
      <c r="T1364" t="str">
        <f t="shared" si="231"/>
        <v>Mid-Market</v>
      </c>
      <c r="U1364" t="str">
        <f t="shared" si="232"/>
        <v>Won</v>
      </c>
      <c r="V1364" s="3">
        <f t="shared" si="233"/>
        <v>41200</v>
      </c>
      <c r="W1364" s="3">
        <f t="shared" si="234"/>
        <v>0</v>
      </c>
      <c r="X1364" s="5">
        <f t="shared" si="235"/>
        <v>30</v>
      </c>
      <c r="Y1364" s="5">
        <f>IF(U1364="Open",Lookups!$B$2-B1364,X1364)</f>
        <v>30</v>
      </c>
      <c r="Z1364" t="str">
        <f t="shared" si="236"/>
        <v>OK</v>
      </c>
      <c r="AA1364" t="str">
        <f t="shared" si="237"/>
        <v>2025-06</v>
      </c>
      <c r="AB1364" t="str">
        <f t="shared" si="238"/>
        <v>2025-07</v>
      </c>
      <c r="AC1364" t="str">
        <f t="shared" si="239"/>
        <v>Q2-2025</v>
      </c>
      <c r="AD1364" s="5">
        <f t="shared" si="240"/>
        <v>59</v>
      </c>
      <c r="AE1364" t="str">
        <f t="shared" si="241"/>
        <v>Won</v>
      </c>
    </row>
    <row r="1365" spans="1:31">
      <c r="A1365" t="s">
        <v>1467</v>
      </c>
      <c r="B1365" s="1">
        <v>46253</v>
      </c>
      <c r="C1365" t="s">
        <v>86</v>
      </c>
      <c r="D1365" t="s">
        <v>87</v>
      </c>
      <c r="E1365" t="s">
        <v>92</v>
      </c>
      <c r="F1365" t="s">
        <v>67</v>
      </c>
      <c r="G1365" t="s">
        <v>94</v>
      </c>
      <c r="H1365" t="s">
        <v>47</v>
      </c>
      <c r="I1365" t="s">
        <v>61</v>
      </c>
      <c r="J1365" s="1">
        <v>46266</v>
      </c>
      <c r="K1365" s="1">
        <v>46266</v>
      </c>
      <c r="L1365" s="3">
        <v>23000</v>
      </c>
      <c r="M1365" s="4">
        <v>0</v>
      </c>
      <c r="N1365" s="4">
        <v>0</v>
      </c>
      <c r="O1365" t="s">
        <v>62</v>
      </c>
      <c r="P1365">
        <v>3</v>
      </c>
      <c r="Q1365" t="str">
        <f>IFERROR(VLOOKUP(E1365,Lookups!$A$5:$B$24,2,FALSE),"Other")</f>
        <v>Webinar</v>
      </c>
      <c r="R1365" t="str">
        <f>IFERROR(VLOOKUP(F1365,Lookups!$D$5:$F$10,2,FALSE),"Unknown Product")</f>
        <v>Revenue Operations Suite</v>
      </c>
      <c r="S1365" t="str">
        <f>IFERROR(VLOOKUP(F1365,Lookups!$D$5:$F$10,3,FALSE),"Unknown")</f>
        <v>Revenue Ops</v>
      </c>
      <c r="T1365" t="str">
        <f t="shared" si="231"/>
        <v>Mid-Market</v>
      </c>
      <c r="U1365" t="str">
        <f t="shared" si="232"/>
        <v>Lost</v>
      </c>
      <c r="V1365" s="3">
        <f t="shared" si="233"/>
        <v>0</v>
      </c>
      <c r="W1365" s="3">
        <f t="shared" si="234"/>
        <v>0</v>
      </c>
      <c r="X1365" s="5">
        <f t="shared" si="235"/>
        <v>13</v>
      </c>
      <c r="Y1365" s="5">
        <f>IF(U1365="Open",Lookups!$B$2-B1365,X1365)</f>
        <v>13</v>
      </c>
      <c r="Z1365" t="str">
        <f t="shared" si="236"/>
        <v>OK</v>
      </c>
      <c r="AA1365" t="str">
        <f t="shared" si="237"/>
        <v>2026-08</v>
      </c>
      <c r="AB1365" t="str">
        <f t="shared" si="238"/>
        <v>2026-09</v>
      </c>
      <c r="AC1365" t="str">
        <f t="shared" si="239"/>
        <v>Q3-2026</v>
      </c>
      <c r="AD1365" s="5">
        <f t="shared" si="240"/>
        <v>51</v>
      </c>
      <c r="AE1365" t="str">
        <f t="shared" si="241"/>
        <v>Lost</v>
      </c>
    </row>
    <row r="1366" spans="1:31">
      <c r="A1366" t="s">
        <v>1468</v>
      </c>
      <c r="B1366" s="1">
        <v>45838</v>
      </c>
      <c r="C1366" t="s">
        <v>56</v>
      </c>
      <c r="D1366" t="s">
        <v>57</v>
      </c>
      <c r="E1366" t="s">
        <v>109</v>
      </c>
      <c r="F1366" t="s">
        <v>45</v>
      </c>
      <c r="G1366" t="s">
        <v>99</v>
      </c>
      <c r="H1366" t="s">
        <v>84</v>
      </c>
      <c r="I1366" t="s">
        <v>61</v>
      </c>
      <c r="J1366" s="1">
        <v>45870</v>
      </c>
      <c r="K1366" s="1">
        <v>45870</v>
      </c>
      <c r="L1366" s="3">
        <v>88600</v>
      </c>
      <c r="M1366" s="4">
        <v>0</v>
      </c>
      <c r="N1366" s="4">
        <v>0</v>
      </c>
      <c r="O1366" t="s">
        <v>81</v>
      </c>
      <c r="P1366">
        <v>5</v>
      </c>
      <c r="Q1366" t="str">
        <f>IFERROR(VLOOKUP(E1366,Lookups!$A$5:$B$24,2,FALSE),"Other")</f>
        <v>Outbound</v>
      </c>
      <c r="R1366" t="str">
        <f>IFERROR(VLOOKUP(F1366,Lookups!$D$5:$F$10,2,FALSE),"Unknown Product")</f>
        <v>Service Cloud</v>
      </c>
      <c r="S1366" t="str">
        <f>IFERROR(VLOOKUP(F1366,Lookups!$D$5:$F$10,3,FALSE),"Unknown")</f>
        <v>Customer Service</v>
      </c>
      <c r="T1366" t="str">
        <f t="shared" si="231"/>
        <v>Enterprise</v>
      </c>
      <c r="U1366" t="str">
        <f t="shared" si="232"/>
        <v>Lost</v>
      </c>
      <c r="V1366" s="3">
        <f t="shared" si="233"/>
        <v>0</v>
      </c>
      <c r="W1366" s="3">
        <f t="shared" si="234"/>
        <v>0</v>
      </c>
      <c r="X1366" s="5">
        <f t="shared" si="235"/>
        <v>32</v>
      </c>
      <c r="Y1366" s="5">
        <f>IF(U1366="Open",Lookups!$B$2-B1366,X1366)</f>
        <v>32</v>
      </c>
      <c r="Z1366" t="str">
        <f t="shared" si="236"/>
        <v>OK</v>
      </c>
      <c r="AA1366" t="str">
        <f t="shared" si="237"/>
        <v>2025-06</v>
      </c>
      <c r="AB1366" t="str">
        <f t="shared" si="238"/>
        <v>2025-08</v>
      </c>
      <c r="AC1366" t="str">
        <f t="shared" si="239"/>
        <v>Q2-2025</v>
      </c>
      <c r="AD1366" s="5">
        <f t="shared" si="240"/>
        <v>74</v>
      </c>
      <c r="AE1366" t="str">
        <f t="shared" si="241"/>
        <v>Lost</v>
      </c>
    </row>
    <row r="1367" spans="1:31">
      <c r="A1367" t="s">
        <v>1469</v>
      </c>
      <c r="B1367" s="1">
        <v>45745</v>
      </c>
      <c r="C1367" t="s">
        <v>148</v>
      </c>
      <c r="D1367" t="s">
        <v>43</v>
      </c>
      <c r="E1367" t="s">
        <v>119</v>
      </c>
      <c r="F1367" t="s">
        <v>67</v>
      </c>
      <c r="G1367" t="s">
        <v>60</v>
      </c>
      <c r="H1367" t="s">
        <v>47</v>
      </c>
      <c r="I1367" t="s">
        <v>48</v>
      </c>
      <c r="J1367" s="1">
        <v>46051</v>
      </c>
      <c r="K1367" s="1"/>
      <c r="L1367" s="3">
        <v>28500</v>
      </c>
      <c r="M1367" s="4">
        <v>0.03</v>
      </c>
      <c r="N1367" s="4">
        <v>0.85</v>
      </c>
      <c r="P1367">
        <v>5</v>
      </c>
      <c r="Q1367" t="str">
        <f>IFERROR(VLOOKUP(E1367,Lookups!$A$5:$B$24,2,FALSE),"Other")</f>
        <v>Referral</v>
      </c>
      <c r="R1367" t="str">
        <f>IFERROR(VLOOKUP(F1367,Lookups!$D$5:$F$10,2,FALSE),"Unknown Product")</f>
        <v>Revenue Operations Suite</v>
      </c>
      <c r="S1367" t="str">
        <f>IFERROR(VLOOKUP(F1367,Lookups!$D$5:$F$10,3,FALSE),"Unknown")</f>
        <v>Revenue Ops</v>
      </c>
      <c r="T1367" t="str">
        <f t="shared" si="231"/>
        <v>Mid-Market</v>
      </c>
      <c r="U1367" t="str">
        <f t="shared" si="232"/>
        <v>Open</v>
      </c>
      <c r="V1367" s="3">
        <f t="shared" si="233"/>
        <v>0</v>
      </c>
      <c r="W1367" s="3">
        <f t="shared" si="234"/>
        <v>24225</v>
      </c>
      <c r="X1367" s="5" t="str">
        <f t="shared" si="235"/>
        <v/>
      </c>
      <c r="Y1367" s="5">
        <f>IF(U1367="Open",Lookups!$B$2-B1367,X1367)</f>
        <v>521</v>
      </c>
      <c r="Z1367" t="str">
        <f t="shared" si="236"/>
        <v>STALE</v>
      </c>
      <c r="AA1367" t="str">
        <f t="shared" si="237"/>
        <v>2025-03</v>
      </c>
      <c r="AB1367" t="str">
        <f t="shared" si="238"/>
        <v/>
      </c>
      <c r="AC1367" t="str">
        <f t="shared" si="239"/>
        <v>Q1-2025</v>
      </c>
      <c r="AD1367" s="5">
        <f t="shared" si="240"/>
        <v>62</v>
      </c>
      <c r="AE1367" t="str">
        <f t="shared" si="241"/>
        <v>Commit</v>
      </c>
    </row>
    <row r="1368" spans="1:31">
      <c r="A1368" t="s">
        <v>1470</v>
      </c>
      <c r="B1368" s="1">
        <v>45795</v>
      </c>
      <c r="C1368" t="s">
        <v>90</v>
      </c>
      <c r="D1368" t="s">
        <v>57</v>
      </c>
      <c r="E1368" t="s">
        <v>83</v>
      </c>
      <c r="F1368" t="s">
        <v>45</v>
      </c>
      <c r="G1368" t="s">
        <v>94</v>
      </c>
      <c r="H1368" t="s">
        <v>47</v>
      </c>
      <c r="I1368" t="s">
        <v>77</v>
      </c>
      <c r="J1368" s="1">
        <v>45877</v>
      </c>
      <c r="K1368" s="1">
        <v>45877</v>
      </c>
      <c r="L1368" s="3">
        <v>27100</v>
      </c>
      <c r="M1368" s="4">
        <v>0.1</v>
      </c>
      <c r="N1368" s="4">
        <v>1</v>
      </c>
      <c r="P1368">
        <v>6</v>
      </c>
      <c r="Q1368" t="str">
        <f>IFERROR(VLOOKUP(E1368,Lookups!$A$5:$B$24,2,FALSE),"Other")</f>
        <v>Organic Search</v>
      </c>
      <c r="R1368" t="str">
        <f>IFERROR(VLOOKUP(F1368,Lookups!$D$5:$F$10,2,FALSE),"Unknown Product")</f>
        <v>Service Cloud</v>
      </c>
      <c r="S1368" t="str">
        <f>IFERROR(VLOOKUP(F1368,Lookups!$D$5:$F$10,3,FALSE),"Unknown")</f>
        <v>Customer Service</v>
      </c>
      <c r="T1368" t="str">
        <f t="shared" si="231"/>
        <v>Mid-Market</v>
      </c>
      <c r="U1368" t="str">
        <f t="shared" si="232"/>
        <v>Won</v>
      </c>
      <c r="V1368" s="3">
        <f t="shared" si="233"/>
        <v>24390</v>
      </c>
      <c r="W1368" s="3">
        <f t="shared" si="234"/>
        <v>0</v>
      </c>
      <c r="X1368" s="5">
        <f t="shared" si="235"/>
        <v>82</v>
      </c>
      <c r="Y1368" s="5">
        <f>IF(U1368="Open",Lookups!$B$2-B1368,X1368)</f>
        <v>82</v>
      </c>
      <c r="Z1368" t="str">
        <f t="shared" si="236"/>
        <v>OK</v>
      </c>
      <c r="AA1368" t="str">
        <f t="shared" si="237"/>
        <v>2025-05</v>
      </c>
      <c r="AB1368" t="str">
        <f t="shared" si="238"/>
        <v>2025-08</v>
      </c>
      <c r="AC1368" t="str">
        <f t="shared" si="239"/>
        <v>Q2-2025</v>
      </c>
      <c r="AD1368" s="5">
        <f t="shared" si="240"/>
        <v>57</v>
      </c>
      <c r="AE1368" t="str">
        <f t="shared" si="241"/>
        <v>Won</v>
      </c>
    </row>
    <row r="1369" spans="1:31">
      <c r="A1369" t="s">
        <v>1471</v>
      </c>
      <c r="B1369" s="1">
        <v>45892</v>
      </c>
      <c r="C1369" t="s">
        <v>42</v>
      </c>
      <c r="D1369" t="s">
        <v>43</v>
      </c>
      <c r="E1369" t="s">
        <v>96</v>
      </c>
      <c r="F1369" t="s">
        <v>45</v>
      </c>
      <c r="G1369" t="s">
        <v>72</v>
      </c>
      <c r="H1369" t="s">
        <v>47</v>
      </c>
      <c r="I1369" t="s">
        <v>48</v>
      </c>
      <c r="J1369" s="1">
        <v>46170</v>
      </c>
      <c r="K1369" s="1"/>
      <c r="L1369" s="3">
        <v>14300</v>
      </c>
      <c r="M1369" s="4">
        <v>0.05</v>
      </c>
      <c r="N1369" s="4">
        <v>0.85</v>
      </c>
      <c r="P1369">
        <v>5</v>
      </c>
      <c r="Q1369" t="str">
        <f>IFERROR(VLOOKUP(E1369,Lookups!$A$5:$B$24,2,FALSE),"Other")</f>
        <v>LinkedIn</v>
      </c>
      <c r="R1369" t="str">
        <f>IFERROR(VLOOKUP(F1369,Lookups!$D$5:$F$10,2,FALSE),"Unknown Product")</f>
        <v>Service Cloud</v>
      </c>
      <c r="S1369" t="str">
        <f>IFERROR(VLOOKUP(F1369,Lookups!$D$5:$F$10,3,FALSE),"Unknown")</f>
        <v>Customer Service</v>
      </c>
      <c r="T1369" t="str">
        <f t="shared" si="231"/>
        <v>SMB</v>
      </c>
      <c r="U1369" t="str">
        <f t="shared" si="232"/>
        <v>Open</v>
      </c>
      <c r="V1369" s="3">
        <f t="shared" si="233"/>
        <v>0</v>
      </c>
      <c r="W1369" s="3">
        <f t="shared" si="234"/>
        <v>12155</v>
      </c>
      <c r="X1369" s="5" t="str">
        <f t="shared" si="235"/>
        <v/>
      </c>
      <c r="Y1369" s="5">
        <f>IF(U1369="Open",Lookups!$B$2-B1369,X1369)</f>
        <v>374</v>
      </c>
      <c r="Z1369" t="str">
        <f t="shared" si="236"/>
        <v>STALE</v>
      </c>
      <c r="AA1369" t="str">
        <f t="shared" si="237"/>
        <v>2025-08</v>
      </c>
      <c r="AB1369" t="str">
        <f t="shared" si="238"/>
        <v/>
      </c>
      <c r="AC1369" t="str">
        <f t="shared" si="239"/>
        <v>Q3-2025</v>
      </c>
      <c r="AD1369" s="5">
        <f t="shared" si="240"/>
        <v>43</v>
      </c>
      <c r="AE1369" t="str">
        <f t="shared" si="241"/>
        <v>Commit</v>
      </c>
    </row>
    <row r="1370" spans="1:31">
      <c r="A1370" t="s">
        <v>1472</v>
      </c>
      <c r="B1370" s="1">
        <v>46107</v>
      </c>
      <c r="C1370" t="s">
        <v>42</v>
      </c>
      <c r="D1370" t="s">
        <v>43</v>
      </c>
      <c r="E1370" t="s">
        <v>138</v>
      </c>
      <c r="F1370" t="s">
        <v>45</v>
      </c>
      <c r="G1370" t="s">
        <v>76</v>
      </c>
      <c r="H1370" t="s">
        <v>53</v>
      </c>
      <c r="I1370" t="s">
        <v>61</v>
      </c>
      <c r="J1370" s="1">
        <v>46150</v>
      </c>
      <c r="K1370" s="1">
        <v>46150</v>
      </c>
      <c r="L1370" s="3">
        <v>26400</v>
      </c>
      <c r="M1370" s="4">
        <v>0</v>
      </c>
      <c r="N1370" s="4">
        <v>0</v>
      </c>
      <c r="O1370" t="s">
        <v>62</v>
      </c>
      <c r="P1370">
        <v>5</v>
      </c>
      <c r="Q1370" t="str">
        <f>IFERROR(VLOOKUP(E1370,Lookups!$A$5:$B$24,2,FALSE),"Other")</f>
        <v>Organic Search</v>
      </c>
      <c r="R1370" t="str">
        <f>IFERROR(VLOOKUP(F1370,Lookups!$D$5:$F$10,2,FALSE),"Unknown Product")</f>
        <v>Service Cloud</v>
      </c>
      <c r="S1370" t="str">
        <f>IFERROR(VLOOKUP(F1370,Lookups!$D$5:$F$10,3,FALSE),"Unknown")</f>
        <v>Customer Service</v>
      </c>
      <c r="T1370" t="str">
        <f t="shared" si="231"/>
        <v>Mid-Market</v>
      </c>
      <c r="U1370" t="str">
        <f t="shared" si="232"/>
        <v>Lost</v>
      </c>
      <c r="V1370" s="3">
        <f t="shared" si="233"/>
        <v>0</v>
      </c>
      <c r="W1370" s="3">
        <f t="shared" si="234"/>
        <v>0</v>
      </c>
      <c r="X1370" s="5">
        <f t="shared" si="235"/>
        <v>43</v>
      </c>
      <c r="Y1370" s="5">
        <f>IF(U1370="Open",Lookups!$B$2-B1370,X1370)</f>
        <v>43</v>
      </c>
      <c r="Z1370" t="str">
        <f t="shared" si="236"/>
        <v>OK</v>
      </c>
      <c r="AA1370" t="str">
        <f t="shared" si="237"/>
        <v>2026-03</v>
      </c>
      <c r="AB1370" t="str">
        <f t="shared" si="238"/>
        <v>2026-05</v>
      </c>
      <c r="AC1370" t="str">
        <f t="shared" si="239"/>
        <v>Q1-2026</v>
      </c>
      <c r="AD1370" s="5">
        <f t="shared" si="240"/>
        <v>65</v>
      </c>
      <c r="AE1370" t="str">
        <f t="shared" si="241"/>
        <v>Lost</v>
      </c>
    </row>
    <row r="1371" spans="1:31">
      <c r="A1371" t="s">
        <v>1473</v>
      </c>
      <c r="B1371" s="1">
        <v>45746</v>
      </c>
      <c r="C1371" t="s">
        <v>69</v>
      </c>
      <c r="D1371" t="s">
        <v>57</v>
      </c>
      <c r="E1371" t="s">
        <v>127</v>
      </c>
      <c r="F1371" t="s">
        <v>52</v>
      </c>
      <c r="G1371" t="s">
        <v>72</v>
      </c>
      <c r="H1371" t="s">
        <v>47</v>
      </c>
      <c r="I1371" t="s">
        <v>61</v>
      </c>
      <c r="J1371" s="1">
        <v>45766</v>
      </c>
      <c r="K1371" s="1">
        <v>45766</v>
      </c>
      <c r="L1371" s="3">
        <v>8000</v>
      </c>
      <c r="M1371" s="4">
        <v>0</v>
      </c>
      <c r="N1371" s="4">
        <v>0</v>
      </c>
      <c r="O1371" t="s">
        <v>81</v>
      </c>
      <c r="P1371">
        <v>2</v>
      </c>
      <c r="Q1371" t="str">
        <f>IFERROR(VLOOKUP(E1371,Lookups!$A$5:$B$24,2,FALSE),"Other")</f>
        <v>Paid Search</v>
      </c>
      <c r="R1371" t="str">
        <f>IFERROR(VLOOKUP(F1371,Lookups!$D$5:$F$10,2,FALSE),"Unknown Product")</f>
        <v>NexaCRM Core</v>
      </c>
      <c r="S1371" t="str">
        <f>IFERROR(VLOOKUP(F1371,Lookups!$D$5:$F$10,3,FALSE),"Unknown")</f>
        <v>CRM</v>
      </c>
      <c r="T1371" t="str">
        <f t="shared" si="231"/>
        <v>SMB</v>
      </c>
      <c r="U1371" t="str">
        <f t="shared" si="232"/>
        <v>Lost</v>
      </c>
      <c r="V1371" s="3">
        <f t="shared" si="233"/>
        <v>0</v>
      </c>
      <c r="W1371" s="3">
        <f t="shared" si="234"/>
        <v>0</v>
      </c>
      <c r="X1371" s="5">
        <f t="shared" si="235"/>
        <v>20</v>
      </c>
      <c r="Y1371" s="5">
        <f>IF(U1371="Open",Lookups!$B$2-B1371,X1371)</f>
        <v>20</v>
      </c>
      <c r="Z1371" t="str">
        <f t="shared" si="236"/>
        <v>OK</v>
      </c>
      <c r="AA1371" t="str">
        <f t="shared" si="237"/>
        <v>2025-03</v>
      </c>
      <c r="AB1371" t="str">
        <f t="shared" si="238"/>
        <v>2025-04</v>
      </c>
      <c r="AC1371" t="str">
        <f t="shared" si="239"/>
        <v>Q1-2025</v>
      </c>
      <c r="AD1371" s="5">
        <f t="shared" si="240"/>
        <v>43</v>
      </c>
      <c r="AE1371" t="str">
        <f t="shared" si="241"/>
        <v>Lost</v>
      </c>
    </row>
    <row r="1372" spans="1:31">
      <c r="A1372" t="s">
        <v>1474</v>
      </c>
      <c r="B1372" s="1">
        <v>46158</v>
      </c>
      <c r="C1372" t="s">
        <v>64</v>
      </c>
      <c r="D1372" t="s">
        <v>57</v>
      </c>
      <c r="E1372" t="s">
        <v>44</v>
      </c>
      <c r="F1372" t="s">
        <v>133</v>
      </c>
      <c r="G1372" t="s">
        <v>46</v>
      </c>
      <c r="H1372" t="s">
        <v>47</v>
      </c>
      <c r="I1372" t="s">
        <v>61</v>
      </c>
      <c r="J1372" s="1">
        <v>46204</v>
      </c>
      <c r="K1372" s="1">
        <v>46204</v>
      </c>
      <c r="L1372" s="3">
        <v>27600</v>
      </c>
      <c r="M1372" s="4">
        <v>0</v>
      </c>
      <c r="N1372" s="4">
        <v>0</v>
      </c>
      <c r="O1372" t="s">
        <v>62</v>
      </c>
      <c r="P1372">
        <v>5</v>
      </c>
      <c r="Q1372" t="str">
        <f>IFERROR(VLOOKUP(E1372,Lookups!$A$5:$B$24,2,FALSE),"Other")</f>
        <v>Organic Search</v>
      </c>
      <c r="R1372" t="str">
        <f>IFERROR(VLOOKUP(F1372,Lookups!$D$5:$F$10,2,FALSE),"Unknown Product")</f>
        <v>Analytics Plus</v>
      </c>
      <c r="S1372" t="str">
        <f>IFERROR(VLOOKUP(F1372,Lookups!$D$5:$F$10,3,FALSE),"Unknown")</f>
        <v>Analytics</v>
      </c>
      <c r="T1372" t="str">
        <f t="shared" si="231"/>
        <v>Mid-Market</v>
      </c>
      <c r="U1372" t="str">
        <f t="shared" si="232"/>
        <v>Lost</v>
      </c>
      <c r="V1372" s="3">
        <f t="shared" si="233"/>
        <v>0</v>
      </c>
      <c r="W1372" s="3">
        <f t="shared" si="234"/>
        <v>0</v>
      </c>
      <c r="X1372" s="5">
        <f t="shared" si="235"/>
        <v>46</v>
      </c>
      <c r="Y1372" s="5">
        <f>IF(U1372="Open",Lookups!$B$2-B1372,X1372)</f>
        <v>46</v>
      </c>
      <c r="Z1372" t="str">
        <f t="shared" si="236"/>
        <v>OK</v>
      </c>
      <c r="AA1372" t="str">
        <f t="shared" si="237"/>
        <v>2026-05</v>
      </c>
      <c r="AB1372" t="str">
        <f t="shared" si="238"/>
        <v>2026-07</v>
      </c>
      <c r="AC1372" t="str">
        <f t="shared" si="239"/>
        <v>Q2-2026</v>
      </c>
      <c r="AD1372" s="5">
        <f t="shared" si="240"/>
        <v>57</v>
      </c>
      <c r="AE1372" t="str">
        <f t="shared" si="241"/>
        <v>Lost</v>
      </c>
    </row>
    <row r="1373" spans="1:31">
      <c r="A1373" t="s">
        <v>1475</v>
      </c>
      <c r="B1373" s="1">
        <v>46159</v>
      </c>
      <c r="C1373" t="s">
        <v>69</v>
      </c>
      <c r="D1373" t="s">
        <v>57</v>
      </c>
      <c r="E1373" t="s">
        <v>83</v>
      </c>
      <c r="F1373" t="s">
        <v>67</v>
      </c>
      <c r="G1373" t="s">
        <v>112</v>
      </c>
      <c r="H1373" t="s">
        <v>47</v>
      </c>
      <c r="I1373" t="s">
        <v>61</v>
      </c>
      <c r="J1373" s="1">
        <v>46183</v>
      </c>
      <c r="K1373" s="1">
        <v>46183</v>
      </c>
      <c r="L1373" s="3">
        <v>45700</v>
      </c>
      <c r="M1373" s="4">
        <v>0</v>
      </c>
      <c r="N1373" s="4">
        <v>0</v>
      </c>
      <c r="O1373" t="s">
        <v>79</v>
      </c>
      <c r="P1373">
        <v>3</v>
      </c>
      <c r="Q1373" t="str">
        <f>IFERROR(VLOOKUP(E1373,Lookups!$A$5:$B$24,2,FALSE),"Other")</f>
        <v>Organic Search</v>
      </c>
      <c r="R1373" t="str">
        <f>IFERROR(VLOOKUP(F1373,Lookups!$D$5:$F$10,2,FALSE),"Unknown Product")</f>
        <v>Revenue Operations Suite</v>
      </c>
      <c r="S1373" t="str">
        <f>IFERROR(VLOOKUP(F1373,Lookups!$D$5:$F$10,3,FALSE),"Unknown")</f>
        <v>Revenue Ops</v>
      </c>
      <c r="T1373" t="str">
        <f t="shared" si="231"/>
        <v>Mid-Market</v>
      </c>
      <c r="U1373" t="str">
        <f t="shared" si="232"/>
        <v>Lost</v>
      </c>
      <c r="V1373" s="3">
        <f t="shared" si="233"/>
        <v>0</v>
      </c>
      <c r="W1373" s="3">
        <f t="shared" si="234"/>
        <v>0</v>
      </c>
      <c r="X1373" s="5">
        <f t="shared" si="235"/>
        <v>24</v>
      </c>
      <c r="Y1373" s="5">
        <f>IF(U1373="Open",Lookups!$B$2-B1373,X1373)</f>
        <v>24</v>
      </c>
      <c r="Z1373" t="str">
        <f t="shared" si="236"/>
        <v>OK</v>
      </c>
      <c r="AA1373" t="str">
        <f t="shared" si="237"/>
        <v>2026-05</v>
      </c>
      <c r="AB1373" t="str">
        <f t="shared" si="238"/>
        <v>2026-06</v>
      </c>
      <c r="AC1373" t="str">
        <f t="shared" si="239"/>
        <v>Q2-2026</v>
      </c>
      <c r="AD1373" s="5">
        <f t="shared" si="240"/>
        <v>62</v>
      </c>
      <c r="AE1373" t="str">
        <f t="shared" si="241"/>
        <v>Lost</v>
      </c>
    </row>
    <row r="1374" spans="1:31">
      <c r="A1374" t="s">
        <v>1476</v>
      </c>
      <c r="B1374" s="1">
        <v>46103</v>
      </c>
      <c r="C1374" t="s">
        <v>148</v>
      </c>
      <c r="D1374" t="s">
        <v>43</v>
      </c>
      <c r="E1374" t="s">
        <v>98</v>
      </c>
      <c r="F1374" t="s">
        <v>59</v>
      </c>
      <c r="G1374" t="s">
        <v>112</v>
      </c>
      <c r="H1374" t="s">
        <v>47</v>
      </c>
      <c r="I1374" t="s">
        <v>61</v>
      </c>
      <c r="J1374" s="1">
        <v>46116</v>
      </c>
      <c r="K1374" s="1">
        <v>46116</v>
      </c>
      <c r="L1374" s="3">
        <v>10900</v>
      </c>
      <c r="M1374" s="4">
        <v>0</v>
      </c>
      <c r="N1374" s="4">
        <v>0</v>
      </c>
      <c r="O1374" t="s">
        <v>102</v>
      </c>
      <c r="P1374">
        <v>4</v>
      </c>
      <c r="Q1374" t="str">
        <f>IFERROR(VLOOKUP(E1374,Lookups!$A$5:$B$24,2,FALSE),"Other")</f>
        <v>Outbound</v>
      </c>
      <c r="R1374" t="str">
        <f>IFERROR(VLOOKUP(F1374,Lookups!$D$5:$F$10,2,FALSE),"Unknown Product")</f>
        <v>NexaCRM Pro</v>
      </c>
      <c r="S1374" t="str">
        <f>IFERROR(VLOOKUP(F1374,Lookups!$D$5:$F$10,3,FALSE),"Unknown")</f>
        <v>CRM</v>
      </c>
      <c r="T1374" t="str">
        <f t="shared" si="231"/>
        <v>SMB</v>
      </c>
      <c r="U1374" t="str">
        <f t="shared" si="232"/>
        <v>Lost</v>
      </c>
      <c r="V1374" s="3">
        <f t="shared" si="233"/>
        <v>0</v>
      </c>
      <c r="W1374" s="3">
        <f t="shared" si="234"/>
        <v>0</v>
      </c>
      <c r="X1374" s="5">
        <f t="shared" si="235"/>
        <v>13</v>
      </c>
      <c r="Y1374" s="5">
        <f>IF(U1374="Open",Lookups!$B$2-B1374,X1374)</f>
        <v>13</v>
      </c>
      <c r="Z1374" t="str">
        <f t="shared" si="236"/>
        <v>OK</v>
      </c>
      <c r="AA1374" t="str">
        <f t="shared" si="237"/>
        <v>2026-03</v>
      </c>
      <c r="AB1374" t="str">
        <f t="shared" si="238"/>
        <v>2026-04</v>
      </c>
      <c r="AC1374" t="str">
        <f t="shared" si="239"/>
        <v>Q1-2026</v>
      </c>
      <c r="AD1374" s="5">
        <f t="shared" si="240"/>
        <v>48</v>
      </c>
      <c r="AE1374" t="str">
        <f t="shared" si="241"/>
        <v>Lost</v>
      </c>
    </row>
    <row r="1375" spans="1:31">
      <c r="A1375" t="s">
        <v>1477</v>
      </c>
      <c r="B1375" s="1">
        <v>45779</v>
      </c>
      <c r="C1375" t="s">
        <v>69</v>
      </c>
      <c r="D1375" t="s">
        <v>57</v>
      </c>
      <c r="E1375" t="s">
        <v>51</v>
      </c>
      <c r="F1375" t="s">
        <v>59</v>
      </c>
      <c r="G1375" t="s">
        <v>46</v>
      </c>
      <c r="H1375" t="s">
        <v>53</v>
      </c>
      <c r="I1375" t="s">
        <v>61</v>
      </c>
      <c r="J1375" s="1">
        <v>45801</v>
      </c>
      <c r="K1375" s="1">
        <v>45801</v>
      </c>
      <c r="L1375" s="3">
        <v>44000</v>
      </c>
      <c r="M1375" s="4">
        <v>0</v>
      </c>
      <c r="N1375" s="4">
        <v>0</v>
      </c>
      <c r="O1375" t="s">
        <v>62</v>
      </c>
      <c r="P1375">
        <v>2</v>
      </c>
      <c r="Q1375" t="str">
        <f>IFERROR(VLOOKUP(E1375,Lookups!$A$5:$B$24,2,FALSE),"Other")</f>
        <v>Paid Search</v>
      </c>
      <c r="R1375" t="str">
        <f>IFERROR(VLOOKUP(F1375,Lookups!$D$5:$F$10,2,FALSE),"Unknown Product")</f>
        <v>NexaCRM Pro</v>
      </c>
      <c r="S1375" t="str">
        <f>IFERROR(VLOOKUP(F1375,Lookups!$D$5:$F$10,3,FALSE),"Unknown")</f>
        <v>CRM</v>
      </c>
      <c r="T1375" t="str">
        <f t="shared" si="231"/>
        <v>Mid-Market</v>
      </c>
      <c r="U1375" t="str">
        <f t="shared" si="232"/>
        <v>Lost</v>
      </c>
      <c r="V1375" s="3">
        <f t="shared" si="233"/>
        <v>0</v>
      </c>
      <c r="W1375" s="3">
        <f t="shared" si="234"/>
        <v>0</v>
      </c>
      <c r="X1375" s="5">
        <f t="shared" si="235"/>
        <v>22</v>
      </c>
      <c r="Y1375" s="5">
        <f>IF(U1375="Open",Lookups!$B$2-B1375,X1375)</f>
        <v>22</v>
      </c>
      <c r="Z1375" t="str">
        <f t="shared" si="236"/>
        <v>OK</v>
      </c>
      <c r="AA1375" t="str">
        <f t="shared" si="237"/>
        <v>2025-05</v>
      </c>
      <c r="AB1375" t="str">
        <f t="shared" si="238"/>
        <v>2025-05</v>
      </c>
      <c r="AC1375" t="str">
        <f t="shared" si="239"/>
        <v>Q2-2025</v>
      </c>
      <c r="AD1375" s="5">
        <f t="shared" si="240"/>
        <v>59</v>
      </c>
      <c r="AE1375" t="str">
        <f t="shared" si="241"/>
        <v>Lost</v>
      </c>
    </row>
    <row r="1376" spans="1:31">
      <c r="A1376" t="s">
        <v>1478</v>
      </c>
      <c r="B1376" s="1">
        <v>45723</v>
      </c>
      <c r="C1376" t="s">
        <v>148</v>
      </c>
      <c r="D1376" t="s">
        <v>43</v>
      </c>
      <c r="E1376" t="s">
        <v>83</v>
      </c>
      <c r="F1376" t="s">
        <v>45</v>
      </c>
      <c r="G1376" t="s">
        <v>99</v>
      </c>
      <c r="H1376" t="s">
        <v>53</v>
      </c>
      <c r="I1376" t="s">
        <v>48</v>
      </c>
      <c r="J1376" s="1">
        <v>46033</v>
      </c>
      <c r="K1376" s="1"/>
      <c r="L1376" s="3">
        <v>42100</v>
      </c>
      <c r="M1376" s="4">
        <v>0.03</v>
      </c>
      <c r="N1376" s="4">
        <v>0.85</v>
      </c>
      <c r="P1376">
        <v>5</v>
      </c>
      <c r="Q1376" t="str">
        <f>IFERROR(VLOOKUP(E1376,Lookups!$A$5:$B$24,2,FALSE),"Other")</f>
        <v>Organic Search</v>
      </c>
      <c r="R1376" t="str">
        <f>IFERROR(VLOOKUP(F1376,Lookups!$D$5:$F$10,2,FALSE),"Unknown Product")</f>
        <v>Service Cloud</v>
      </c>
      <c r="S1376" t="str">
        <f>IFERROR(VLOOKUP(F1376,Lookups!$D$5:$F$10,3,FALSE),"Unknown")</f>
        <v>Customer Service</v>
      </c>
      <c r="T1376" t="str">
        <f t="shared" si="231"/>
        <v>Mid-Market</v>
      </c>
      <c r="U1376" t="str">
        <f t="shared" si="232"/>
        <v>Open</v>
      </c>
      <c r="V1376" s="3">
        <f t="shared" si="233"/>
        <v>0</v>
      </c>
      <c r="W1376" s="3">
        <f t="shared" si="234"/>
        <v>35785</v>
      </c>
      <c r="X1376" s="5" t="str">
        <f t="shared" si="235"/>
        <v/>
      </c>
      <c r="Y1376" s="5">
        <f>IF(U1376="Open",Lookups!$B$2-B1376,X1376)</f>
        <v>543</v>
      </c>
      <c r="Z1376" t="str">
        <f t="shared" si="236"/>
        <v>STALE</v>
      </c>
      <c r="AA1376" t="str">
        <f t="shared" si="237"/>
        <v>2025-03</v>
      </c>
      <c r="AB1376" t="str">
        <f t="shared" si="238"/>
        <v/>
      </c>
      <c r="AC1376" t="str">
        <f t="shared" si="239"/>
        <v>Q1-2025</v>
      </c>
      <c r="AD1376" s="5">
        <f t="shared" si="240"/>
        <v>65</v>
      </c>
      <c r="AE1376" t="str">
        <f t="shared" si="241"/>
        <v>Commit</v>
      </c>
    </row>
    <row r="1377" spans="1:31">
      <c r="A1377" t="s">
        <v>1479</v>
      </c>
      <c r="B1377" s="1">
        <v>45914</v>
      </c>
      <c r="C1377" t="s">
        <v>90</v>
      </c>
      <c r="D1377" t="s">
        <v>57</v>
      </c>
      <c r="E1377" t="s">
        <v>83</v>
      </c>
      <c r="F1377" t="s">
        <v>52</v>
      </c>
      <c r="G1377" t="s">
        <v>112</v>
      </c>
      <c r="H1377" t="s">
        <v>53</v>
      </c>
      <c r="I1377" t="s">
        <v>77</v>
      </c>
      <c r="J1377" s="1">
        <v>45989</v>
      </c>
      <c r="K1377" s="1">
        <v>45989</v>
      </c>
      <c r="L1377" s="3">
        <v>16900</v>
      </c>
      <c r="M1377" s="4">
        <v>0.05</v>
      </c>
      <c r="N1377" s="4">
        <v>1</v>
      </c>
      <c r="P1377">
        <v>6</v>
      </c>
      <c r="Q1377" t="str">
        <f>IFERROR(VLOOKUP(E1377,Lookups!$A$5:$B$24,2,FALSE),"Other")</f>
        <v>Organic Search</v>
      </c>
      <c r="R1377" t="str">
        <f>IFERROR(VLOOKUP(F1377,Lookups!$D$5:$F$10,2,FALSE),"Unknown Product")</f>
        <v>NexaCRM Core</v>
      </c>
      <c r="S1377" t="str">
        <f>IFERROR(VLOOKUP(F1377,Lookups!$D$5:$F$10,3,FALSE),"Unknown")</f>
        <v>CRM</v>
      </c>
      <c r="T1377" t="str">
        <f t="shared" si="231"/>
        <v>SMB</v>
      </c>
      <c r="U1377" t="str">
        <f t="shared" si="232"/>
        <v>Won</v>
      </c>
      <c r="V1377" s="3">
        <f t="shared" si="233"/>
        <v>16055</v>
      </c>
      <c r="W1377" s="3">
        <f t="shared" si="234"/>
        <v>0</v>
      </c>
      <c r="X1377" s="5">
        <f t="shared" si="235"/>
        <v>75</v>
      </c>
      <c r="Y1377" s="5">
        <f>IF(U1377="Open",Lookups!$B$2-B1377,X1377)</f>
        <v>75</v>
      </c>
      <c r="Z1377" t="str">
        <f t="shared" si="236"/>
        <v>OK</v>
      </c>
      <c r="AA1377" t="str">
        <f t="shared" si="237"/>
        <v>2025-09</v>
      </c>
      <c r="AB1377" t="str">
        <f t="shared" si="238"/>
        <v>2025-11</v>
      </c>
      <c r="AC1377" t="str">
        <f t="shared" si="239"/>
        <v>Q3-2025</v>
      </c>
      <c r="AD1377" s="5">
        <f t="shared" si="240"/>
        <v>62</v>
      </c>
      <c r="AE1377" t="str">
        <f t="shared" si="241"/>
        <v>Won</v>
      </c>
    </row>
    <row r="1378" spans="1:31">
      <c r="A1378" t="s">
        <v>1480</v>
      </c>
      <c r="B1378" s="1">
        <v>45688</v>
      </c>
      <c r="C1378" t="s">
        <v>50</v>
      </c>
      <c r="D1378" t="s">
        <v>43</v>
      </c>
      <c r="E1378" t="s">
        <v>65</v>
      </c>
      <c r="F1378" t="s">
        <v>71</v>
      </c>
      <c r="G1378" t="s">
        <v>94</v>
      </c>
      <c r="H1378" t="s">
        <v>47</v>
      </c>
      <c r="I1378" t="s">
        <v>77</v>
      </c>
      <c r="J1378" s="1">
        <v>45768</v>
      </c>
      <c r="K1378" s="1">
        <v>45768</v>
      </c>
      <c r="L1378" s="3">
        <v>15500</v>
      </c>
      <c r="M1378" s="4">
        <v>0</v>
      </c>
      <c r="N1378" s="4">
        <v>1</v>
      </c>
      <c r="P1378">
        <v>6</v>
      </c>
      <c r="Q1378" t="str">
        <f>IFERROR(VLOOKUP(E1378,Lookups!$A$5:$B$24,2,FALSE),"Other")</f>
        <v>Paid Search</v>
      </c>
      <c r="R1378" t="str">
        <f>IFERROR(VLOOKUP(F1378,Lookups!$D$5:$F$10,2,FALSE),"Unknown Product")</f>
        <v>Marketing Automation</v>
      </c>
      <c r="S1378" t="str">
        <f>IFERROR(VLOOKUP(F1378,Lookups!$D$5:$F$10,3,FALSE),"Unknown")</f>
        <v>Marketing</v>
      </c>
      <c r="T1378" t="str">
        <f t="shared" si="231"/>
        <v>SMB</v>
      </c>
      <c r="U1378" t="str">
        <f t="shared" si="232"/>
        <v>Won</v>
      </c>
      <c r="V1378" s="3">
        <f t="shared" si="233"/>
        <v>15500</v>
      </c>
      <c r="W1378" s="3">
        <f t="shared" si="234"/>
        <v>0</v>
      </c>
      <c r="X1378" s="5">
        <f t="shared" si="235"/>
        <v>80</v>
      </c>
      <c r="Y1378" s="5">
        <f>IF(U1378="Open",Lookups!$B$2-B1378,X1378)</f>
        <v>80</v>
      </c>
      <c r="Z1378" t="str">
        <f t="shared" si="236"/>
        <v>OK</v>
      </c>
      <c r="AA1378" t="str">
        <f t="shared" si="237"/>
        <v>2025-01</v>
      </c>
      <c r="AB1378" t="str">
        <f t="shared" si="238"/>
        <v>2025-04</v>
      </c>
      <c r="AC1378" t="str">
        <f t="shared" si="239"/>
        <v>Q1-2025</v>
      </c>
      <c r="AD1378" s="5">
        <f t="shared" si="240"/>
        <v>43</v>
      </c>
      <c r="AE1378" t="str">
        <f t="shared" si="241"/>
        <v>Won</v>
      </c>
    </row>
    <row r="1379" spans="1:31">
      <c r="A1379" t="s">
        <v>1481</v>
      </c>
      <c r="B1379" s="1">
        <v>45744</v>
      </c>
      <c r="C1379" t="s">
        <v>56</v>
      </c>
      <c r="D1379" t="s">
        <v>57</v>
      </c>
      <c r="E1379" t="s">
        <v>98</v>
      </c>
      <c r="F1379" t="s">
        <v>52</v>
      </c>
      <c r="G1379" t="s">
        <v>60</v>
      </c>
      <c r="H1379" t="s">
        <v>47</v>
      </c>
      <c r="I1379" t="s">
        <v>48</v>
      </c>
      <c r="J1379" s="1">
        <v>46079</v>
      </c>
      <c r="K1379" s="1"/>
      <c r="L1379" s="3">
        <v>10200</v>
      </c>
      <c r="M1379" s="4">
        <v>0.05</v>
      </c>
      <c r="N1379" s="4">
        <v>0.85</v>
      </c>
      <c r="P1379">
        <v>5</v>
      </c>
      <c r="Q1379" t="str">
        <f>IFERROR(VLOOKUP(E1379,Lookups!$A$5:$B$24,2,FALSE),"Other")</f>
        <v>Outbound</v>
      </c>
      <c r="R1379" t="str">
        <f>IFERROR(VLOOKUP(F1379,Lookups!$D$5:$F$10,2,FALSE),"Unknown Product")</f>
        <v>NexaCRM Core</v>
      </c>
      <c r="S1379" t="str">
        <f>IFERROR(VLOOKUP(F1379,Lookups!$D$5:$F$10,3,FALSE),"Unknown")</f>
        <v>CRM</v>
      </c>
      <c r="T1379" t="str">
        <f t="shared" si="231"/>
        <v>SMB</v>
      </c>
      <c r="U1379" t="str">
        <f t="shared" si="232"/>
        <v>Open</v>
      </c>
      <c r="V1379" s="3">
        <f t="shared" si="233"/>
        <v>0</v>
      </c>
      <c r="W1379" s="3">
        <f t="shared" si="234"/>
        <v>8670</v>
      </c>
      <c r="X1379" s="5" t="str">
        <f t="shared" si="235"/>
        <v/>
      </c>
      <c r="Y1379" s="5">
        <f>IF(U1379="Open",Lookups!$B$2-B1379,X1379)</f>
        <v>522</v>
      </c>
      <c r="Z1379" t="str">
        <f t="shared" si="236"/>
        <v>STALE</v>
      </c>
      <c r="AA1379" t="str">
        <f t="shared" si="237"/>
        <v>2025-03</v>
      </c>
      <c r="AB1379" t="str">
        <f t="shared" si="238"/>
        <v/>
      </c>
      <c r="AC1379" t="str">
        <f t="shared" si="239"/>
        <v>Q1-2025</v>
      </c>
      <c r="AD1379" s="5">
        <f t="shared" si="240"/>
        <v>43</v>
      </c>
      <c r="AE1379" t="str">
        <f t="shared" si="241"/>
        <v>Commit</v>
      </c>
    </row>
    <row r="1380" spans="1:31">
      <c r="A1380" t="s">
        <v>1482</v>
      </c>
      <c r="B1380" s="1">
        <v>45737</v>
      </c>
      <c r="C1380" t="s">
        <v>50</v>
      </c>
      <c r="D1380" t="s">
        <v>43</v>
      </c>
      <c r="E1380" t="s">
        <v>83</v>
      </c>
      <c r="F1380" t="s">
        <v>133</v>
      </c>
      <c r="G1380" t="s">
        <v>46</v>
      </c>
      <c r="H1380" t="s">
        <v>53</v>
      </c>
      <c r="I1380" t="s">
        <v>61</v>
      </c>
      <c r="J1380" s="1">
        <v>45790</v>
      </c>
      <c r="K1380" s="1">
        <v>45790</v>
      </c>
      <c r="L1380" s="3">
        <v>35700</v>
      </c>
      <c r="M1380" s="4">
        <v>0</v>
      </c>
      <c r="N1380" s="4">
        <v>0</v>
      </c>
      <c r="O1380" t="s">
        <v>79</v>
      </c>
      <c r="P1380">
        <v>5</v>
      </c>
      <c r="Q1380" t="str">
        <f>IFERROR(VLOOKUP(E1380,Lookups!$A$5:$B$24,2,FALSE),"Other")</f>
        <v>Organic Search</v>
      </c>
      <c r="R1380" t="str">
        <f>IFERROR(VLOOKUP(F1380,Lookups!$D$5:$F$10,2,FALSE),"Unknown Product")</f>
        <v>Analytics Plus</v>
      </c>
      <c r="S1380" t="str">
        <f>IFERROR(VLOOKUP(F1380,Lookups!$D$5:$F$10,3,FALSE),"Unknown")</f>
        <v>Analytics</v>
      </c>
      <c r="T1380" t="str">
        <f t="shared" si="231"/>
        <v>Mid-Market</v>
      </c>
      <c r="U1380" t="str">
        <f t="shared" si="232"/>
        <v>Lost</v>
      </c>
      <c r="V1380" s="3">
        <f t="shared" si="233"/>
        <v>0</v>
      </c>
      <c r="W1380" s="3">
        <f t="shared" si="234"/>
        <v>0</v>
      </c>
      <c r="X1380" s="5">
        <f t="shared" si="235"/>
        <v>53</v>
      </c>
      <c r="Y1380" s="5">
        <f>IF(U1380="Open",Lookups!$B$2-B1380,X1380)</f>
        <v>53</v>
      </c>
      <c r="Z1380" t="str">
        <f t="shared" si="236"/>
        <v>OK</v>
      </c>
      <c r="AA1380" t="str">
        <f t="shared" si="237"/>
        <v>2025-03</v>
      </c>
      <c r="AB1380" t="str">
        <f t="shared" si="238"/>
        <v>2025-05</v>
      </c>
      <c r="AC1380" t="str">
        <f t="shared" si="239"/>
        <v>Q1-2025</v>
      </c>
      <c r="AD1380" s="5">
        <f t="shared" si="240"/>
        <v>65</v>
      </c>
      <c r="AE1380" t="str">
        <f t="shared" si="241"/>
        <v>Lost</v>
      </c>
    </row>
    <row r="1381" spans="1:31">
      <c r="A1381" t="s">
        <v>1483</v>
      </c>
      <c r="B1381" s="1">
        <v>45856</v>
      </c>
      <c r="C1381" t="s">
        <v>90</v>
      </c>
      <c r="D1381" t="s">
        <v>57</v>
      </c>
      <c r="E1381" t="s">
        <v>160</v>
      </c>
      <c r="F1381" t="s">
        <v>71</v>
      </c>
      <c r="G1381" t="s">
        <v>46</v>
      </c>
      <c r="H1381" t="s">
        <v>47</v>
      </c>
      <c r="I1381" t="s">
        <v>61</v>
      </c>
      <c r="J1381" s="1">
        <v>45916</v>
      </c>
      <c r="K1381" s="1">
        <v>45916</v>
      </c>
      <c r="L1381" s="3">
        <v>18500</v>
      </c>
      <c r="M1381" s="4">
        <v>0</v>
      </c>
      <c r="N1381" s="4">
        <v>0</v>
      </c>
      <c r="O1381" t="s">
        <v>81</v>
      </c>
      <c r="P1381">
        <v>3</v>
      </c>
      <c r="Q1381" t="str">
        <f>IFERROR(VLOOKUP(E1381,Lookups!$A$5:$B$24,2,FALSE),"Other")</f>
        <v>Email</v>
      </c>
      <c r="R1381" t="str">
        <f>IFERROR(VLOOKUP(F1381,Lookups!$D$5:$F$10,2,FALSE),"Unknown Product")</f>
        <v>Marketing Automation</v>
      </c>
      <c r="S1381" t="str">
        <f>IFERROR(VLOOKUP(F1381,Lookups!$D$5:$F$10,3,FALSE),"Unknown")</f>
        <v>Marketing</v>
      </c>
      <c r="T1381" t="str">
        <f t="shared" si="231"/>
        <v>SMB</v>
      </c>
      <c r="U1381" t="str">
        <f t="shared" si="232"/>
        <v>Lost</v>
      </c>
      <c r="V1381" s="3">
        <f t="shared" si="233"/>
        <v>0</v>
      </c>
      <c r="W1381" s="3">
        <f t="shared" si="234"/>
        <v>0</v>
      </c>
      <c r="X1381" s="5">
        <f t="shared" si="235"/>
        <v>60</v>
      </c>
      <c r="Y1381" s="5">
        <f>IF(U1381="Open",Lookups!$B$2-B1381,X1381)</f>
        <v>60</v>
      </c>
      <c r="Z1381" t="str">
        <f t="shared" si="236"/>
        <v>OK</v>
      </c>
      <c r="AA1381" t="str">
        <f t="shared" si="237"/>
        <v>2025-07</v>
      </c>
      <c r="AB1381" t="str">
        <f t="shared" si="238"/>
        <v>2025-09</v>
      </c>
      <c r="AC1381" t="str">
        <f t="shared" si="239"/>
        <v>Q3-2025</v>
      </c>
      <c r="AD1381" s="5">
        <f t="shared" si="240"/>
        <v>47</v>
      </c>
      <c r="AE1381" t="str">
        <f t="shared" si="241"/>
        <v>Lost</v>
      </c>
    </row>
    <row r="1382" spans="1:31">
      <c r="A1382" t="s">
        <v>1484</v>
      </c>
      <c r="B1382" s="1">
        <v>46250</v>
      </c>
      <c r="C1382" t="s">
        <v>50</v>
      </c>
      <c r="D1382" t="s">
        <v>43</v>
      </c>
      <c r="E1382" t="s">
        <v>44</v>
      </c>
      <c r="F1382" t="s">
        <v>133</v>
      </c>
      <c r="G1382" t="s">
        <v>112</v>
      </c>
      <c r="H1382" t="s">
        <v>53</v>
      </c>
      <c r="I1382" t="s">
        <v>61</v>
      </c>
      <c r="J1382" s="1">
        <v>46266</v>
      </c>
      <c r="K1382" s="1">
        <v>46266</v>
      </c>
      <c r="L1382" s="3">
        <v>48800</v>
      </c>
      <c r="M1382" s="4">
        <v>0</v>
      </c>
      <c r="N1382" s="4">
        <v>0</v>
      </c>
      <c r="O1382" t="s">
        <v>79</v>
      </c>
      <c r="P1382">
        <v>4</v>
      </c>
      <c r="Q1382" t="str">
        <f>IFERROR(VLOOKUP(E1382,Lookups!$A$5:$B$24,2,FALSE),"Other")</f>
        <v>Organic Search</v>
      </c>
      <c r="R1382" t="str">
        <f>IFERROR(VLOOKUP(F1382,Lookups!$D$5:$F$10,2,FALSE),"Unknown Product")</f>
        <v>Analytics Plus</v>
      </c>
      <c r="S1382" t="str">
        <f>IFERROR(VLOOKUP(F1382,Lookups!$D$5:$F$10,3,FALSE),"Unknown")</f>
        <v>Analytics</v>
      </c>
      <c r="T1382" t="str">
        <f t="shared" si="231"/>
        <v>Mid-Market</v>
      </c>
      <c r="U1382" t="str">
        <f t="shared" si="232"/>
        <v>Lost</v>
      </c>
      <c r="V1382" s="3">
        <f t="shared" si="233"/>
        <v>0</v>
      </c>
      <c r="W1382" s="3">
        <f t="shared" si="234"/>
        <v>0</v>
      </c>
      <c r="X1382" s="5">
        <f t="shared" si="235"/>
        <v>16</v>
      </c>
      <c r="Y1382" s="5">
        <f>IF(U1382="Open",Lookups!$B$2-B1382,X1382)</f>
        <v>16</v>
      </c>
      <c r="Z1382" t="str">
        <f t="shared" si="236"/>
        <v>OK</v>
      </c>
      <c r="AA1382" t="str">
        <f t="shared" si="237"/>
        <v>2026-08</v>
      </c>
      <c r="AB1382" t="str">
        <f t="shared" si="238"/>
        <v>2026-09</v>
      </c>
      <c r="AC1382" t="str">
        <f t="shared" si="239"/>
        <v>Q3-2026</v>
      </c>
      <c r="AD1382" s="5">
        <f t="shared" si="240"/>
        <v>70</v>
      </c>
      <c r="AE1382" t="str">
        <f t="shared" si="241"/>
        <v>Lost</v>
      </c>
    </row>
    <row r="1383" spans="1:31">
      <c r="A1383" t="s">
        <v>1485</v>
      </c>
      <c r="B1383" s="1">
        <v>46090</v>
      </c>
      <c r="C1383" t="s">
        <v>56</v>
      </c>
      <c r="D1383" t="s">
        <v>57</v>
      </c>
      <c r="E1383" t="s">
        <v>109</v>
      </c>
      <c r="F1383" t="s">
        <v>45</v>
      </c>
      <c r="G1383" t="s">
        <v>60</v>
      </c>
      <c r="H1383" t="s">
        <v>47</v>
      </c>
      <c r="I1383" t="s">
        <v>61</v>
      </c>
      <c r="J1383" s="1">
        <v>46148</v>
      </c>
      <c r="K1383" s="1">
        <v>46148</v>
      </c>
      <c r="L1383" s="3">
        <v>12300</v>
      </c>
      <c r="M1383" s="4">
        <v>0</v>
      </c>
      <c r="N1383" s="4">
        <v>0</v>
      </c>
      <c r="O1383" t="s">
        <v>81</v>
      </c>
      <c r="P1383">
        <v>2</v>
      </c>
      <c r="Q1383" t="str">
        <f>IFERROR(VLOOKUP(E1383,Lookups!$A$5:$B$24,2,FALSE),"Other")</f>
        <v>Outbound</v>
      </c>
      <c r="R1383" t="str">
        <f>IFERROR(VLOOKUP(F1383,Lookups!$D$5:$F$10,2,FALSE),"Unknown Product")</f>
        <v>Service Cloud</v>
      </c>
      <c r="S1383" t="str">
        <f>IFERROR(VLOOKUP(F1383,Lookups!$D$5:$F$10,3,FALSE),"Unknown")</f>
        <v>Customer Service</v>
      </c>
      <c r="T1383" t="str">
        <f t="shared" si="231"/>
        <v>SMB</v>
      </c>
      <c r="U1383" t="str">
        <f t="shared" si="232"/>
        <v>Lost</v>
      </c>
      <c r="V1383" s="3">
        <f t="shared" si="233"/>
        <v>0</v>
      </c>
      <c r="W1383" s="3">
        <f t="shared" si="234"/>
        <v>0</v>
      </c>
      <c r="X1383" s="5">
        <f t="shared" si="235"/>
        <v>58</v>
      </c>
      <c r="Y1383" s="5">
        <f>IF(U1383="Open",Lookups!$B$2-B1383,X1383)</f>
        <v>58</v>
      </c>
      <c r="Z1383" t="str">
        <f t="shared" si="236"/>
        <v>OK</v>
      </c>
      <c r="AA1383" t="str">
        <f t="shared" si="237"/>
        <v>2026-03</v>
      </c>
      <c r="AB1383" t="str">
        <f t="shared" si="238"/>
        <v>2026-05</v>
      </c>
      <c r="AC1383" t="str">
        <f t="shared" si="239"/>
        <v>Q1-2026</v>
      </c>
      <c r="AD1383" s="5">
        <f t="shared" si="240"/>
        <v>43</v>
      </c>
      <c r="AE1383" t="str">
        <f t="shared" si="241"/>
        <v>Lost</v>
      </c>
    </row>
    <row r="1384" spans="1:31">
      <c r="A1384" t="s">
        <v>1486</v>
      </c>
      <c r="B1384" s="1">
        <v>46054</v>
      </c>
      <c r="C1384" t="s">
        <v>50</v>
      </c>
      <c r="D1384" t="s">
        <v>43</v>
      </c>
      <c r="E1384" t="s">
        <v>146</v>
      </c>
      <c r="F1384" t="s">
        <v>71</v>
      </c>
      <c r="G1384" t="s">
        <v>72</v>
      </c>
      <c r="H1384" t="s">
        <v>47</v>
      </c>
      <c r="I1384" t="s">
        <v>61</v>
      </c>
      <c r="J1384" s="1">
        <v>46088</v>
      </c>
      <c r="K1384" s="1">
        <v>46088</v>
      </c>
      <c r="L1384" s="3">
        <v>14600</v>
      </c>
      <c r="M1384" s="4">
        <v>0</v>
      </c>
      <c r="N1384" s="4">
        <v>0</v>
      </c>
      <c r="O1384" t="s">
        <v>81</v>
      </c>
      <c r="P1384">
        <v>3</v>
      </c>
      <c r="Q1384" t="str">
        <f>IFERROR(VLOOKUP(E1384,Lookups!$A$5:$B$24,2,FALSE),"Other")</f>
        <v>LinkedIn</v>
      </c>
      <c r="R1384" t="str">
        <f>IFERROR(VLOOKUP(F1384,Lookups!$D$5:$F$10,2,FALSE),"Unknown Product")</f>
        <v>Marketing Automation</v>
      </c>
      <c r="S1384" t="str">
        <f>IFERROR(VLOOKUP(F1384,Lookups!$D$5:$F$10,3,FALSE),"Unknown")</f>
        <v>Marketing</v>
      </c>
      <c r="T1384" t="str">
        <f t="shared" si="231"/>
        <v>SMB</v>
      </c>
      <c r="U1384" t="str">
        <f t="shared" si="232"/>
        <v>Lost</v>
      </c>
      <c r="V1384" s="3">
        <f t="shared" si="233"/>
        <v>0</v>
      </c>
      <c r="W1384" s="3">
        <f t="shared" si="234"/>
        <v>0</v>
      </c>
      <c r="X1384" s="5">
        <f t="shared" si="235"/>
        <v>34</v>
      </c>
      <c r="Y1384" s="5">
        <f>IF(U1384="Open",Lookups!$B$2-B1384,X1384)</f>
        <v>34</v>
      </c>
      <c r="Z1384" t="str">
        <f t="shared" si="236"/>
        <v>OK</v>
      </c>
      <c r="AA1384" t="str">
        <f t="shared" si="237"/>
        <v>2026-02</v>
      </c>
      <c r="AB1384" t="str">
        <f t="shared" si="238"/>
        <v>2026-03</v>
      </c>
      <c r="AC1384" t="str">
        <f t="shared" si="239"/>
        <v>Q1-2026</v>
      </c>
      <c r="AD1384" s="5">
        <f t="shared" si="240"/>
        <v>43</v>
      </c>
      <c r="AE1384" t="str">
        <f t="shared" si="241"/>
        <v>Lost</v>
      </c>
    </row>
    <row r="1385" spans="1:31">
      <c r="A1385" t="s">
        <v>1487</v>
      </c>
      <c r="B1385" s="1">
        <v>45898</v>
      </c>
      <c r="C1385" t="s">
        <v>42</v>
      </c>
      <c r="D1385" t="s">
        <v>43</v>
      </c>
      <c r="E1385" t="s">
        <v>146</v>
      </c>
      <c r="F1385" t="s">
        <v>71</v>
      </c>
      <c r="G1385" t="s">
        <v>99</v>
      </c>
      <c r="H1385" t="s">
        <v>47</v>
      </c>
      <c r="I1385" t="s">
        <v>61</v>
      </c>
      <c r="J1385" s="1">
        <v>45931</v>
      </c>
      <c r="K1385" s="1">
        <v>45931</v>
      </c>
      <c r="L1385" s="3">
        <v>16000</v>
      </c>
      <c r="M1385" s="4">
        <v>0</v>
      </c>
      <c r="N1385" s="4">
        <v>0</v>
      </c>
      <c r="O1385" t="s">
        <v>62</v>
      </c>
      <c r="P1385">
        <v>5</v>
      </c>
      <c r="Q1385" t="str">
        <f>IFERROR(VLOOKUP(E1385,Lookups!$A$5:$B$24,2,FALSE),"Other")</f>
        <v>LinkedIn</v>
      </c>
      <c r="R1385" t="str">
        <f>IFERROR(VLOOKUP(F1385,Lookups!$D$5:$F$10,2,FALSE),"Unknown Product")</f>
        <v>Marketing Automation</v>
      </c>
      <c r="S1385" t="str">
        <f>IFERROR(VLOOKUP(F1385,Lookups!$D$5:$F$10,3,FALSE),"Unknown")</f>
        <v>Marketing</v>
      </c>
      <c r="T1385" t="str">
        <f t="shared" si="231"/>
        <v>SMB</v>
      </c>
      <c r="U1385" t="str">
        <f t="shared" si="232"/>
        <v>Lost</v>
      </c>
      <c r="V1385" s="3">
        <f t="shared" si="233"/>
        <v>0</v>
      </c>
      <c r="W1385" s="3">
        <f t="shared" si="234"/>
        <v>0</v>
      </c>
      <c r="X1385" s="5">
        <f t="shared" si="235"/>
        <v>33</v>
      </c>
      <c r="Y1385" s="5">
        <f>IF(U1385="Open",Lookups!$B$2-B1385,X1385)</f>
        <v>33</v>
      </c>
      <c r="Z1385" t="str">
        <f t="shared" si="236"/>
        <v>OK</v>
      </c>
      <c r="AA1385" t="str">
        <f t="shared" si="237"/>
        <v>2025-08</v>
      </c>
      <c r="AB1385" t="str">
        <f t="shared" si="238"/>
        <v>2025-10</v>
      </c>
      <c r="AC1385" t="str">
        <f t="shared" si="239"/>
        <v>Q3-2025</v>
      </c>
      <c r="AD1385" s="5">
        <f t="shared" si="240"/>
        <v>43</v>
      </c>
      <c r="AE1385" t="str">
        <f t="shared" si="241"/>
        <v>Lost</v>
      </c>
    </row>
    <row r="1386" spans="1:31">
      <c r="A1386" t="s">
        <v>1488</v>
      </c>
      <c r="B1386" s="1">
        <v>45998</v>
      </c>
      <c r="C1386" t="s">
        <v>86</v>
      </c>
      <c r="D1386" t="s">
        <v>87</v>
      </c>
      <c r="E1386" t="s">
        <v>92</v>
      </c>
      <c r="F1386" t="s">
        <v>45</v>
      </c>
      <c r="G1386" t="s">
        <v>94</v>
      </c>
      <c r="H1386" t="s">
        <v>47</v>
      </c>
      <c r="I1386" t="s">
        <v>61</v>
      </c>
      <c r="J1386" s="1">
        <v>46013</v>
      </c>
      <c r="K1386" s="1">
        <v>46013</v>
      </c>
      <c r="L1386" s="3">
        <v>14700</v>
      </c>
      <c r="M1386" s="4">
        <v>0</v>
      </c>
      <c r="N1386" s="4">
        <v>0</v>
      </c>
      <c r="O1386" t="s">
        <v>62</v>
      </c>
      <c r="P1386">
        <v>2</v>
      </c>
      <c r="Q1386" t="str">
        <f>IFERROR(VLOOKUP(E1386,Lookups!$A$5:$B$24,2,FALSE),"Other")</f>
        <v>Webinar</v>
      </c>
      <c r="R1386" t="str">
        <f>IFERROR(VLOOKUP(F1386,Lookups!$D$5:$F$10,2,FALSE),"Unknown Product")</f>
        <v>Service Cloud</v>
      </c>
      <c r="S1386" t="str">
        <f>IFERROR(VLOOKUP(F1386,Lookups!$D$5:$F$10,3,FALSE),"Unknown")</f>
        <v>Customer Service</v>
      </c>
      <c r="T1386" t="str">
        <f t="shared" si="231"/>
        <v>SMB</v>
      </c>
      <c r="U1386" t="str">
        <f t="shared" si="232"/>
        <v>Lost</v>
      </c>
      <c r="V1386" s="3">
        <f t="shared" si="233"/>
        <v>0</v>
      </c>
      <c r="W1386" s="3">
        <f t="shared" si="234"/>
        <v>0</v>
      </c>
      <c r="X1386" s="5">
        <f t="shared" si="235"/>
        <v>15</v>
      </c>
      <c r="Y1386" s="5">
        <f>IF(U1386="Open",Lookups!$B$2-B1386,X1386)</f>
        <v>15</v>
      </c>
      <c r="Z1386" t="str">
        <f t="shared" si="236"/>
        <v>OK</v>
      </c>
      <c r="AA1386" t="str">
        <f t="shared" si="237"/>
        <v>2025-12</v>
      </c>
      <c r="AB1386" t="str">
        <f t="shared" si="238"/>
        <v>2025-12</v>
      </c>
      <c r="AC1386" t="str">
        <f t="shared" si="239"/>
        <v>Q4-2025</v>
      </c>
      <c r="AD1386" s="5">
        <f t="shared" si="240"/>
        <v>43</v>
      </c>
      <c r="AE1386" t="str">
        <f t="shared" si="241"/>
        <v>Lost</v>
      </c>
    </row>
    <row r="1387" spans="1:31">
      <c r="A1387" t="s">
        <v>1489</v>
      </c>
      <c r="B1387" s="1">
        <v>45722</v>
      </c>
      <c r="C1387" t="s">
        <v>148</v>
      </c>
      <c r="D1387" t="s">
        <v>43</v>
      </c>
      <c r="E1387" t="s">
        <v>119</v>
      </c>
      <c r="F1387" t="s">
        <v>52</v>
      </c>
      <c r="G1387" t="s">
        <v>99</v>
      </c>
      <c r="H1387" t="s">
        <v>47</v>
      </c>
      <c r="I1387" t="s">
        <v>61</v>
      </c>
      <c r="J1387" s="1">
        <v>45760</v>
      </c>
      <c r="K1387" s="1">
        <v>45760</v>
      </c>
      <c r="L1387" s="3">
        <v>4600</v>
      </c>
      <c r="M1387" s="4">
        <v>0</v>
      </c>
      <c r="N1387" s="4">
        <v>0</v>
      </c>
      <c r="O1387" t="s">
        <v>102</v>
      </c>
      <c r="P1387">
        <v>4</v>
      </c>
      <c r="Q1387" t="str">
        <f>IFERROR(VLOOKUP(E1387,Lookups!$A$5:$B$24,2,FALSE),"Other")</f>
        <v>Referral</v>
      </c>
      <c r="R1387" t="str">
        <f>IFERROR(VLOOKUP(F1387,Lookups!$D$5:$F$10,2,FALSE),"Unknown Product")</f>
        <v>NexaCRM Core</v>
      </c>
      <c r="S1387" t="str">
        <f>IFERROR(VLOOKUP(F1387,Lookups!$D$5:$F$10,3,FALSE),"Unknown")</f>
        <v>CRM</v>
      </c>
      <c r="T1387" t="str">
        <f t="shared" si="231"/>
        <v>SMB</v>
      </c>
      <c r="U1387" t="str">
        <f t="shared" si="232"/>
        <v>Lost</v>
      </c>
      <c r="V1387" s="3">
        <f t="shared" si="233"/>
        <v>0</v>
      </c>
      <c r="W1387" s="3">
        <f t="shared" si="234"/>
        <v>0</v>
      </c>
      <c r="X1387" s="5">
        <f t="shared" si="235"/>
        <v>38</v>
      </c>
      <c r="Y1387" s="5">
        <f>IF(U1387="Open",Lookups!$B$2-B1387,X1387)</f>
        <v>38</v>
      </c>
      <c r="Z1387" t="str">
        <f t="shared" si="236"/>
        <v>OK</v>
      </c>
      <c r="AA1387" t="str">
        <f t="shared" si="237"/>
        <v>2025-03</v>
      </c>
      <c r="AB1387" t="str">
        <f t="shared" si="238"/>
        <v>2025-04</v>
      </c>
      <c r="AC1387" t="str">
        <f t="shared" si="239"/>
        <v>Q1-2025</v>
      </c>
      <c r="AD1387" s="5">
        <f t="shared" si="240"/>
        <v>54</v>
      </c>
      <c r="AE1387" t="str">
        <f t="shared" si="241"/>
        <v>Lost</v>
      </c>
    </row>
    <row r="1388" spans="1:31">
      <c r="A1388" t="s">
        <v>1490</v>
      </c>
      <c r="B1388" s="1">
        <v>46191</v>
      </c>
      <c r="C1388" t="s">
        <v>56</v>
      </c>
      <c r="D1388" t="s">
        <v>57</v>
      </c>
      <c r="E1388" t="s">
        <v>65</v>
      </c>
      <c r="F1388" t="s">
        <v>52</v>
      </c>
      <c r="G1388" t="s">
        <v>76</v>
      </c>
      <c r="H1388" t="s">
        <v>47</v>
      </c>
      <c r="I1388" t="s">
        <v>61</v>
      </c>
      <c r="J1388" s="1">
        <v>46208</v>
      </c>
      <c r="K1388" s="1">
        <v>46208</v>
      </c>
      <c r="L1388" s="3">
        <v>9900</v>
      </c>
      <c r="M1388" s="4">
        <v>0</v>
      </c>
      <c r="N1388" s="4">
        <v>0</v>
      </c>
      <c r="O1388" t="s">
        <v>81</v>
      </c>
      <c r="P1388">
        <v>4</v>
      </c>
      <c r="Q1388" t="str">
        <f>IFERROR(VLOOKUP(E1388,Lookups!$A$5:$B$24,2,FALSE),"Other")</f>
        <v>Paid Search</v>
      </c>
      <c r="R1388" t="str">
        <f>IFERROR(VLOOKUP(F1388,Lookups!$D$5:$F$10,2,FALSE),"Unknown Product")</f>
        <v>NexaCRM Core</v>
      </c>
      <c r="S1388" t="str">
        <f>IFERROR(VLOOKUP(F1388,Lookups!$D$5:$F$10,3,FALSE),"Unknown")</f>
        <v>CRM</v>
      </c>
      <c r="T1388" t="str">
        <f t="shared" si="231"/>
        <v>SMB</v>
      </c>
      <c r="U1388" t="str">
        <f t="shared" si="232"/>
        <v>Lost</v>
      </c>
      <c r="V1388" s="3">
        <f t="shared" si="233"/>
        <v>0</v>
      </c>
      <c r="W1388" s="3">
        <f t="shared" si="234"/>
        <v>0</v>
      </c>
      <c r="X1388" s="5">
        <f t="shared" si="235"/>
        <v>17</v>
      </c>
      <c r="Y1388" s="5">
        <f>IF(U1388="Open",Lookups!$B$2-B1388,X1388)</f>
        <v>17</v>
      </c>
      <c r="Z1388" t="str">
        <f t="shared" si="236"/>
        <v>OK</v>
      </c>
      <c r="AA1388" t="str">
        <f t="shared" si="237"/>
        <v>2026-06</v>
      </c>
      <c r="AB1388" t="str">
        <f t="shared" si="238"/>
        <v>2026-07</v>
      </c>
      <c r="AC1388" t="str">
        <f t="shared" si="239"/>
        <v>Q2-2026</v>
      </c>
      <c r="AD1388" s="5">
        <f t="shared" si="240"/>
        <v>43</v>
      </c>
      <c r="AE1388" t="str">
        <f t="shared" si="241"/>
        <v>Lost</v>
      </c>
    </row>
    <row r="1389" spans="1:31">
      <c r="A1389" t="s">
        <v>1491</v>
      </c>
      <c r="B1389" s="1">
        <v>45781</v>
      </c>
      <c r="C1389" t="s">
        <v>56</v>
      </c>
      <c r="D1389" t="s">
        <v>57</v>
      </c>
      <c r="E1389" t="s">
        <v>96</v>
      </c>
      <c r="F1389" t="s">
        <v>67</v>
      </c>
      <c r="G1389" t="s">
        <v>46</v>
      </c>
      <c r="H1389" t="s">
        <v>53</v>
      </c>
      <c r="I1389" t="s">
        <v>61</v>
      </c>
      <c r="J1389" s="1">
        <v>45829</v>
      </c>
      <c r="K1389" s="1">
        <v>45829</v>
      </c>
      <c r="L1389" s="3">
        <v>37700</v>
      </c>
      <c r="M1389" s="4">
        <v>0</v>
      </c>
      <c r="N1389" s="4">
        <v>0</v>
      </c>
      <c r="O1389" t="s">
        <v>110</v>
      </c>
      <c r="P1389">
        <v>2</v>
      </c>
      <c r="Q1389" t="str">
        <f>IFERROR(VLOOKUP(E1389,Lookups!$A$5:$B$24,2,FALSE),"Other")</f>
        <v>LinkedIn</v>
      </c>
      <c r="R1389" t="str">
        <f>IFERROR(VLOOKUP(F1389,Lookups!$D$5:$F$10,2,FALSE),"Unknown Product")</f>
        <v>Revenue Operations Suite</v>
      </c>
      <c r="S1389" t="str">
        <f>IFERROR(VLOOKUP(F1389,Lookups!$D$5:$F$10,3,FALSE),"Unknown")</f>
        <v>Revenue Ops</v>
      </c>
      <c r="T1389" t="str">
        <f t="shared" si="231"/>
        <v>Mid-Market</v>
      </c>
      <c r="U1389" t="str">
        <f t="shared" si="232"/>
        <v>Lost</v>
      </c>
      <c r="V1389" s="3">
        <f t="shared" si="233"/>
        <v>0</v>
      </c>
      <c r="W1389" s="3">
        <f t="shared" si="234"/>
        <v>0</v>
      </c>
      <c r="X1389" s="5">
        <f t="shared" si="235"/>
        <v>48</v>
      </c>
      <c r="Y1389" s="5">
        <f>IF(U1389="Open",Lookups!$B$2-B1389,X1389)</f>
        <v>48</v>
      </c>
      <c r="Z1389" t="str">
        <f t="shared" si="236"/>
        <v>OK</v>
      </c>
      <c r="AA1389" t="str">
        <f t="shared" si="237"/>
        <v>2025-05</v>
      </c>
      <c r="AB1389" t="str">
        <f t="shared" si="238"/>
        <v>2025-06</v>
      </c>
      <c r="AC1389" t="str">
        <f t="shared" si="239"/>
        <v>Q2-2025</v>
      </c>
      <c r="AD1389" s="5">
        <f t="shared" si="240"/>
        <v>59</v>
      </c>
      <c r="AE1389" t="str">
        <f t="shared" si="241"/>
        <v>Lost</v>
      </c>
    </row>
    <row r="1390" spans="1:31">
      <c r="A1390" t="s">
        <v>1492</v>
      </c>
      <c r="B1390" s="1">
        <v>45850</v>
      </c>
      <c r="C1390" t="s">
        <v>69</v>
      </c>
      <c r="D1390" t="s">
        <v>57</v>
      </c>
      <c r="E1390" t="s">
        <v>146</v>
      </c>
      <c r="F1390" t="s">
        <v>59</v>
      </c>
      <c r="G1390" t="s">
        <v>60</v>
      </c>
      <c r="H1390" t="s">
        <v>47</v>
      </c>
      <c r="I1390" t="s">
        <v>61</v>
      </c>
      <c r="J1390" s="1">
        <v>45885</v>
      </c>
      <c r="K1390" s="1">
        <v>45885</v>
      </c>
      <c r="L1390" s="3">
        <v>12900</v>
      </c>
      <c r="M1390" s="4">
        <v>0</v>
      </c>
      <c r="N1390" s="4">
        <v>0</v>
      </c>
      <c r="O1390" t="s">
        <v>79</v>
      </c>
      <c r="P1390">
        <v>2</v>
      </c>
      <c r="Q1390" t="str">
        <f>IFERROR(VLOOKUP(E1390,Lookups!$A$5:$B$24,2,FALSE),"Other")</f>
        <v>LinkedIn</v>
      </c>
      <c r="R1390" t="str">
        <f>IFERROR(VLOOKUP(F1390,Lookups!$D$5:$F$10,2,FALSE),"Unknown Product")</f>
        <v>NexaCRM Pro</v>
      </c>
      <c r="S1390" t="str">
        <f>IFERROR(VLOOKUP(F1390,Lookups!$D$5:$F$10,3,FALSE),"Unknown")</f>
        <v>CRM</v>
      </c>
      <c r="T1390" t="str">
        <f t="shared" si="231"/>
        <v>SMB</v>
      </c>
      <c r="U1390" t="str">
        <f t="shared" si="232"/>
        <v>Lost</v>
      </c>
      <c r="V1390" s="3">
        <f t="shared" si="233"/>
        <v>0</v>
      </c>
      <c r="W1390" s="3">
        <f t="shared" si="234"/>
        <v>0</v>
      </c>
      <c r="X1390" s="5">
        <f t="shared" si="235"/>
        <v>35</v>
      </c>
      <c r="Y1390" s="5">
        <f>IF(U1390="Open",Lookups!$B$2-B1390,X1390)</f>
        <v>35</v>
      </c>
      <c r="Z1390" t="str">
        <f t="shared" si="236"/>
        <v>OK</v>
      </c>
      <c r="AA1390" t="str">
        <f t="shared" si="237"/>
        <v>2025-07</v>
      </c>
      <c r="AB1390" t="str">
        <f t="shared" si="238"/>
        <v>2025-08</v>
      </c>
      <c r="AC1390" t="str">
        <f t="shared" si="239"/>
        <v>Q3-2025</v>
      </c>
      <c r="AD1390" s="5">
        <f t="shared" si="240"/>
        <v>43</v>
      </c>
      <c r="AE1390" t="str">
        <f t="shared" si="241"/>
        <v>Lost</v>
      </c>
    </row>
    <row r="1391" spans="1:31">
      <c r="A1391" t="s">
        <v>1493</v>
      </c>
      <c r="B1391" s="1">
        <v>45842</v>
      </c>
      <c r="C1391" t="s">
        <v>69</v>
      </c>
      <c r="D1391" t="s">
        <v>57</v>
      </c>
      <c r="E1391" t="s">
        <v>109</v>
      </c>
      <c r="F1391" t="s">
        <v>71</v>
      </c>
      <c r="G1391" t="s">
        <v>112</v>
      </c>
      <c r="H1391" t="s">
        <v>53</v>
      </c>
      <c r="I1391" t="s">
        <v>61</v>
      </c>
      <c r="J1391" s="1">
        <v>45891</v>
      </c>
      <c r="K1391" s="1">
        <v>45891</v>
      </c>
      <c r="L1391" s="3">
        <v>31500</v>
      </c>
      <c r="M1391" s="4">
        <v>0</v>
      </c>
      <c r="N1391" s="4">
        <v>0</v>
      </c>
      <c r="O1391" t="s">
        <v>110</v>
      </c>
      <c r="P1391">
        <v>5</v>
      </c>
      <c r="Q1391" t="str">
        <f>IFERROR(VLOOKUP(E1391,Lookups!$A$5:$B$24,2,FALSE),"Other")</f>
        <v>Outbound</v>
      </c>
      <c r="R1391" t="str">
        <f>IFERROR(VLOOKUP(F1391,Lookups!$D$5:$F$10,2,FALSE),"Unknown Product")</f>
        <v>Marketing Automation</v>
      </c>
      <c r="S1391" t="str">
        <f>IFERROR(VLOOKUP(F1391,Lookups!$D$5:$F$10,3,FALSE),"Unknown")</f>
        <v>Marketing</v>
      </c>
      <c r="T1391" t="str">
        <f t="shared" si="231"/>
        <v>Mid-Market</v>
      </c>
      <c r="U1391" t="str">
        <f t="shared" si="232"/>
        <v>Lost</v>
      </c>
      <c r="V1391" s="3">
        <f t="shared" si="233"/>
        <v>0</v>
      </c>
      <c r="W1391" s="3">
        <f t="shared" si="234"/>
        <v>0</v>
      </c>
      <c r="X1391" s="5">
        <f t="shared" si="235"/>
        <v>49</v>
      </c>
      <c r="Y1391" s="5">
        <f>IF(U1391="Open",Lookups!$B$2-B1391,X1391)</f>
        <v>49</v>
      </c>
      <c r="Z1391" t="str">
        <f t="shared" si="236"/>
        <v>OK</v>
      </c>
      <c r="AA1391" t="str">
        <f t="shared" si="237"/>
        <v>2025-07</v>
      </c>
      <c r="AB1391" t="str">
        <f t="shared" si="238"/>
        <v>2025-08</v>
      </c>
      <c r="AC1391" t="str">
        <f t="shared" si="239"/>
        <v>Q3-2025</v>
      </c>
      <c r="AD1391" s="5">
        <f t="shared" si="240"/>
        <v>64</v>
      </c>
      <c r="AE1391" t="str">
        <f t="shared" si="241"/>
        <v>Lost</v>
      </c>
    </row>
    <row r="1392" spans="1:31">
      <c r="A1392" t="s">
        <v>1494</v>
      </c>
      <c r="B1392" s="1">
        <v>45907</v>
      </c>
      <c r="C1392" t="s">
        <v>56</v>
      </c>
      <c r="D1392" t="s">
        <v>57</v>
      </c>
      <c r="E1392" t="s">
        <v>119</v>
      </c>
      <c r="F1392" t="s">
        <v>133</v>
      </c>
      <c r="G1392" t="s">
        <v>112</v>
      </c>
      <c r="H1392" t="s">
        <v>53</v>
      </c>
      <c r="I1392" t="s">
        <v>48</v>
      </c>
      <c r="J1392" s="1">
        <v>46173</v>
      </c>
      <c r="K1392" s="1"/>
      <c r="L1392" s="3">
        <v>35700</v>
      </c>
      <c r="M1392" s="4">
        <v>0</v>
      </c>
      <c r="N1392" s="4">
        <v>0.85</v>
      </c>
      <c r="P1392">
        <v>5</v>
      </c>
      <c r="Q1392" t="str">
        <f>IFERROR(VLOOKUP(E1392,Lookups!$A$5:$B$24,2,FALSE),"Other")</f>
        <v>Referral</v>
      </c>
      <c r="R1392" t="str">
        <f>IFERROR(VLOOKUP(F1392,Lookups!$D$5:$F$10,2,FALSE),"Unknown Product")</f>
        <v>Analytics Plus</v>
      </c>
      <c r="S1392" t="str">
        <f>IFERROR(VLOOKUP(F1392,Lookups!$D$5:$F$10,3,FALSE),"Unknown")</f>
        <v>Analytics</v>
      </c>
      <c r="T1392" t="str">
        <f t="shared" si="231"/>
        <v>Mid-Market</v>
      </c>
      <c r="U1392" t="str">
        <f t="shared" si="232"/>
        <v>Open</v>
      </c>
      <c r="V1392" s="3">
        <f t="shared" si="233"/>
        <v>0</v>
      </c>
      <c r="W1392" s="3">
        <f t="shared" si="234"/>
        <v>30345</v>
      </c>
      <c r="X1392" s="5" t="str">
        <f t="shared" si="235"/>
        <v/>
      </c>
      <c r="Y1392" s="5">
        <f>IF(U1392="Open",Lookups!$B$2-B1392,X1392)</f>
        <v>359</v>
      </c>
      <c r="Z1392" t="str">
        <f t="shared" si="236"/>
        <v>STALE</v>
      </c>
      <c r="AA1392" t="str">
        <f t="shared" si="237"/>
        <v>2025-09</v>
      </c>
      <c r="AB1392" t="str">
        <f t="shared" si="238"/>
        <v/>
      </c>
      <c r="AC1392" t="str">
        <f t="shared" si="239"/>
        <v>Q3-2025</v>
      </c>
      <c r="AD1392" s="5">
        <f t="shared" si="240"/>
        <v>75</v>
      </c>
      <c r="AE1392" t="str">
        <f t="shared" si="241"/>
        <v>Commit</v>
      </c>
    </row>
    <row r="1393" spans="1:31">
      <c r="A1393" t="s">
        <v>1495</v>
      </c>
      <c r="B1393" s="1">
        <v>45966</v>
      </c>
      <c r="C1393" t="s">
        <v>42</v>
      </c>
      <c r="D1393" t="s">
        <v>43</v>
      </c>
      <c r="E1393" t="s">
        <v>123</v>
      </c>
      <c r="F1393" t="s">
        <v>67</v>
      </c>
      <c r="G1393" t="s">
        <v>112</v>
      </c>
      <c r="H1393" t="s">
        <v>47</v>
      </c>
      <c r="I1393" t="s">
        <v>48</v>
      </c>
      <c r="J1393" s="1">
        <v>46196</v>
      </c>
      <c r="K1393" s="1"/>
      <c r="L1393" s="3">
        <v>32500</v>
      </c>
      <c r="M1393" s="4">
        <v>0</v>
      </c>
      <c r="N1393" s="4">
        <v>0.85</v>
      </c>
      <c r="P1393">
        <v>5</v>
      </c>
      <c r="Q1393" t="str">
        <f>IFERROR(VLOOKUP(E1393,Lookups!$A$5:$B$24,2,FALSE),"Other")</f>
        <v>Email</v>
      </c>
      <c r="R1393" t="str">
        <f>IFERROR(VLOOKUP(F1393,Lookups!$D$5:$F$10,2,FALSE),"Unknown Product")</f>
        <v>Revenue Operations Suite</v>
      </c>
      <c r="S1393" t="str">
        <f>IFERROR(VLOOKUP(F1393,Lookups!$D$5:$F$10,3,FALSE),"Unknown")</f>
        <v>Revenue Ops</v>
      </c>
      <c r="T1393" t="str">
        <f t="shared" si="231"/>
        <v>Mid-Market</v>
      </c>
      <c r="U1393" t="str">
        <f t="shared" si="232"/>
        <v>Open</v>
      </c>
      <c r="V1393" s="3">
        <f t="shared" si="233"/>
        <v>0</v>
      </c>
      <c r="W1393" s="3">
        <f t="shared" si="234"/>
        <v>27625</v>
      </c>
      <c r="X1393" s="5" t="str">
        <f t="shared" si="235"/>
        <v/>
      </c>
      <c r="Y1393" s="5">
        <f>IF(U1393="Open",Lookups!$B$2-B1393,X1393)</f>
        <v>300</v>
      </c>
      <c r="Z1393" t="str">
        <f t="shared" si="236"/>
        <v>STALE</v>
      </c>
      <c r="AA1393" t="str">
        <f t="shared" si="237"/>
        <v>2025-11</v>
      </c>
      <c r="AB1393" t="str">
        <f t="shared" si="238"/>
        <v/>
      </c>
      <c r="AC1393" t="str">
        <f t="shared" si="239"/>
        <v>Q4-2025</v>
      </c>
      <c r="AD1393" s="5">
        <f t="shared" si="240"/>
        <v>60</v>
      </c>
      <c r="AE1393" t="str">
        <f t="shared" si="241"/>
        <v>Commit</v>
      </c>
    </row>
    <row r="1394" spans="1:31">
      <c r="A1394" t="s">
        <v>1496</v>
      </c>
      <c r="B1394" s="1">
        <v>45794</v>
      </c>
      <c r="C1394" t="s">
        <v>90</v>
      </c>
      <c r="D1394" t="s">
        <v>57</v>
      </c>
      <c r="E1394" t="s">
        <v>123</v>
      </c>
      <c r="F1394" t="s">
        <v>45</v>
      </c>
      <c r="G1394" t="s">
        <v>60</v>
      </c>
      <c r="H1394" t="s">
        <v>53</v>
      </c>
      <c r="I1394" t="s">
        <v>61</v>
      </c>
      <c r="J1394" s="1">
        <v>45820</v>
      </c>
      <c r="K1394" s="1">
        <v>45820</v>
      </c>
      <c r="L1394" s="3">
        <v>50200</v>
      </c>
      <c r="M1394" s="4">
        <v>0</v>
      </c>
      <c r="N1394" s="4">
        <v>0</v>
      </c>
      <c r="O1394" t="s">
        <v>110</v>
      </c>
      <c r="P1394">
        <v>5</v>
      </c>
      <c r="Q1394" t="str">
        <f>IFERROR(VLOOKUP(E1394,Lookups!$A$5:$B$24,2,FALSE),"Other")</f>
        <v>Email</v>
      </c>
      <c r="R1394" t="str">
        <f>IFERROR(VLOOKUP(F1394,Lookups!$D$5:$F$10,2,FALSE),"Unknown Product")</f>
        <v>Service Cloud</v>
      </c>
      <c r="S1394" t="str">
        <f>IFERROR(VLOOKUP(F1394,Lookups!$D$5:$F$10,3,FALSE),"Unknown")</f>
        <v>Customer Service</v>
      </c>
      <c r="T1394" t="str">
        <f t="shared" si="231"/>
        <v>Enterprise</v>
      </c>
      <c r="U1394" t="str">
        <f t="shared" si="232"/>
        <v>Lost</v>
      </c>
      <c r="V1394" s="3">
        <f t="shared" si="233"/>
        <v>0</v>
      </c>
      <c r="W1394" s="3">
        <f t="shared" si="234"/>
        <v>0</v>
      </c>
      <c r="X1394" s="5">
        <f t="shared" si="235"/>
        <v>26</v>
      </c>
      <c r="Y1394" s="5">
        <f>IF(U1394="Open",Lookups!$B$2-B1394,X1394)</f>
        <v>26</v>
      </c>
      <c r="Z1394" t="str">
        <f t="shared" si="236"/>
        <v>OK</v>
      </c>
      <c r="AA1394" t="str">
        <f t="shared" si="237"/>
        <v>2025-05</v>
      </c>
      <c r="AB1394" t="str">
        <f t="shared" si="238"/>
        <v>2025-06</v>
      </c>
      <c r="AC1394" t="str">
        <f t="shared" si="239"/>
        <v>Q2-2025</v>
      </c>
      <c r="AD1394" s="5">
        <f t="shared" si="240"/>
        <v>70</v>
      </c>
      <c r="AE1394" t="str">
        <f t="shared" si="241"/>
        <v>Lost</v>
      </c>
    </row>
    <row r="1395" spans="1:31">
      <c r="A1395" t="s">
        <v>1497</v>
      </c>
      <c r="B1395" s="1">
        <v>45731</v>
      </c>
      <c r="C1395" t="s">
        <v>42</v>
      </c>
      <c r="D1395" t="s">
        <v>43</v>
      </c>
      <c r="E1395" t="s">
        <v>119</v>
      </c>
      <c r="F1395" t="s">
        <v>59</v>
      </c>
      <c r="G1395" t="s">
        <v>112</v>
      </c>
      <c r="H1395" t="s">
        <v>47</v>
      </c>
      <c r="I1395" t="s">
        <v>77</v>
      </c>
      <c r="J1395" s="1">
        <v>45812</v>
      </c>
      <c r="K1395" s="1">
        <v>45812</v>
      </c>
      <c r="L1395" s="3">
        <v>11100</v>
      </c>
      <c r="M1395" s="4">
        <v>0.08</v>
      </c>
      <c r="N1395" s="4">
        <v>1</v>
      </c>
      <c r="P1395">
        <v>6</v>
      </c>
      <c r="Q1395" t="str">
        <f>IFERROR(VLOOKUP(E1395,Lookups!$A$5:$B$24,2,FALSE),"Other")</f>
        <v>Referral</v>
      </c>
      <c r="R1395" t="str">
        <f>IFERROR(VLOOKUP(F1395,Lookups!$D$5:$F$10,2,FALSE),"Unknown Product")</f>
        <v>NexaCRM Pro</v>
      </c>
      <c r="S1395" t="str">
        <f>IFERROR(VLOOKUP(F1395,Lookups!$D$5:$F$10,3,FALSE),"Unknown")</f>
        <v>CRM</v>
      </c>
      <c r="T1395" t="str">
        <f t="shared" si="231"/>
        <v>SMB</v>
      </c>
      <c r="U1395" t="str">
        <f t="shared" si="232"/>
        <v>Won</v>
      </c>
      <c r="V1395" s="3">
        <f t="shared" si="233"/>
        <v>10212</v>
      </c>
      <c r="W1395" s="3">
        <f t="shared" si="234"/>
        <v>0</v>
      </c>
      <c r="X1395" s="5">
        <f t="shared" si="235"/>
        <v>81</v>
      </c>
      <c r="Y1395" s="5">
        <f>IF(U1395="Open",Lookups!$B$2-B1395,X1395)</f>
        <v>81</v>
      </c>
      <c r="Z1395" t="str">
        <f t="shared" si="236"/>
        <v>OK</v>
      </c>
      <c r="AA1395" t="str">
        <f t="shared" si="237"/>
        <v>2025-03</v>
      </c>
      <c r="AB1395" t="str">
        <f t="shared" si="238"/>
        <v>2025-06</v>
      </c>
      <c r="AC1395" t="str">
        <f t="shared" si="239"/>
        <v>Q1-2025</v>
      </c>
      <c r="AD1395" s="5">
        <f t="shared" si="240"/>
        <v>59</v>
      </c>
      <c r="AE1395" t="str">
        <f t="shared" si="241"/>
        <v>Won</v>
      </c>
    </row>
    <row r="1396" spans="1:31">
      <c r="A1396" t="s">
        <v>1498</v>
      </c>
      <c r="B1396" s="1">
        <v>45743</v>
      </c>
      <c r="C1396" t="s">
        <v>64</v>
      </c>
      <c r="D1396" t="s">
        <v>57</v>
      </c>
      <c r="E1396" t="s">
        <v>115</v>
      </c>
      <c r="F1396" t="s">
        <v>59</v>
      </c>
      <c r="G1396" t="s">
        <v>46</v>
      </c>
      <c r="H1396" t="s">
        <v>53</v>
      </c>
      <c r="I1396" t="s">
        <v>77</v>
      </c>
      <c r="J1396" s="1">
        <v>45804</v>
      </c>
      <c r="K1396" s="1">
        <v>45804</v>
      </c>
      <c r="L1396" s="3">
        <v>30300</v>
      </c>
      <c r="M1396" s="4">
        <v>0</v>
      </c>
      <c r="N1396" s="4">
        <v>1</v>
      </c>
      <c r="P1396">
        <v>6</v>
      </c>
      <c r="Q1396" t="str">
        <f>IFERROR(VLOOKUP(E1396,Lookups!$A$5:$B$24,2,FALSE),"Other")</f>
        <v>Outbound</v>
      </c>
      <c r="R1396" t="str">
        <f>IFERROR(VLOOKUP(F1396,Lookups!$D$5:$F$10,2,FALSE),"Unknown Product")</f>
        <v>NexaCRM Pro</v>
      </c>
      <c r="S1396" t="str">
        <f>IFERROR(VLOOKUP(F1396,Lookups!$D$5:$F$10,3,FALSE),"Unknown")</f>
        <v>CRM</v>
      </c>
      <c r="T1396" t="str">
        <f t="shared" si="231"/>
        <v>Mid-Market</v>
      </c>
      <c r="U1396" t="str">
        <f t="shared" si="232"/>
        <v>Won</v>
      </c>
      <c r="V1396" s="3">
        <f t="shared" si="233"/>
        <v>30300</v>
      </c>
      <c r="W1396" s="3">
        <f t="shared" si="234"/>
        <v>0</v>
      </c>
      <c r="X1396" s="5">
        <f t="shared" si="235"/>
        <v>61</v>
      </c>
      <c r="Y1396" s="5">
        <f>IF(U1396="Open",Lookups!$B$2-B1396,X1396)</f>
        <v>61</v>
      </c>
      <c r="Z1396" t="str">
        <f t="shared" si="236"/>
        <v>OK</v>
      </c>
      <c r="AA1396" t="str">
        <f t="shared" si="237"/>
        <v>2025-03</v>
      </c>
      <c r="AB1396" t="str">
        <f t="shared" si="238"/>
        <v>2025-05</v>
      </c>
      <c r="AC1396" t="str">
        <f t="shared" si="239"/>
        <v>Q1-2025</v>
      </c>
      <c r="AD1396" s="5">
        <f t="shared" si="240"/>
        <v>59</v>
      </c>
      <c r="AE1396" t="str">
        <f t="shared" si="241"/>
        <v>Won</v>
      </c>
    </row>
    <row r="1397" spans="1:31">
      <c r="A1397" t="s">
        <v>1499</v>
      </c>
      <c r="B1397" s="1">
        <v>45809</v>
      </c>
      <c r="C1397" t="s">
        <v>69</v>
      </c>
      <c r="D1397" t="s">
        <v>57</v>
      </c>
      <c r="E1397" t="s">
        <v>96</v>
      </c>
      <c r="F1397" t="s">
        <v>59</v>
      </c>
      <c r="G1397" t="s">
        <v>94</v>
      </c>
      <c r="H1397" t="s">
        <v>53</v>
      </c>
      <c r="I1397" t="s">
        <v>61</v>
      </c>
      <c r="J1397" s="1">
        <v>45839</v>
      </c>
      <c r="K1397" s="1">
        <v>45839</v>
      </c>
      <c r="L1397" s="3">
        <v>24700</v>
      </c>
      <c r="M1397" s="4">
        <v>0</v>
      </c>
      <c r="N1397" s="4">
        <v>0</v>
      </c>
      <c r="O1397" t="s">
        <v>81</v>
      </c>
      <c r="P1397">
        <v>4</v>
      </c>
      <c r="Q1397" t="str">
        <f>IFERROR(VLOOKUP(E1397,Lookups!$A$5:$B$24,2,FALSE),"Other")</f>
        <v>LinkedIn</v>
      </c>
      <c r="R1397" t="str">
        <f>IFERROR(VLOOKUP(F1397,Lookups!$D$5:$F$10,2,FALSE),"Unknown Product")</f>
        <v>NexaCRM Pro</v>
      </c>
      <c r="S1397" t="str">
        <f>IFERROR(VLOOKUP(F1397,Lookups!$D$5:$F$10,3,FALSE),"Unknown")</f>
        <v>CRM</v>
      </c>
      <c r="T1397" t="str">
        <f t="shared" si="231"/>
        <v>Mid-Market</v>
      </c>
      <c r="U1397" t="str">
        <f t="shared" si="232"/>
        <v>Lost</v>
      </c>
      <c r="V1397" s="3">
        <f t="shared" si="233"/>
        <v>0</v>
      </c>
      <c r="W1397" s="3">
        <f t="shared" si="234"/>
        <v>0</v>
      </c>
      <c r="X1397" s="5">
        <f t="shared" si="235"/>
        <v>30</v>
      </c>
      <c r="Y1397" s="5">
        <f>IF(U1397="Open",Lookups!$B$2-B1397,X1397)</f>
        <v>30</v>
      </c>
      <c r="Z1397" t="str">
        <f t="shared" si="236"/>
        <v>OK</v>
      </c>
      <c r="AA1397" t="str">
        <f t="shared" si="237"/>
        <v>2025-06</v>
      </c>
      <c r="AB1397" t="str">
        <f t="shared" si="238"/>
        <v>2025-07</v>
      </c>
      <c r="AC1397" t="str">
        <f t="shared" si="239"/>
        <v>Q2-2025</v>
      </c>
      <c r="AD1397" s="5">
        <f t="shared" si="240"/>
        <v>59</v>
      </c>
      <c r="AE1397" t="str">
        <f t="shared" si="241"/>
        <v>Lost</v>
      </c>
    </row>
    <row r="1398" spans="1:31">
      <c r="A1398" t="s">
        <v>1500</v>
      </c>
      <c r="B1398" s="1">
        <v>46096</v>
      </c>
      <c r="C1398" t="s">
        <v>42</v>
      </c>
      <c r="D1398" t="s">
        <v>43</v>
      </c>
      <c r="E1398" t="s">
        <v>138</v>
      </c>
      <c r="F1398" t="s">
        <v>133</v>
      </c>
      <c r="G1398" t="s">
        <v>46</v>
      </c>
      <c r="H1398" t="s">
        <v>84</v>
      </c>
      <c r="I1398" t="s">
        <v>61</v>
      </c>
      <c r="J1398" s="1">
        <v>46117</v>
      </c>
      <c r="K1398" s="1">
        <v>46117</v>
      </c>
      <c r="L1398" s="3">
        <v>47600</v>
      </c>
      <c r="M1398" s="4">
        <v>0</v>
      </c>
      <c r="N1398" s="4">
        <v>0</v>
      </c>
      <c r="O1398" t="s">
        <v>110</v>
      </c>
      <c r="P1398">
        <v>4</v>
      </c>
      <c r="Q1398" t="str">
        <f>IFERROR(VLOOKUP(E1398,Lookups!$A$5:$B$24,2,FALSE),"Other")</f>
        <v>Organic Search</v>
      </c>
      <c r="R1398" t="str">
        <f>IFERROR(VLOOKUP(F1398,Lookups!$D$5:$F$10,2,FALSE),"Unknown Product")</f>
        <v>Analytics Plus</v>
      </c>
      <c r="S1398" t="str">
        <f>IFERROR(VLOOKUP(F1398,Lookups!$D$5:$F$10,3,FALSE),"Unknown")</f>
        <v>Analytics</v>
      </c>
      <c r="T1398" t="str">
        <f t="shared" si="231"/>
        <v>Mid-Market</v>
      </c>
      <c r="U1398" t="str">
        <f t="shared" si="232"/>
        <v>Lost</v>
      </c>
      <c r="V1398" s="3">
        <f t="shared" si="233"/>
        <v>0</v>
      </c>
      <c r="W1398" s="3">
        <f t="shared" si="234"/>
        <v>0</v>
      </c>
      <c r="X1398" s="5">
        <f t="shared" si="235"/>
        <v>21</v>
      </c>
      <c r="Y1398" s="5">
        <f>IF(U1398="Open",Lookups!$B$2-B1398,X1398)</f>
        <v>21</v>
      </c>
      <c r="Z1398" t="str">
        <f t="shared" si="236"/>
        <v>OK</v>
      </c>
      <c r="AA1398" t="str">
        <f t="shared" si="237"/>
        <v>2026-03</v>
      </c>
      <c r="AB1398" t="str">
        <f t="shared" si="238"/>
        <v>2026-04</v>
      </c>
      <c r="AC1398" t="str">
        <f t="shared" si="239"/>
        <v>Q1-2026</v>
      </c>
      <c r="AD1398" s="5">
        <f t="shared" si="240"/>
        <v>73</v>
      </c>
      <c r="AE1398" t="str">
        <f t="shared" si="241"/>
        <v>Lost</v>
      </c>
    </row>
    <row r="1399" spans="1:31">
      <c r="A1399" t="s">
        <v>1501</v>
      </c>
      <c r="B1399" s="1">
        <v>46171</v>
      </c>
      <c r="C1399" t="s">
        <v>50</v>
      </c>
      <c r="D1399" t="s">
        <v>43</v>
      </c>
      <c r="E1399" t="s">
        <v>146</v>
      </c>
      <c r="F1399" t="s">
        <v>71</v>
      </c>
      <c r="G1399" t="s">
        <v>46</v>
      </c>
      <c r="H1399" t="s">
        <v>47</v>
      </c>
      <c r="I1399" t="s">
        <v>61</v>
      </c>
      <c r="J1399" s="1">
        <v>46213</v>
      </c>
      <c r="K1399" s="1">
        <v>46213</v>
      </c>
      <c r="L1399" s="3">
        <v>12800</v>
      </c>
      <c r="M1399" s="4">
        <v>0</v>
      </c>
      <c r="N1399" s="4">
        <v>0</v>
      </c>
      <c r="O1399" t="s">
        <v>102</v>
      </c>
      <c r="P1399">
        <v>4</v>
      </c>
      <c r="Q1399" t="str">
        <f>IFERROR(VLOOKUP(E1399,Lookups!$A$5:$B$24,2,FALSE),"Other")</f>
        <v>LinkedIn</v>
      </c>
      <c r="R1399" t="str">
        <f>IFERROR(VLOOKUP(F1399,Lookups!$D$5:$F$10,2,FALSE),"Unknown Product")</f>
        <v>Marketing Automation</v>
      </c>
      <c r="S1399" t="str">
        <f>IFERROR(VLOOKUP(F1399,Lookups!$D$5:$F$10,3,FALSE),"Unknown")</f>
        <v>Marketing</v>
      </c>
      <c r="T1399" t="str">
        <f t="shared" si="231"/>
        <v>SMB</v>
      </c>
      <c r="U1399" t="str">
        <f t="shared" si="232"/>
        <v>Lost</v>
      </c>
      <c r="V1399" s="3">
        <f t="shared" si="233"/>
        <v>0</v>
      </c>
      <c r="W1399" s="3">
        <f t="shared" si="234"/>
        <v>0</v>
      </c>
      <c r="X1399" s="5">
        <f t="shared" si="235"/>
        <v>42</v>
      </c>
      <c r="Y1399" s="5">
        <f>IF(U1399="Open",Lookups!$B$2-B1399,X1399)</f>
        <v>42</v>
      </c>
      <c r="Z1399" t="str">
        <f t="shared" si="236"/>
        <v>OK</v>
      </c>
      <c r="AA1399" t="str">
        <f t="shared" si="237"/>
        <v>2026-05</v>
      </c>
      <c r="AB1399" t="str">
        <f t="shared" si="238"/>
        <v>2026-07</v>
      </c>
      <c r="AC1399" t="str">
        <f t="shared" si="239"/>
        <v>Q2-2026</v>
      </c>
      <c r="AD1399" s="5">
        <f t="shared" si="240"/>
        <v>43</v>
      </c>
      <c r="AE1399" t="str">
        <f t="shared" si="241"/>
        <v>Lost</v>
      </c>
    </row>
    <row r="1400" spans="1:31">
      <c r="A1400" t="s">
        <v>1502</v>
      </c>
      <c r="B1400" s="1">
        <v>46187</v>
      </c>
      <c r="C1400" t="s">
        <v>69</v>
      </c>
      <c r="D1400" t="s">
        <v>57</v>
      </c>
      <c r="E1400" t="s">
        <v>88</v>
      </c>
      <c r="F1400" t="s">
        <v>45</v>
      </c>
      <c r="G1400" t="s">
        <v>99</v>
      </c>
      <c r="H1400" t="s">
        <v>47</v>
      </c>
      <c r="I1400" t="s">
        <v>61</v>
      </c>
      <c r="J1400" s="1">
        <v>46227</v>
      </c>
      <c r="K1400" s="1">
        <v>46227</v>
      </c>
      <c r="L1400" s="3">
        <v>19900</v>
      </c>
      <c r="M1400" s="4">
        <v>0</v>
      </c>
      <c r="N1400" s="4">
        <v>0</v>
      </c>
      <c r="O1400" t="s">
        <v>81</v>
      </c>
      <c r="P1400">
        <v>4</v>
      </c>
      <c r="Q1400" t="str">
        <f>IFERROR(VLOOKUP(E1400,Lookups!$A$5:$B$24,2,FALSE),"Other")</f>
        <v>Other</v>
      </c>
      <c r="R1400" t="str">
        <f>IFERROR(VLOOKUP(F1400,Lookups!$D$5:$F$10,2,FALSE),"Unknown Product")</f>
        <v>Service Cloud</v>
      </c>
      <c r="S1400" t="str">
        <f>IFERROR(VLOOKUP(F1400,Lookups!$D$5:$F$10,3,FALSE),"Unknown")</f>
        <v>Customer Service</v>
      </c>
      <c r="T1400" t="str">
        <f t="shared" si="231"/>
        <v>SMB</v>
      </c>
      <c r="U1400" t="str">
        <f t="shared" si="232"/>
        <v>Lost</v>
      </c>
      <c r="V1400" s="3">
        <f t="shared" si="233"/>
        <v>0</v>
      </c>
      <c r="W1400" s="3">
        <f t="shared" si="234"/>
        <v>0</v>
      </c>
      <c r="X1400" s="5">
        <f t="shared" si="235"/>
        <v>40</v>
      </c>
      <c r="Y1400" s="5">
        <f>IF(U1400="Open",Lookups!$B$2-B1400,X1400)</f>
        <v>40</v>
      </c>
      <c r="Z1400" t="str">
        <f t="shared" si="236"/>
        <v>OK</v>
      </c>
      <c r="AA1400" t="str">
        <f t="shared" si="237"/>
        <v>2026-06</v>
      </c>
      <c r="AB1400" t="str">
        <f t="shared" si="238"/>
        <v>2026-07</v>
      </c>
      <c r="AC1400" t="str">
        <f t="shared" si="239"/>
        <v>Q2-2026</v>
      </c>
      <c r="AD1400" s="5">
        <f t="shared" si="240"/>
        <v>43</v>
      </c>
      <c r="AE1400" t="str">
        <f t="shared" si="241"/>
        <v>Lost</v>
      </c>
    </row>
    <row r="1401" spans="1:31">
      <c r="A1401" t="s">
        <v>1503</v>
      </c>
      <c r="B1401" s="1">
        <v>46205</v>
      </c>
      <c r="C1401" t="s">
        <v>86</v>
      </c>
      <c r="D1401" t="s">
        <v>87</v>
      </c>
      <c r="E1401" t="s">
        <v>146</v>
      </c>
      <c r="F1401" t="s">
        <v>59</v>
      </c>
      <c r="G1401" t="s">
        <v>72</v>
      </c>
      <c r="H1401" t="s">
        <v>47</v>
      </c>
      <c r="I1401" t="s">
        <v>61</v>
      </c>
      <c r="J1401" s="1">
        <v>46261</v>
      </c>
      <c r="K1401" s="1">
        <v>46261</v>
      </c>
      <c r="L1401" s="3">
        <v>10800</v>
      </c>
      <c r="M1401" s="4">
        <v>0</v>
      </c>
      <c r="N1401" s="4">
        <v>0</v>
      </c>
      <c r="O1401" t="s">
        <v>102</v>
      </c>
      <c r="P1401">
        <v>2</v>
      </c>
      <c r="Q1401" t="str">
        <f>IFERROR(VLOOKUP(E1401,Lookups!$A$5:$B$24,2,FALSE),"Other")</f>
        <v>LinkedIn</v>
      </c>
      <c r="R1401" t="str">
        <f>IFERROR(VLOOKUP(F1401,Lookups!$D$5:$F$10,2,FALSE),"Unknown Product")</f>
        <v>NexaCRM Pro</v>
      </c>
      <c r="S1401" t="str">
        <f>IFERROR(VLOOKUP(F1401,Lookups!$D$5:$F$10,3,FALSE),"Unknown")</f>
        <v>CRM</v>
      </c>
      <c r="T1401" t="str">
        <f t="shared" si="231"/>
        <v>SMB</v>
      </c>
      <c r="U1401" t="str">
        <f t="shared" si="232"/>
        <v>Lost</v>
      </c>
      <c r="V1401" s="3">
        <f t="shared" si="233"/>
        <v>0</v>
      </c>
      <c r="W1401" s="3">
        <f t="shared" si="234"/>
        <v>0</v>
      </c>
      <c r="X1401" s="5">
        <f t="shared" si="235"/>
        <v>56</v>
      </c>
      <c r="Y1401" s="5">
        <f>IF(U1401="Open",Lookups!$B$2-B1401,X1401)</f>
        <v>56</v>
      </c>
      <c r="Z1401" t="str">
        <f t="shared" si="236"/>
        <v>OK</v>
      </c>
      <c r="AA1401" t="str">
        <f t="shared" si="237"/>
        <v>2026-07</v>
      </c>
      <c r="AB1401" t="str">
        <f t="shared" si="238"/>
        <v>2026-08</v>
      </c>
      <c r="AC1401" t="str">
        <f t="shared" si="239"/>
        <v>Q3-2026</v>
      </c>
      <c r="AD1401" s="5">
        <f t="shared" si="240"/>
        <v>43</v>
      </c>
      <c r="AE1401" t="str">
        <f t="shared" si="241"/>
        <v>Lost</v>
      </c>
    </row>
    <row r="1402" spans="1:31">
      <c r="A1402" t="s">
        <v>1504</v>
      </c>
      <c r="B1402" s="1">
        <v>46149</v>
      </c>
      <c r="C1402" t="s">
        <v>148</v>
      </c>
      <c r="D1402" t="s">
        <v>43</v>
      </c>
      <c r="E1402" t="s">
        <v>92</v>
      </c>
      <c r="F1402" t="s">
        <v>133</v>
      </c>
      <c r="G1402" t="s">
        <v>112</v>
      </c>
      <c r="H1402" t="s">
        <v>53</v>
      </c>
      <c r="I1402" t="s">
        <v>61</v>
      </c>
      <c r="J1402" s="1">
        <v>46198</v>
      </c>
      <c r="K1402" s="1">
        <v>46198</v>
      </c>
      <c r="L1402" s="3">
        <v>43100</v>
      </c>
      <c r="M1402" s="4">
        <v>0</v>
      </c>
      <c r="N1402" s="4">
        <v>0</v>
      </c>
      <c r="O1402" t="s">
        <v>79</v>
      </c>
      <c r="P1402">
        <v>2</v>
      </c>
      <c r="Q1402" t="str">
        <f>IFERROR(VLOOKUP(E1402,Lookups!$A$5:$B$24,2,FALSE),"Other")</f>
        <v>Webinar</v>
      </c>
      <c r="R1402" t="str">
        <f>IFERROR(VLOOKUP(F1402,Lookups!$D$5:$F$10,2,FALSE),"Unknown Product")</f>
        <v>Analytics Plus</v>
      </c>
      <c r="S1402" t="str">
        <f>IFERROR(VLOOKUP(F1402,Lookups!$D$5:$F$10,3,FALSE),"Unknown")</f>
        <v>Analytics</v>
      </c>
      <c r="T1402" t="str">
        <f t="shared" si="231"/>
        <v>Mid-Market</v>
      </c>
      <c r="U1402" t="str">
        <f t="shared" si="232"/>
        <v>Lost</v>
      </c>
      <c r="V1402" s="3">
        <f t="shared" si="233"/>
        <v>0</v>
      </c>
      <c r="W1402" s="3">
        <f t="shared" si="234"/>
        <v>0</v>
      </c>
      <c r="X1402" s="5">
        <f t="shared" si="235"/>
        <v>49</v>
      </c>
      <c r="Y1402" s="5">
        <f>IF(U1402="Open",Lookups!$B$2-B1402,X1402)</f>
        <v>49</v>
      </c>
      <c r="Z1402" t="str">
        <f t="shared" si="236"/>
        <v>OK</v>
      </c>
      <c r="AA1402" t="str">
        <f t="shared" si="237"/>
        <v>2026-05</v>
      </c>
      <c r="AB1402" t="str">
        <f t="shared" si="238"/>
        <v>2026-06</v>
      </c>
      <c r="AC1402" t="str">
        <f t="shared" si="239"/>
        <v>Q2-2026</v>
      </c>
      <c r="AD1402" s="5">
        <f t="shared" si="240"/>
        <v>64</v>
      </c>
      <c r="AE1402" t="str">
        <f t="shared" si="241"/>
        <v>Lost</v>
      </c>
    </row>
    <row r="1403" spans="1:31">
      <c r="A1403" t="s">
        <v>1505</v>
      </c>
      <c r="B1403" s="1">
        <v>45957</v>
      </c>
      <c r="C1403" t="s">
        <v>42</v>
      </c>
      <c r="D1403" t="s">
        <v>43</v>
      </c>
      <c r="E1403" t="s">
        <v>98</v>
      </c>
      <c r="F1403" t="s">
        <v>67</v>
      </c>
      <c r="G1403" t="s">
        <v>46</v>
      </c>
      <c r="H1403" t="s">
        <v>53</v>
      </c>
      <c r="I1403" t="s">
        <v>77</v>
      </c>
      <c r="J1403" s="1">
        <v>46033</v>
      </c>
      <c r="K1403" s="1">
        <v>46033</v>
      </c>
      <c r="L1403" s="3">
        <v>87100</v>
      </c>
      <c r="M1403" s="4">
        <v>0.1</v>
      </c>
      <c r="N1403" s="4">
        <v>1</v>
      </c>
      <c r="P1403">
        <v>6</v>
      </c>
      <c r="Q1403" t="str">
        <f>IFERROR(VLOOKUP(E1403,Lookups!$A$5:$B$24,2,FALSE),"Other")</f>
        <v>Outbound</v>
      </c>
      <c r="R1403" t="str">
        <f>IFERROR(VLOOKUP(F1403,Lookups!$D$5:$F$10,2,FALSE),"Unknown Product")</f>
        <v>Revenue Operations Suite</v>
      </c>
      <c r="S1403" t="str">
        <f>IFERROR(VLOOKUP(F1403,Lookups!$D$5:$F$10,3,FALSE),"Unknown")</f>
        <v>Revenue Ops</v>
      </c>
      <c r="T1403" t="str">
        <f t="shared" si="231"/>
        <v>Enterprise</v>
      </c>
      <c r="U1403" t="str">
        <f t="shared" si="232"/>
        <v>Won</v>
      </c>
      <c r="V1403" s="3">
        <f t="shared" si="233"/>
        <v>78390</v>
      </c>
      <c r="W1403" s="3">
        <f t="shared" si="234"/>
        <v>0</v>
      </c>
      <c r="X1403" s="5">
        <f t="shared" si="235"/>
        <v>76</v>
      </c>
      <c r="Y1403" s="5">
        <f>IF(U1403="Open",Lookups!$B$2-B1403,X1403)</f>
        <v>76</v>
      </c>
      <c r="Z1403" t="str">
        <f t="shared" si="236"/>
        <v>OK</v>
      </c>
      <c r="AA1403" t="str">
        <f t="shared" si="237"/>
        <v>2025-10</v>
      </c>
      <c r="AB1403" t="str">
        <f t="shared" si="238"/>
        <v>2026-01</v>
      </c>
      <c r="AC1403" t="str">
        <f t="shared" si="239"/>
        <v>Q4-2025</v>
      </c>
      <c r="AD1403" s="5">
        <f t="shared" si="240"/>
        <v>66</v>
      </c>
      <c r="AE1403" t="str">
        <f t="shared" si="241"/>
        <v>Won</v>
      </c>
    </row>
    <row r="1404" spans="1:31">
      <c r="A1404" t="s">
        <v>1506</v>
      </c>
      <c r="B1404" s="1">
        <v>45962</v>
      </c>
      <c r="C1404" t="s">
        <v>90</v>
      </c>
      <c r="D1404" t="s">
        <v>57</v>
      </c>
      <c r="E1404" t="s">
        <v>138</v>
      </c>
      <c r="F1404" t="s">
        <v>52</v>
      </c>
      <c r="G1404" t="s">
        <v>76</v>
      </c>
      <c r="H1404" t="s">
        <v>53</v>
      </c>
      <c r="I1404" t="s">
        <v>61</v>
      </c>
      <c r="J1404" s="1">
        <v>46019</v>
      </c>
      <c r="K1404" s="1">
        <v>46019</v>
      </c>
      <c r="L1404" s="3">
        <v>14800</v>
      </c>
      <c r="M1404" s="4">
        <v>0</v>
      </c>
      <c r="N1404" s="4">
        <v>0</v>
      </c>
      <c r="O1404" t="s">
        <v>102</v>
      </c>
      <c r="P1404">
        <v>3</v>
      </c>
      <c r="Q1404" t="str">
        <f>IFERROR(VLOOKUP(E1404,Lookups!$A$5:$B$24,2,FALSE),"Other")</f>
        <v>Organic Search</v>
      </c>
      <c r="R1404" t="str">
        <f>IFERROR(VLOOKUP(F1404,Lookups!$D$5:$F$10,2,FALSE),"Unknown Product")</f>
        <v>NexaCRM Core</v>
      </c>
      <c r="S1404" t="str">
        <f>IFERROR(VLOOKUP(F1404,Lookups!$D$5:$F$10,3,FALSE),"Unknown")</f>
        <v>CRM</v>
      </c>
      <c r="T1404" t="str">
        <f t="shared" si="231"/>
        <v>SMB</v>
      </c>
      <c r="U1404" t="str">
        <f t="shared" si="232"/>
        <v>Lost</v>
      </c>
      <c r="V1404" s="3">
        <f t="shared" si="233"/>
        <v>0</v>
      </c>
      <c r="W1404" s="3">
        <f t="shared" si="234"/>
        <v>0</v>
      </c>
      <c r="X1404" s="5">
        <f t="shared" si="235"/>
        <v>57</v>
      </c>
      <c r="Y1404" s="5">
        <f>IF(U1404="Open",Lookups!$B$2-B1404,X1404)</f>
        <v>57</v>
      </c>
      <c r="Z1404" t="str">
        <f t="shared" si="236"/>
        <v>OK</v>
      </c>
      <c r="AA1404" t="str">
        <f t="shared" si="237"/>
        <v>2025-11</v>
      </c>
      <c r="AB1404" t="str">
        <f t="shared" si="238"/>
        <v>2025-12</v>
      </c>
      <c r="AC1404" t="str">
        <f t="shared" si="239"/>
        <v>Q4-2025</v>
      </c>
      <c r="AD1404" s="5">
        <f t="shared" si="240"/>
        <v>57</v>
      </c>
      <c r="AE1404" t="str">
        <f t="shared" si="241"/>
        <v>Lost</v>
      </c>
    </row>
    <row r="1405" spans="1:31">
      <c r="A1405" t="s">
        <v>1507</v>
      </c>
      <c r="B1405" s="1">
        <v>45768</v>
      </c>
      <c r="C1405" t="s">
        <v>42</v>
      </c>
      <c r="D1405" t="s">
        <v>43</v>
      </c>
      <c r="E1405" t="s">
        <v>75</v>
      </c>
      <c r="F1405" t="s">
        <v>71</v>
      </c>
      <c r="G1405" t="s">
        <v>99</v>
      </c>
      <c r="H1405" t="s">
        <v>53</v>
      </c>
      <c r="I1405" t="s">
        <v>77</v>
      </c>
      <c r="J1405" s="1">
        <v>45849</v>
      </c>
      <c r="K1405" s="1">
        <v>45849</v>
      </c>
      <c r="L1405" s="3">
        <v>35700</v>
      </c>
      <c r="M1405" s="4">
        <v>0.03</v>
      </c>
      <c r="N1405" s="4">
        <v>1</v>
      </c>
      <c r="P1405">
        <v>6</v>
      </c>
      <c r="Q1405" t="str">
        <f>IFERROR(VLOOKUP(E1405,Lookups!$A$5:$B$24,2,FALSE),"Other")</f>
        <v>Webinar</v>
      </c>
      <c r="R1405" t="str">
        <f>IFERROR(VLOOKUP(F1405,Lookups!$D$5:$F$10,2,FALSE),"Unknown Product")</f>
        <v>Marketing Automation</v>
      </c>
      <c r="S1405" t="str">
        <f>IFERROR(VLOOKUP(F1405,Lookups!$D$5:$F$10,3,FALSE),"Unknown")</f>
        <v>Marketing</v>
      </c>
      <c r="T1405" t="str">
        <f t="shared" si="231"/>
        <v>Mid-Market</v>
      </c>
      <c r="U1405" t="str">
        <f t="shared" si="232"/>
        <v>Won</v>
      </c>
      <c r="V1405" s="3">
        <f t="shared" si="233"/>
        <v>34629</v>
      </c>
      <c r="W1405" s="3">
        <f t="shared" si="234"/>
        <v>0</v>
      </c>
      <c r="X1405" s="5">
        <f t="shared" si="235"/>
        <v>81</v>
      </c>
      <c r="Y1405" s="5">
        <f>IF(U1405="Open",Lookups!$B$2-B1405,X1405)</f>
        <v>81</v>
      </c>
      <c r="Z1405" t="str">
        <f t="shared" si="236"/>
        <v>OK</v>
      </c>
      <c r="AA1405" t="str">
        <f t="shared" si="237"/>
        <v>2025-04</v>
      </c>
      <c r="AB1405" t="str">
        <f t="shared" si="238"/>
        <v>2025-07</v>
      </c>
      <c r="AC1405" t="str">
        <f t="shared" si="239"/>
        <v>Q2-2025</v>
      </c>
      <c r="AD1405" s="5">
        <f t="shared" si="240"/>
        <v>59</v>
      </c>
      <c r="AE1405" t="str">
        <f t="shared" si="241"/>
        <v>Won</v>
      </c>
    </row>
    <row r="1406" spans="1:31">
      <c r="A1406" t="s">
        <v>1508</v>
      </c>
      <c r="B1406" s="1">
        <v>45667</v>
      </c>
      <c r="C1406" t="s">
        <v>69</v>
      </c>
      <c r="D1406" t="s">
        <v>57</v>
      </c>
      <c r="E1406" t="s">
        <v>115</v>
      </c>
      <c r="F1406" t="s">
        <v>52</v>
      </c>
      <c r="G1406" t="s">
        <v>46</v>
      </c>
      <c r="H1406" t="s">
        <v>84</v>
      </c>
      <c r="I1406" t="s">
        <v>61</v>
      </c>
      <c r="J1406" s="1">
        <v>45723</v>
      </c>
      <c r="K1406" s="1">
        <v>45723</v>
      </c>
      <c r="L1406" s="3">
        <v>27500</v>
      </c>
      <c r="M1406" s="4">
        <v>0</v>
      </c>
      <c r="N1406" s="4">
        <v>0</v>
      </c>
      <c r="O1406" t="s">
        <v>79</v>
      </c>
      <c r="P1406">
        <v>3</v>
      </c>
      <c r="Q1406" t="str">
        <f>IFERROR(VLOOKUP(E1406,Lookups!$A$5:$B$24,2,FALSE),"Other")</f>
        <v>Outbound</v>
      </c>
      <c r="R1406" t="str">
        <f>IFERROR(VLOOKUP(F1406,Lookups!$D$5:$F$10,2,FALSE),"Unknown Product")</f>
        <v>NexaCRM Core</v>
      </c>
      <c r="S1406" t="str">
        <f>IFERROR(VLOOKUP(F1406,Lookups!$D$5:$F$10,3,FALSE),"Unknown")</f>
        <v>CRM</v>
      </c>
      <c r="T1406" t="str">
        <f t="shared" si="231"/>
        <v>Mid-Market</v>
      </c>
      <c r="U1406" t="str">
        <f t="shared" si="232"/>
        <v>Lost</v>
      </c>
      <c r="V1406" s="3">
        <f t="shared" si="233"/>
        <v>0</v>
      </c>
      <c r="W1406" s="3">
        <f t="shared" si="234"/>
        <v>0</v>
      </c>
      <c r="X1406" s="5">
        <f t="shared" si="235"/>
        <v>56</v>
      </c>
      <c r="Y1406" s="5">
        <f>IF(U1406="Open",Lookups!$B$2-B1406,X1406)</f>
        <v>56</v>
      </c>
      <c r="Z1406" t="str">
        <f t="shared" si="236"/>
        <v>OK</v>
      </c>
      <c r="AA1406" t="str">
        <f t="shared" si="237"/>
        <v>2025-01</v>
      </c>
      <c r="AB1406" t="str">
        <f t="shared" si="238"/>
        <v>2025-03</v>
      </c>
      <c r="AC1406" t="str">
        <f t="shared" si="239"/>
        <v>Q1-2025</v>
      </c>
      <c r="AD1406" s="5">
        <f t="shared" si="240"/>
        <v>67</v>
      </c>
      <c r="AE1406" t="str">
        <f t="shared" si="241"/>
        <v>Lost</v>
      </c>
    </row>
    <row r="1407" spans="1:31">
      <c r="A1407" t="s">
        <v>1509</v>
      </c>
      <c r="B1407" s="1">
        <v>46065</v>
      </c>
      <c r="C1407" t="s">
        <v>50</v>
      </c>
      <c r="D1407" t="s">
        <v>43</v>
      </c>
      <c r="E1407" t="s">
        <v>96</v>
      </c>
      <c r="F1407" t="s">
        <v>71</v>
      </c>
      <c r="G1407" t="s">
        <v>99</v>
      </c>
      <c r="H1407" t="s">
        <v>53</v>
      </c>
      <c r="I1407" t="s">
        <v>48</v>
      </c>
      <c r="J1407" s="1">
        <v>46203</v>
      </c>
      <c r="K1407" s="1"/>
      <c r="L1407" s="3">
        <v>26500</v>
      </c>
      <c r="M1407" s="4">
        <v>0.03</v>
      </c>
      <c r="N1407" s="4">
        <v>0.85</v>
      </c>
      <c r="P1407">
        <v>5</v>
      </c>
      <c r="Q1407" t="str">
        <f>IFERROR(VLOOKUP(E1407,Lookups!$A$5:$B$24,2,FALSE),"Other")</f>
        <v>LinkedIn</v>
      </c>
      <c r="R1407" t="str">
        <f>IFERROR(VLOOKUP(F1407,Lookups!$D$5:$F$10,2,FALSE),"Unknown Product")</f>
        <v>Marketing Automation</v>
      </c>
      <c r="S1407" t="str">
        <f>IFERROR(VLOOKUP(F1407,Lookups!$D$5:$F$10,3,FALSE),"Unknown")</f>
        <v>Marketing</v>
      </c>
      <c r="T1407" t="str">
        <f t="shared" si="231"/>
        <v>Mid-Market</v>
      </c>
      <c r="U1407" t="str">
        <f t="shared" si="232"/>
        <v>Open</v>
      </c>
      <c r="V1407" s="3">
        <f t="shared" si="233"/>
        <v>0</v>
      </c>
      <c r="W1407" s="3">
        <f t="shared" si="234"/>
        <v>22525</v>
      </c>
      <c r="X1407" s="5" t="str">
        <f t="shared" si="235"/>
        <v/>
      </c>
      <c r="Y1407" s="5">
        <f>IF(U1407="Open",Lookups!$B$2-B1407,X1407)</f>
        <v>201</v>
      </c>
      <c r="Z1407" t="str">
        <f t="shared" si="236"/>
        <v>STALE</v>
      </c>
      <c r="AA1407" t="str">
        <f t="shared" si="237"/>
        <v>2026-02</v>
      </c>
      <c r="AB1407" t="str">
        <f t="shared" si="238"/>
        <v/>
      </c>
      <c r="AC1407" t="str">
        <f t="shared" si="239"/>
        <v>Q1-2026</v>
      </c>
      <c r="AD1407" s="5">
        <f t="shared" si="240"/>
        <v>59</v>
      </c>
      <c r="AE1407" t="str">
        <f t="shared" si="241"/>
        <v>Commit</v>
      </c>
    </row>
    <row r="1408" spans="1:31">
      <c r="A1408" t="s">
        <v>1510</v>
      </c>
      <c r="B1408" s="1">
        <v>45802</v>
      </c>
      <c r="C1408" t="s">
        <v>64</v>
      </c>
      <c r="D1408" t="s">
        <v>57</v>
      </c>
      <c r="E1408" t="s">
        <v>127</v>
      </c>
      <c r="F1408" t="s">
        <v>45</v>
      </c>
      <c r="G1408" t="s">
        <v>46</v>
      </c>
      <c r="H1408" t="s">
        <v>84</v>
      </c>
      <c r="I1408" t="s">
        <v>61</v>
      </c>
      <c r="J1408" s="1">
        <v>45848</v>
      </c>
      <c r="K1408" s="1">
        <v>45848</v>
      </c>
      <c r="L1408" s="3">
        <v>71400</v>
      </c>
      <c r="M1408" s="4">
        <v>0</v>
      </c>
      <c r="N1408" s="4">
        <v>0</v>
      </c>
      <c r="O1408" t="s">
        <v>102</v>
      </c>
      <c r="P1408">
        <v>4</v>
      </c>
      <c r="Q1408" t="str">
        <f>IFERROR(VLOOKUP(E1408,Lookups!$A$5:$B$24,2,FALSE),"Other")</f>
        <v>Paid Search</v>
      </c>
      <c r="R1408" t="str">
        <f>IFERROR(VLOOKUP(F1408,Lookups!$D$5:$F$10,2,FALSE),"Unknown Product")</f>
        <v>Service Cloud</v>
      </c>
      <c r="S1408" t="str">
        <f>IFERROR(VLOOKUP(F1408,Lookups!$D$5:$F$10,3,FALSE),"Unknown")</f>
        <v>Customer Service</v>
      </c>
      <c r="T1408" t="str">
        <f t="shared" si="231"/>
        <v>Enterprise</v>
      </c>
      <c r="U1408" t="str">
        <f t="shared" si="232"/>
        <v>Lost</v>
      </c>
      <c r="V1408" s="3">
        <f t="shared" si="233"/>
        <v>0</v>
      </c>
      <c r="W1408" s="3">
        <f t="shared" si="234"/>
        <v>0</v>
      </c>
      <c r="X1408" s="5">
        <f t="shared" si="235"/>
        <v>46</v>
      </c>
      <c r="Y1408" s="5">
        <f>IF(U1408="Open",Lookups!$B$2-B1408,X1408)</f>
        <v>46</v>
      </c>
      <c r="Z1408" t="str">
        <f t="shared" si="236"/>
        <v>OK</v>
      </c>
      <c r="AA1408" t="str">
        <f t="shared" si="237"/>
        <v>2025-05</v>
      </c>
      <c r="AB1408" t="str">
        <f t="shared" si="238"/>
        <v>2025-07</v>
      </c>
      <c r="AC1408" t="str">
        <f t="shared" si="239"/>
        <v>Q2-2025</v>
      </c>
      <c r="AD1408" s="5">
        <f t="shared" si="240"/>
        <v>74</v>
      </c>
      <c r="AE1408" t="str">
        <f t="shared" si="241"/>
        <v>Lost</v>
      </c>
    </row>
    <row r="1409" spans="1:31">
      <c r="A1409" t="s">
        <v>1511</v>
      </c>
      <c r="B1409" s="1">
        <v>46132</v>
      </c>
      <c r="C1409" t="s">
        <v>64</v>
      </c>
      <c r="D1409" t="s">
        <v>57</v>
      </c>
      <c r="E1409" t="s">
        <v>51</v>
      </c>
      <c r="F1409" t="s">
        <v>71</v>
      </c>
      <c r="G1409" t="s">
        <v>60</v>
      </c>
      <c r="H1409" t="s">
        <v>53</v>
      </c>
      <c r="I1409" t="s">
        <v>61</v>
      </c>
      <c r="J1409" s="1">
        <v>46194</v>
      </c>
      <c r="K1409" s="1">
        <v>46194</v>
      </c>
      <c r="L1409" s="3">
        <v>27100</v>
      </c>
      <c r="M1409" s="4">
        <v>0</v>
      </c>
      <c r="N1409" s="4">
        <v>0</v>
      </c>
      <c r="O1409" t="s">
        <v>62</v>
      </c>
      <c r="P1409">
        <v>5</v>
      </c>
      <c r="Q1409" t="str">
        <f>IFERROR(VLOOKUP(E1409,Lookups!$A$5:$B$24,2,FALSE),"Other")</f>
        <v>Paid Search</v>
      </c>
      <c r="R1409" t="str">
        <f>IFERROR(VLOOKUP(F1409,Lookups!$D$5:$F$10,2,FALSE),"Unknown Product")</f>
        <v>Marketing Automation</v>
      </c>
      <c r="S1409" t="str">
        <f>IFERROR(VLOOKUP(F1409,Lookups!$D$5:$F$10,3,FALSE),"Unknown")</f>
        <v>Marketing</v>
      </c>
      <c r="T1409" t="str">
        <f t="shared" si="231"/>
        <v>Mid-Market</v>
      </c>
      <c r="U1409" t="str">
        <f t="shared" si="232"/>
        <v>Lost</v>
      </c>
      <c r="V1409" s="3">
        <f t="shared" si="233"/>
        <v>0</v>
      </c>
      <c r="W1409" s="3">
        <f t="shared" si="234"/>
        <v>0</v>
      </c>
      <c r="X1409" s="5">
        <f t="shared" si="235"/>
        <v>62</v>
      </c>
      <c r="Y1409" s="5">
        <f>IF(U1409="Open",Lookups!$B$2-B1409,X1409)</f>
        <v>62</v>
      </c>
      <c r="Z1409" t="str">
        <f t="shared" si="236"/>
        <v>OK</v>
      </c>
      <c r="AA1409" t="str">
        <f t="shared" si="237"/>
        <v>2026-04</v>
      </c>
      <c r="AB1409" t="str">
        <f t="shared" si="238"/>
        <v>2026-06</v>
      </c>
      <c r="AC1409" t="str">
        <f t="shared" si="239"/>
        <v>Q2-2026</v>
      </c>
      <c r="AD1409" s="5">
        <f t="shared" si="240"/>
        <v>59</v>
      </c>
      <c r="AE1409" t="str">
        <f t="shared" si="241"/>
        <v>Lost</v>
      </c>
    </row>
    <row r="1410" spans="1:31">
      <c r="A1410" t="s">
        <v>1512</v>
      </c>
      <c r="B1410" s="1">
        <v>46073</v>
      </c>
      <c r="C1410" t="s">
        <v>56</v>
      </c>
      <c r="D1410" t="s">
        <v>57</v>
      </c>
      <c r="E1410" t="s">
        <v>123</v>
      </c>
      <c r="F1410" t="s">
        <v>67</v>
      </c>
      <c r="G1410" t="s">
        <v>46</v>
      </c>
      <c r="H1410" t="s">
        <v>47</v>
      </c>
      <c r="I1410" t="s">
        <v>77</v>
      </c>
      <c r="J1410" s="1">
        <v>46103</v>
      </c>
      <c r="K1410" s="1">
        <v>46103</v>
      </c>
      <c r="L1410" s="3">
        <v>31400</v>
      </c>
      <c r="M1410" s="4">
        <v>0.12</v>
      </c>
      <c r="N1410" s="4">
        <v>1</v>
      </c>
      <c r="P1410">
        <v>6</v>
      </c>
      <c r="Q1410" t="str">
        <f>IFERROR(VLOOKUP(E1410,Lookups!$A$5:$B$24,2,FALSE),"Other")</f>
        <v>Email</v>
      </c>
      <c r="R1410" t="str">
        <f>IFERROR(VLOOKUP(F1410,Lookups!$D$5:$F$10,2,FALSE),"Unknown Product")</f>
        <v>Revenue Operations Suite</v>
      </c>
      <c r="S1410" t="str">
        <f>IFERROR(VLOOKUP(F1410,Lookups!$D$5:$F$10,3,FALSE),"Unknown")</f>
        <v>Revenue Ops</v>
      </c>
      <c r="T1410" t="str">
        <f t="shared" ref="T1410:T1473" si="242">IF(L1410&gt;=50000,"Enterprise",IF(L1410&gt;=20000,"Mid-Market","SMB"))</f>
        <v>Mid-Market</v>
      </c>
      <c r="U1410" t="str">
        <f t="shared" ref="U1410:U1473" si="243">IF(I1410="Closed Won","Won",IF(I1410="Closed Lost","Lost","Open"))</f>
        <v>Won</v>
      </c>
      <c r="V1410" s="3">
        <f t="shared" ref="V1410:V1473" si="244">IF(U1410="Won",L1410*(1-M1410),0)</f>
        <v>27632</v>
      </c>
      <c r="W1410" s="3">
        <f t="shared" ref="W1410:W1473" si="245">IF(U1410="Open",L1410*N1410,0)</f>
        <v>0</v>
      </c>
      <c r="X1410" s="5">
        <f t="shared" ref="X1410:X1473" si="246">IF(U1410="Open","",IFERROR(K1410-B1410,""))</f>
        <v>30</v>
      </c>
      <c r="Y1410" s="5">
        <f>IF(U1410="Open",Lookups!$B$2-B1410,X1410)</f>
        <v>30</v>
      </c>
      <c r="Z1410" t="str">
        <f t="shared" ref="Z1410:Z1473" si="247">IF(AND(U1410="Open",Y1410&gt;30),"STALE","OK")</f>
        <v>OK</v>
      </c>
      <c r="AA1410" t="str">
        <f t="shared" ref="AA1410:AA1473" si="248">TEXT(B1410,"yyyy-mm")</f>
        <v>2026-02</v>
      </c>
      <c r="AB1410" t="str">
        <f t="shared" ref="AB1410:AB1473" si="249">IF(K1410="","",TEXT(K1410,"yyyy-mm"))</f>
        <v>2026-03</v>
      </c>
      <c r="AC1410" t="str">
        <f t="shared" ref="AC1410:AC1473" si="250">"Q"&amp;ROUNDUP(MONTH(B1410)/3,0)&amp;"-"&amp;YEAR(B1410)</f>
        <v>Q1-2026</v>
      </c>
      <c r="AD1410" s="5">
        <f t="shared" ref="AD1410:AD1473" si="251">MIN(100,IF(H1410="Enterprise",30,IF(H1410="Mid-Market",22,14))+IF(T1410="Enterprise",25,IF(T1410="Mid-Market",18,10))+IF(Q1410="Referral",25,IF(Q1410="Organic Search",20,IF(Q1410="Email",18,14)))+IF(G1410="Technology",10,5))</f>
        <v>55</v>
      </c>
      <c r="AE1410" t="str">
        <f t="shared" ref="AE1410:AE1473" si="252">IF(U1410&lt;&gt;"Open",U1410,IF(N1410&gt;=0.8,"Commit",IF(N1410&gt;=0.5,"Best Case","Pipeline")))</f>
        <v>Won</v>
      </c>
    </row>
    <row r="1411" spans="1:31">
      <c r="A1411" t="s">
        <v>1513</v>
      </c>
      <c r="B1411" s="1">
        <v>46074</v>
      </c>
      <c r="C1411" t="s">
        <v>148</v>
      </c>
      <c r="D1411" t="s">
        <v>43</v>
      </c>
      <c r="E1411" t="s">
        <v>115</v>
      </c>
      <c r="F1411" t="s">
        <v>67</v>
      </c>
      <c r="G1411" t="s">
        <v>60</v>
      </c>
      <c r="H1411" t="s">
        <v>47</v>
      </c>
      <c r="I1411" t="s">
        <v>61</v>
      </c>
      <c r="J1411" s="1">
        <v>46135</v>
      </c>
      <c r="K1411" s="1">
        <v>46135</v>
      </c>
      <c r="L1411" s="3">
        <v>24100</v>
      </c>
      <c r="M1411" s="4">
        <v>0</v>
      </c>
      <c r="N1411" s="4">
        <v>0</v>
      </c>
      <c r="O1411" t="s">
        <v>81</v>
      </c>
      <c r="P1411">
        <v>3</v>
      </c>
      <c r="Q1411" t="str">
        <f>IFERROR(VLOOKUP(E1411,Lookups!$A$5:$B$24,2,FALSE),"Other")</f>
        <v>Outbound</v>
      </c>
      <c r="R1411" t="str">
        <f>IFERROR(VLOOKUP(F1411,Lookups!$D$5:$F$10,2,FALSE),"Unknown Product")</f>
        <v>Revenue Operations Suite</v>
      </c>
      <c r="S1411" t="str">
        <f>IFERROR(VLOOKUP(F1411,Lookups!$D$5:$F$10,3,FALSE),"Unknown")</f>
        <v>Revenue Ops</v>
      </c>
      <c r="T1411" t="str">
        <f t="shared" si="242"/>
        <v>Mid-Market</v>
      </c>
      <c r="U1411" t="str">
        <f t="shared" si="243"/>
        <v>Lost</v>
      </c>
      <c r="V1411" s="3">
        <f t="shared" si="244"/>
        <v>0</v>
      </c>
      <c r="W1411" s="3">
        <f t="shared" si="245"/>
        <v>0</v>
      </c>
      <c r="X1411" s="5">
        <f t="shared" si="246"/>
        <v>61</v>
      </c>
      <c r="Y1411" s="5">
        <f>IF(U1411="Open",Lookups!$B$2-B1411,X1411)</f>
        <v>61</v>
      </c>
      <c r="Z1411" t="str">
        <f t="shared" si="247"/>
        <v>OK</v>
      </c>
      <c r="AA1411" t="str">
        <f t="shared" si="248"/>
        <v>2026-02</v>
      </c>
      <c r="AB1411" t="str">
        <f t="shared" si="249"/>
        <v>2026-04</v>
      </c>
      <c r="AC1411" t="str">
        <f t="shared" si="250"/>
        <v>Q1-2026</v>
      </c>
      <c r="AD1411" s="5">
        <f t="shared" si="251"/>
        <v>51</v>
      </c>
      <c r="AE1411" t="str">
        <f t="shared" si="252"/>
        <v>Lost</v>
      </c>
    </row>
    <row r="1412" spans="1:31">
      <c r="A1412" t="s">
        <v>1514</v>
      </c>
      <c r="B1412" s="1">
        <v>46101</v>
      </c>
      <c r="C1412" t="s">
        <v>86</v>
      </c>
      <c r="D1412" t="s">
        <v>87</v>
      </c>
      <c r="E1412" t="s">
        <v>98</v>
      </c>
      <c r="F1412" t="s">
        <v>67</v>
      </c>
      <c r="G1412" t="s">
        <v>60</v>
      </c>
      <c r="H1412" t="s">
        <v>47</v>
      </c>
      <c r="I1412" t="s">
        <v>61</v>
      </c>
      <c r="J1412" s="1">
        <v>46151</v>
      </c>
      <c r="K1412" s="1">
        <v>46151</v>
      </c>
      <c r="L1412" s="3">
        <v>41600</v>
      </c>
      <c r="M1412" s="4">
        <v>0</v>
      </c>
      <c r="N1412" s="4">
        <v>0</v>
      </c>
      <c r="O1412" t="s">
        <v>81</v>
      </c>
      <c r="P1412">
        <v>5</v>
      </c>
      <c r="Q1412" t="str">
        <f>IFERROR(VLOOKUP(E1412,Lookups!$A$5:$B$24,2,FALSE),"Other")</f>
        <v>Outbound</v>
      </c>
      <c r="R1412" t="str">
        <f>IFERROR(VLOOKUP(F1412,Lookups!$D$5:$F$10,2,FALSE),"Unknown Product")</f>
        <v>Revenue Operations Suite</v>
      </c>
      <c r="S1412" t="str">
        <f>IFERROR(VLOOKUP(F1412,Lookups!$D$5:$F$10,3,FALSE),"Unknown")</f>
        <v>Revenue Ops</v>
      </c>
      <c r="T1412" t="str">
        <f t="shared" si="242"/>
        <v>Mid-Market</v>
      </c>
      <c r="U1412" t="str">
        <f t="shared" si="243"/>
        <v>Lost</v>
      </c>
      <c r="V1412" s="3">
        <f t="shared" si="244"/>
        <v>0</v>
      </c>
      <c r="W1412" s="3">
        <f t="shared" si="245"/>
        <v>0</v>
      </c>
      <c r="X1412" s="5">
        <f t="shared" si="246"/>
        <v>50</v>
      </c>
      <c r="Y1412" s="5">
        <f>IF(U1412="Open",Lookups!$B$2-B1412,X1412)</f>
        <v>50</v>
      </c>
      <c r="Z1412" t="str">
        <f t="shared" si="247"/>
        <v>OK</v>
      </c>
      <c r="AA1412" t="str">
        <f t="shared" si="248"/>
        <v>2026-03</v>
      </c>
      <c r="AB1412" t="str">
        <f t="shared" si="249"/>
        <v>2026-05</v>
      </c>
      <c r="AC1412" t="str">
        <f t="shared" si="250"/>
        <v>Q1-2026</v>
      </c>
      <c r="AD1412" s="5">
        <f t="shared" si="251"/>
        <v>51</v>
      </c>
      <c r="AE1412" t="str">
        <f t="shared" si="252"/>
        <v>Lost</v>
      </c>
    </row>
    <row r="1413" spans="1:31">
      <c r="A1413" t="s">
        <v>1515</v>
      </c>
      <c r="B1413" s="1">
        <v>45756</v>
      </c>
      <c r="C1413" t="s">
        <v>148</v>
      </c>
      <c r="D1413" t="s">
        <v>43</v>
      </c>
      <c r="E1413" t="s">
        <v>166</v>
      </c>
      <c r="F1413" t="s">
        <v>67</v>
      </c>
      <c r="G1413" t="s">
        <v>72</v>
      </c>
      <c r="H1413" t="s">
        <v>47</v>
      </c>
      <c r="I1413" t="s">
        <v>61</v>
      </c>
      <c r="J1413" s="1">
        <v>45810</v>
      </c>
      <c r="K1413" s="1">
        <v>45810</v>
      </c>
      <c r="L1413" s="3">
        <v>34700</v>
      </c>
      <c r="M1413" s="4">
        <v>0</v>
      </c>
      <c r="N1413" s="4">
        <v>0</v>
      </c>
      <c r="O1413" t="s">
        <v>79</v>
      </c>
      <c r="P1413">
        <v>3</v>
      </c>
      <c r="Q1413" t="str">
        <f>IFERROR(VLOOKUP(E1413,Lookups!$A$5:$B$24,2,FALSE),"Other")</f>
        <v>Referral</v>
      </c>
      <c r="R1413" t="str">
        <f>IFERROR(VLOOKUP(F1413,Lookups!$D$5:$F$10,2,FALSE),"Unknown Product")</f>
        <v>Revenue Operations Suite</v>
      </c>
      <c r="S1413" t="str">
        <f>IFERROR(VLOOKUP(F1413,Lookups!$D$5:$F$10,3,FALSE),"Unknown")</f>
        <v>Revenue Ops</v>
      </c>
      <c r="T1413" t="str">
        <f t="shared" si="242"/>
        <v>Mid-Market</v>
      </c>
      <c r="U1413" t="str">
        <f t="shared" si="243"/>
        <v>Lost</v>
      </c>
      <c r="V1413" s="3">
        <f t="shared" si="244"/>
        <v>0</v>
      </c>
      <c r="W1413" s="3">
        <f t="shared" si="245"/>
        <v>0</v>
      </c>
      <c r="X1413" s="5">
        <f t="shared" si="246"/>
        <v>54</v>
      </c>
      <c r="Y1413" s="5">
        <f>IF(U1413="Open",Lookups!$B$2-B1413,X1413)</f>
        <v>54</v>
      </c>
      <c r="Z1413" t="str">
        <f t="shared" si="247"/>
        <v>OK</v>
      </c>
      <c r="AA1413" t="str">
        <f t="shared" si="248"/>
        <v>2025-04</v>
      </c>
      <c r="AB1413" t="str">
        <f t="shared" si="249"/>
        <v>2025-06</v>
      </c>
      <c r="AC1413" t="str">
        <f t="shared" si="250"/>
        <v>Q2-2025</v>
      </c>
      <c r="AD1413" s="5">
        <f t="shared" si="251"/>
        <v>62</v>
      </c>
      <c r="AE1413" t="str">
        <f t="shared" si="252"/>
        <v>Lost</v>
      </c>
    </row>
    <row r="1414" spans="1:31">
      <c r="A1414" t="s">
        <v>1516</v>
      </c>
      <c r="B1414" s="1">
        <v>45934</v>
      </c>
      <c r="C1414" t="s">
        <v>64</v>
      </c>
      <c r="D1414" t="s">
        <v>57</v>
      </c>
      <c r="E1414" t="s">
        <v>70</v>
      </c>
      <c r="F1414" t="s">
        <v>133</v>
      </c>
      <c r="G1414" t="s">
        <v>99</v>
      </c>
      <c r="H1414" t="s">
        <v>53</v>
      </c>
      <c r="I1414" t="s">
        <v>61</v>
      </c>
      <c r="J1414" s="1">
        <v>45966</v>
      </c>
      <c r="K1414" s="1">
        <v>45966</v>
      </c>
      <c r="L1414" s="3">
        <v>23100</v>
      </c>
      <c r="M1414" s="4">
        <v>0</v>
      </c>
      <c r="N1414" s="4">
        <v>0</v>
      </c>
      <c r="O1414" t="s">
        <v>116</v>
      </c>
      <c r="P1414">
        <v>3</v>
      </c>
      <c r="Q1414" t="str">
        <f>IFERROR(VLOOKUP(E1414,Lookups!$A$5:$B$24,2,FALSE),"Other")</f>
        <v>LinkedIn</v>
      </c>
      <c r="R1414" t="str">
        <f>IFERROR(VLOOKUP(F1414,Lookups!$D$5:$F$10,2,FALSE),"Unknown Product")</f>
        <v>Analytics Plus</v>
      </c>
      <c r="S1414" t="str">
        <f>IFERROR(VLOOKUP(F1414,Lookups!$D$5:$F$10,3,FALSE),"Unknown")</f>
        <v>Analytics</v>
      </c>
      <c r="T1414" t="str">
        <f t="shared" si="242"/>
        <v>Mid-Market</v>
      </c>
      <c r="U1414" t="str">
        <f t="shared" si="243"/>
        <v>Lost</v>
      </c>
      <c r="V1414" s="3">
        <f t="shared" si="244"/>
        <v>0</v>
      </c>
      <c r="W1414" s="3">
        <f t="shared" si="245"/>
        <v>0</v>
      </c>
      <c r="X1414" s="5">
        <f t="shared" si="246"/>
        <v>32</v>
      </c>
      <c r="Y1414" s="5">
        <f>IF(U1414="Open",Lookups!$B$2-B1414,X1414)</f>
        <v>32</v>
      </c>
      <c r="Z1414" t="str">
        <f t="shared" si="247"/>
        <v>OK</v>
      </c>
      <c r="AA1414" t="str">
        <f t="shared" si="248"/>
        <v>2025-10</v>
      </c>
      <c r="AB1414" t="str">
        <f t="shared" si="249"/>
        <v>2025-11</v>
      </c>
      <c r="AC1414" t="str">
        <f t="shared" si="250"/>
        <v>Q4-2025</v>
      </c>
      <c r="AD1414" s="5">
        <f t="shared" si="251"/>
        <v>59</v>
      </c>
      <c r="AE1414" t="str">
        <f t="shared" si="252"/>
        <v>Lost</v>
      </c>
    </row>
    <row r="1415" spans="1:31">
      <c r="A1415" t="s">
        <v>1517</v>
      </c>
      <c r="B1415" s="1">
        <v>46176</v>
      </c>
      <c r="C1415" t="s">
        <v>50</v>
      </c>
      <c r="D1415" t="s">
        <v>43</v>
      </c>
      <c r="E1415" t="s">
        <v>83</v>
      </c>
      <c r="F1415" t="s">
        <v>52</v>
      </c>
      <c r="G1415" t="s">
        <v>72</v>
      </c>
      <c r="H1415" t="s">
        <v>47</v>
      </c>
      <c r="I1415" t="s">
        <v>61</v>
      </c>
      <c r="J1415" s="1">
        <v>46251</v>
      </c>
      <c r="K1415" s="1">
        <v>46251</v>
      </c>
      <c r="L1415" s="3">
        <v>8200</v>
      </c>
      <c r="M1415" s="4">
        <v>0</v>
      </c>
      <c r="N1415" s="4">
        <v>0</v>
      </c>
      <c r="O1415" t="s">
        <v>81</v>
      </c>
      <c r="P1415">
        <v>5</v>
      </c>
      <c r="Q1415" t="str">
        <f>IFERROR(VLOOKUP(E1415,Lookups!$A$5:$B$24,2,FALSE),"Other")</f>
        <v>Organic Search</v>
      </c>
      <c r="R1415" t="str">
        <f>IFERROR(VLOOKUP(F1415,Lookups!$D$5:$F$10,2,FALSE),"Unknown Product")</f>
        <v>NexaCRM Core</v>
      </c>
      <c r="S1415" t="str">
        <f>IFERROR(VLOOKUP(F1415,Lookups!$D$5:$F$10,3,FALSE),"Unknown")</f>
        <v>CRM</v>
      </c>
      <c r="T1415" t="str">
        <f t="shared" si="242"/>
        <v>SMB</v>
      </c>
      <c r="U1415" t="str">
        <f t="shared" si="243"/>
        <v>Lost</v>
      </c>
      <c r="V1415" s="3">
        <f t="shared" si="244"/>
        <v>0</v>
      </c>
      <c r="W1415" s="3">
        <f t="shared" si="245"/>
        <v>0</v>
      </c>
      <c r="X1415" s="5">
        <f t="shared" si="246"/>
        <v>75</v>
      </c>
      <c r="Y1415" s="5">
        <f>IF(U1415="Open",Lookups!$B$2-B1415,X1415)</f>
        <v>75</v>
      </c>
      <c r="Z1415" t="str">
        <f t="shared" si="247"/>
        <v>OK</v>
      </c>
      <c r="AA1415" t="str">
        <f t="shared" si="248"/>
        <v>2026-06</v>
      </c>
      <c r="AB1415" t="str">
        <f t="shared" si="249"/>
        <v>2026-08</v>
      </c>
      <c r="AC1415" t="str">
        <f t="shared" si="250"/>
        <v>Q2-2026</v>
      </c>
      <c r="AD1415" s="5">
        <f t="shared" si="251"/>
        <v>49</v>
      </c>
      <c r="AE1415" t="str">
        <f t="shared" si="252"/>
        <v>Lost</v>
      </c>
    </row>
    <row r="1416" spans="1:31">
      <c r="A1416" t="s">
        <v>1518</v>
      </c>
      <c r="B1416" s="1">
        <v>45710</v>
      </c>
      <c r="C1416" t="s">
        <v>148</v>
      </c>
      <c r="D1416" t="s">
        <v>43</v>
      </c>
      <c r="E1416" t="s">
        <v>119</v>
      </c>
      <c r="F1416" t="s">
        <v>59</v>
      </c>
      <c r="G1416" t="s">
        <v>76</v>
      </c>
      <c r="H1416" t="s">
        <v>47</v>
      </c>
      <c r="I1416" t="s">
        <v>77</v>
      </c>
      <c r="J1416" s="1">
        <v>45740</v>
      </c>
      <c r="K1416" s="1">
        <v>45740</v>
      </c>
      <c r="L1416" s="3">
        <v>11100</v>
      </c>
      <c r="M1416" s="4">
        <v>0.05</v>
      </c>
      <c r="N1416" s="4">
        <v>1</v>
      </c>
      <c r="P1416">
        <v>6</v>
      </c>
      <c r="Q1416" t="str">
        <f>IFERROR(VLOOKUP(E1416,Lookups!$A$5:$B$24,2,FALSE),"Other")</f>
        <v>Referral</v>
      </c>
      <c r="R1416" t="str">
        <f>IFERROR(VLOOKUP(F1416,Lookups!$D$5:$F$10,2,FALSE),"Unknown Product")</f>
        <v>NexaCRM Pro</v>
      </c>
      <c r="S1416" t="str">
        <f>IFERROR(VLOOKUP(F1416,Lookups!$D$5:$F$10,3,FALSE),"Unknown")</f>
        <v>CRM</v>
      </c>
      <c r="T1416" t="str">
        <f t="shared" si="242"/>
        <v>SMB</v>
      </c>
      <c r="U1416" t="str">
        <f t="shared" si="243"/>
        <v>Won</v>
      </c>
      <c r="V1416" s="3">
        <f t="shared" si="244"/>
        <v>10545</v>
      </c>
      <c r="W1416" s="3">
        <f t="shared" si="245"/>
        <v>0</v>
      </c>
      <c r="X1416" s="5">
        <f t="shared" si="246"/>
        <v>30</v>
      </c>
      <c r="Y1416" s="5">
        <f>IF(U1416="Open",Lookups!$B$2-B1416,X1416)</f>
        <v>30</v>
      </c>
      <c r="Z1416" t="str">
        <f t="shared" si="247"/>
        <v>OK</v>
      </c>
      <c r="AA1416" t="str">
        <f t="shared" si="248"/>
        <v>2025-02</v>
      </c>
      <c r="AB1416" t="str">
        <f t="shared" si="249"/>
        <v>2025-03</v>
      </c>
      <c r="AC1416" t="str">
        <f t="shared" si="250"/>
        <v>Q1-2025</v>
      </c>
      <c r="AD1416" s="5">
        <f t="shared" si="251"/>
        <v>54</v>
      </c>
      <c r="AE1416" t="str">
        <f t="shared" si="252"/>
        <v>Won</v>
      </c>
    </row>
    <row r="1417" spans="1:31">
      <c r="A1417" t="s">
        <v>1519</v>
      </c>
      <c r="B1417" s="1">
        <v>45954</v>
      </c>
      <c r="C1417" t="s">
        <v>86</v>
      </c>
      <c r="D1417" t="s">
        <v>87</v>
      </c>
      <c r="E1417" t="s">
        <v>70</v>
      </c>
      <c r="F1417" t="s">
        <v>71</v>
      </c>
      <c r="G1417" t="s">
        <v>72</v>
      </c>
      <c r="H1417" t="s">
        <v>53</v>
      </c>
      <c r="I1417" t="s">
        <v>77</v>
      </c>
      <c r="J1417" s="1">
        <v>46016</v>
      </c>
      <c r="K1417" s="1">
        <v>46016</v>
      </c>
      <c r="L1417" s="3">
        <v>20000</v>
      </c>
      <c r="M1417" s="4">
        <v>0.12</v>
      </c>
      <c r="N1417" s="4">
        <v>1</v>
      </c>
      <c r="P1417">
        <v>6</v>
      </c>
      <c r="Q1417" t="str">
        <f>IFERROR(VLOOKUP(E1417,Lookups!$A$5:$B$24,2,FALSE),"Other")</f>
        <v>LinkedIn</v>
      </c>
      <c r="R1417" t="str">
        <f>IFERROR(VLOOKUP(F1417,Lookups!$D$5:$F$10,2,FALSE),"Unknown Product")</f>
        <v>Marketing Automation</v>
      </c>
      <c r="S1417" t="str">
        <f>IFERROR(VLOOKUP(F1417,Lookups!$D$5:$F$10,3,FALSE),"Unknown")</f>
        <v>Marketing</v>
      </c>
      <c r="T1417" t="str">
        <f t="shared" si="242"/>
        <v>Mid-Market</v>
      </c>
      <c r="U1417" t="str">
        <f t="shared" si="243"/>
        <v>Won</v>
      </c>
      <c r="V1417" s="3">
        <f t="shared" si="244"/>
        <v>17600</v>
      </c>
      <c r="W1417" s="3">
        <f t="shared" si="245"/>
        <v>0</v>
      </c>
      <c r="X1417" s="5">
        <f t="shared" si="246"/>
        <v>62</v>
      </c>
      <c r="Y1417" s="5">
        <f>IF(U1417="Open",Lookups!$B$2-B1417,X1417)</f>
        <v>62</v>
      </c>
      <c r="Z1417" t="str">
        <f t="shared" si="247"/>
        <v>OK</v>
      </c>
      <c r="AA1417" t="str">
        <f t="shared" si="248"/>
        <v>2025-10</v>
      </c>
      <c r="AB1417" t="str">
        <f t="shared" si="249"/>
        <v>2025-12</v>
      </c>
      <c r="AC1417" t="str">
        <f t="shared" si="250"/>
        <v>Q4-2025</v>
      </c>
      <c r="AD1417" s="5">
        <f t="shared" si="251"/>
        <v>59</v>
      </c>
      <c r="AE1417" t="str">
        <f t="shared" si="252"/>
        <v>Won</v>
      </c>
    </row>
    <row r="1418" spans="1:31">
      <c r="A1418" t="s">
        <v>1520</v>
      </c>
      <c r="B1418" s="1">
        <v>45702</v>
      </c>
      <c r="C1418" t="s">
        <v>90</v>
      </c>
      <c r="D1418" t="s">
        <v>57</v>
      </c>
      <c r="E1418" t="s">
        <v>138</v>
      </c>
      <c r="F1418" t="s">
        <v>52</v>
      </c>
      <c r="G1418" t="s">
        <v>76</v>
      </c>
      <c r="H1418" t="s">
        <v>53</v>
      </c>
      <c r="I1418" t="s">
        <v>61</v>
      </c>
      <c r="J1418" s="1">
        <v>45750</v>
      </c>
      <c r="K1418" s="1">
        <v>45750</v>
      </c>
      <c r="L1418" s="3">
        <v>8100</v>
      </c>
      <c r="M1418" s="4">
        <v>0</v>
      </c>
      <c r="N1418" s="4">
        <v>0</v>
      </c>
      <c r="O1418" t="s">
        <v>81</v>
      </c>
      <c r="P1418">
        <v>4</v>
      </c>
      <c r="Q1418" t="str">
        <f>IFERROR(VLOOKUP(E1418,Lookups!$A$5:$B$24,2,FALSE),"Other")</f>
        <v>Organic Search</v>
      </c>
      <c r="R1418" t="str">
        <f>IFERROR(VLOOKUP(F1418,Lookups!$D$5:$F$10,2,FALSE),"Unknown Product")</f>
        <v>NexaCRM Core</v>
      </c>
      <c r="S1418" t="str">
        <f>IFERROR(VLOOKUP(F1418,Lookups!$D$5:$F$10,3,FALSE),"Unknown")</f>
        <v>CRM</v>
      </c>
      <c r="T1418" t="str">
        <f t="shared" si="242"/>
        <v>SMB</v>
      </c>
      <c r="U1418" t="str">
        <f t="shared" si="243"/>
        <v>Lost</v>
      </c>
      <c r="V1418" s="3">
        <f t="shared" si="244"/>
        <v>0</v>
      </c>
      <c r="W1418" s="3">
        <f t="shared" si="245"/>
        <v>0</v>
      </c>
      <c r="X1418" s="5">
        <f t="shared" si="246"/>
        <v>48</v>
      </c>
      <c r="Y1418" s="5">
        <f>IF(U1418="Open",Lookups!$B$2-B1418,X1418)</f>
        <v>48</v>
      </c>
      <c r="Z1418" t="str">
        <f t="shared" si="247"/>
        <v>OK</v>
      </c>
      <c r="AA1418" t="str">
        <f t="shared" si="248"/>
        <v>2025-02</v>
      </c>
      <c r="AB1418" t="str">
        <f t="shared" si="249"/>
        <v>2025-04</v>
      </c>
      <c r="AC1418" t="str">
        <f t="shared" si="250"/>
        <v>Q1-2025</v>
      </c>
      <c r="AD1418" s="5">
        <f t="shared" si="251"/>
        <v>57</v>
      </c>
      <c r="AE1418" t="str">
        <f t="shared" si="252"/>
        <v>Lost</v>
      </c>
    </row>
    <row r="1419" spans="1:31">
      <c r="A1419" t="s">
        <v>1521</v>
      </c>
      <c r="B1419" s="1">
        <v>46207</v>
      </c>
      <c r="C1419" t="s">
        <v>69</v>
      </c>
      <c r="D1419" t="s">
        <v>57</v>
      </c>
      <c r="E1419" t="s">
        <v>44</v>
      </c>
      <c r="F1419" t="s">
        <v>52</v>
      </c>
      <c r="G1419" t="s">
        <v>94</v>
      </c>
      <c r="H1419" t="s">
        <v>53</v>
      </c>
      <c r="I1419" t="s">
        <v>61</v>
      </c>
      <c r="J1419" s="1">
        <v>46242</v>
      </c>
      <c r="K1419" s="1">
        <v>46242</v>
      </c>
      <c r="L1419" s="3">
        <v>11300</v>
      </c>
      <c r="M1419" s="4">
        <v>0</v>
      </c>
      <c r="N1419" s="4">
        <v>0</v>
      </c>
      <c r="O1419" t="s">
        <v>81</v>
      </c>
      <c r="P1419">
        <v>5</v>
      </c>
      <c r="Q1419" t="str">
        <f>IFERROR(VLOOKUP(E1419,Lookups!$A$5:$B$24,2,FALSE),"Other")</f>
        <v>Organic Search</v>
      </c>
      <c r="R1419" t="str">
        <f>IFERROR(VLOOKUP(F1419,Lookups!$D$5:$F$10,2,FALSE),"Unknown Product")</f>
        <v>NexaCRM Core</v>
      </c>
      <c r="S1419" t="str">
        <f>IFERROR(VLOOKUP(F1419,Lookups!$D$5:$F$10,3,FALSE),"Unknown")</f>
        <v>CRM</v>
      </c>
      <c r="T1419" t="str">
        <f t="shared" si="242"/>
        <v>SMB</v>
      </c>
      <c r="U1419" t="str">
        <f t="shared" si="243"/>
        <v>Lost</v>
      </c>
      <c r="V1419" s="3">
        <f t="shared" si="244"/>
        <v>0</v>
      </c>
      <c r="W1419" s="3">
        <f t="shared" si="245"/>
        <v>0</v>
      </c>
      <c r="X1419" s="5">
        <f t="shared" si="246"/>
        <v>35</v>
      </c>
      <c r="Y1419" s="5">
        <f>IF(U1419="Open",Lookups!$B$2-B1419,X1419)</f>
        <v>35</v>
      </c>
      <c r="Z1419" t="str">
        <f t="shared" si="247"/>
        <v>OK</v>
      </c>
      <c r="AA1419" t="str">
        <f t="shared" si="248"/>
        <v>2026-07</v>
      </c>
      <c r="AB1419" t="str">
        <f t="shared" si="249"/>
        <v>2026-08</v>
      </c>
      <c r="AC1419" t="str">
        <f t="shared" si="250"/>
        <v>Q3-2026</v>
      </c>
      <c r="AD1419" s="5">
        <f t="shared" si="251"/>
        <v>57</v>
      </c>
      <c r="AE1419" t="str">
        <f t="shared" si="252"/>
        <v>Lost</v>
      </c>
    </row>
    <row r="1420" spans="1:31">
      <c r="A1420" t="s">
        <v>1522</v>
      </c>
      <c r="B1420" s="1">
        <v>46173</v>
      </c>
      <c r="C1420" t="s">
        <v>86</v>
      </c>
      <c r="D1420" t="s">
        <v>87</v>
      </c>
      <c r="E1420" t="s">
        <v>96</v>
      </c>
      <c r="F1420" t="s">
        <v>59</v>
      </c>
      <c r="G1420" t="s">
        <v>112</v>
      </c>
      <c r="H1420" t="s">
        <v>47</v>
      </c>
      <c r="I1420" t="s">
        <v>77</v>
      </c>
      <c r="J1420" s="1">
        <v>46255</v>
      </c>
      <c r="K1420" s="1">
        <v>46255</v>
      </c>
      <c r="L1420" s="3">
        <v>14300</v>
      </c>
      <c r="M1420" s="4">
        <v>0.05</v>
      </c>
      <c r="N1420" s="4">
        <v>1</v>
      </c>
      <c r="P1420">
        <v>6</v>
      </c>
      <c r="Q1420" t="str">
        <f>IFERROR(VLOOKUP(E1420,Lookups!$A$5:$B$24,2,FALSE),"Other")</f>
        <v>LinkedIn</v>
      </c>
      <c r="R1420" t="str">
        <f>IFERROR(VLOOKUP(F1420,Lookups!$D$5:$F$10,2,FALSE),"Unknown Product")</f>
        <v>NexaCRM Pro</v>
      </c>
      <c r="S1420" t="str">
        <f>IFERROR(VLOOKUP(F1420,Lookups!$D$5:$F$10,3,FALSE),"Unknown")</f>
        <v>CRM</v>
      </c>
      <c r="T1420" t="str">
        <f t="shared" si="242"/>
        <v>SMB</v>
      </c>
      <c r="U1420" t="str">
        <f t="shared" si="243"/>
        <v>Won</v>
      </c>
      <c r="V1420" s="3">
        <f t="shared" si="244"/>
        <v>13585</v>
      </c>
      <c r="W1420" s="3">
        <f t="shared" si="245"/>
        <v>0</v>
      </c>
      <c r="X1420" s="5">
        <f t="shared" si="246"/>
        <v>82</v>
      </c>
      <c r="Y1420" s="5">
        <f>IF(U1420="Open",Lookups!$B$2-B1420,X1420)</f>
        <v>82</v>
      </c>
      <c r="Z1420" t="str">
        <f t="shared" si="247"/>
        <v>OK</v>
      </c>
      <c r="AA1420" t="str">
        <f t="shared" si="248"/>
        <v>2026-05</v>
      </c>
      <c r="AB1420" t="str">
        <f t="shared" si="249"/>
        <v>2026-08</v>
      </c>
      <c r="AC1420" t="str">
        <f t="shared" si="250"/>
        <v>Q2-2026</v>
      </c>
      <c r="AD1420" s="5">
        <f t="shared" si="251"/>
        <v>48</v>
      </c>
      <c r="AE1420" t="str">
        <f t="shared" si="252"/>
        <v>Won</v>
      </c>
    </row>
    <row r="1421" spans="1:31">
      <c r="A1421" t="s">
        <v>1523</v>
      </c>
      <c r="B1421" s="1">
        <v>45765</v>
      </c>
      <c r="C1421" t="s">
        <v>69</v>
      </c>
      <c r="D1421" t="s">
        <v>57</v>
      </c>
      <c r="E1421" t="s">
        <v>70</v>
      </c>
      <c r="F1421" t="s">
        <v>133</v>
      </c>
      <c r="G1421" t="s">
        <v>60</v>
      </c>
      <c r="H1421" t="s">
        <v>53</v>
      </c>
      <c r="I1421" t="s">
        <v>77</v>
      </c>
      <c r="J1421" s="1">
        <v>45824</v>
      </c>
      <c r="K1421" s="1">
        <v>45824</v>
      </c>
      <c r="L1421" s="3">
        <v>40000</v>
      </c>
      <c r="M1421" s="4">
        <v>0.1</v>
      </c>
      <c r="N1421" s="4">
        <v>1</v>
      </c>
      <c r="P1421">
        <v>6</v>
      </c>
      <c r="Q1421" t="str">
        <f>IFERROR(VLOOKUP(E1421,Lookups!$A$5:$B$24,2,FALSE),"Other")</f>
        <v>LinkedIn</v>
      </c>
      <c r="R1421" t="str">
        <f>IFERROR(VLOOKUP(F1421,Lookups!$D$5:$F$10,2,FALSE),"Unknown Product")</f>
        <v>Analytics Plus</v>
      </c>
      <c r="S1421" t="str">
        <f>IFERROR(VLOOKUP(F1421,Lookups!$D$5:$F$10,3,FALSE),"Unknown")</f>
        <v>Analytics</v>
      </c>
      <c r="T1421" t="str">
        <f t="shared" si="242"/>
        <v>Mid-Market</v>
      </c>
      <c r="U1421" t="str">
        <f t="shared" si="243"/>
        <v>Won</v>
      </c>
      <c r="V1421" s="3">
        <f t="shared" si="244"/>
        <v>36000</v>
      </c>
      <c r="W1421" s="3">
        <f t="shared" si="245"/>
        <v>0</v>
      </c>
      <c r="X1421" s="5">
        <f t="shared" si="246"/>
        <v>59</v>
      </c>
      <c r="Y1421" s="5">
        <f>IF(U1421="Open",Lookups!$B$2-B1421,X1421)</f>
        <v>59</v>
      </c>
      <c r="Z1421" t="str">
        <f t="shared" si="247"/>
        <v>OK</v>
      </c>
      <c r="AA1421" t="str">
        <f t="shared" si="248"/>
        <v>2025-04</v>
      </c>
      <c r="AB1421" t="str">
        <f t="shared" si="249"/>
        <v>2025-06</v>
      </c>
      <c r="AC1421" t="str">
        <f t="shared" si="250"/>
        <v>Q2-2025</v>
      </c>
      <c r="AD1421" s="5">
        <f t="shared" si="251"/>
        <v>59</v>
      </c>
      <c r="AE1421" t="str">
        <f t="shared" si="252"/>
        <v>Won</v>
      </c>
    </row>
    <row r="1422" spans="1:31">
      <c r="A1422" t="s">
        <v>1524</v>
      </c>
      <c r="B1422" s="1">
        <v>46124</v>
      </c>
      <c r="C1422" t="s">
        <v>86</v>
      </c>
      <c r="D1422" t="s">
        <v>87</v>
      </c>
      <c r="E1422" t="s">
        <v>160</v>
      </c>
      <c r="F1422" t="s">
        <v>133</v>
      </c>
      <c r="G1422" t="s">
        <v>112</v>
      </c>
      <c r="H1422" t="s">
        <v>53</v>
      </c>
      <c r="I1422" t="s">
        <v>77</v>
      </c>
      <c r="J1422" s="1">
        <v>46136</v>
      </c>
      <c r="K1422" s="1">
        <v>46136</v>
      </c>
      <c r="L1422" s="3">
        <v>47400</v>
      </c>
      <c r="M1422" s="4">
        <v>0.1</v>
      </c>
      <c r="N1422" s="4">
        <v>1</v>
      </c>
      <c r="P1422">
        <v>6</v>
      </c>
      <c r="Q1422" t="str">
        <f>IFERROR(VLOOKUP(E1422,Lookups!$A$5:$B$24,2,FALSE),"Other")</f>
        <v>Email</v>
      </c>
      <c r="R1422" t="str">
        <f>IFERROR(VLOOKUP(F1422,Lookups!$D$5:$F$10,2,FALSE),"Unknown Product")</f>
        <v>Analytics Plus</v>
      </c>
      <c r="S1422" t="str">
        <f>IFERROR(VLOOKUP(F1422,Lookups!$D$5:$F$10,3,FALSE),"Unknown")</f>
        <v>Analytics</v>
      </c>
      <c r="T1422" t="str">
        <f t="shared" si="242"/>
        <v>Mid-Market</v>
      </c>
      <c r="U1422" t="str">
        <f t="shared" si="243"/>
        <v>Won</v>
      </c>
      <c r="V1422" s="3">
        <f t="shared" si="244"/>
        <v>42660</v>
      </c>
      <c r="W1422" s="3">
        <f t="shared" si="245"/>
        <v>0</v>
      </c>
      <c r="X1422" s="5">
        <f t="shared" si="246"/>
        <v>12</v>
      </c>
      <c r="Y1422" s="5">
        <f>IF(U1422="Open",Lookups!$B$2-B1422,X1422)</f>
        <v>12</v>
      </c>
      <c r="Z1422" t="str">
        <f t="shared" si="247"/>
        <v>OK</v>
      </c>
      <c r="AA1422" t="str">
        <f t="shared" si="248"/>
        <v>2026-04</v>
      </c>
      <c r="AB1422" t="str">
        <f t="shared" si="249"/>
        <v>2026-04</v>
      </c>
      <c r="AC1422" t="str">
        <f t="shared" si="250"/>
        <v>Q2-2026</v>
      </c>
      <c r="AD1422" s="5">
        <f t="shared" si="251"/>
        <v>68</v>
      </c>
      <c r="AE1422" t="str">
        <f t="shared" si="252"/>
        <v>Won</v>
      </c>
    </row>
    <row r="1423" spans="1:31">
      <c r="A1423" t="s">
        <v>1525</v>
      </c>
      <c r="B1423" s="1">
        <v>45851</v>
      </c>
      <c r="C1423" t="s">
        <v>64</v>
      </c>
      <c r="D1423" t="s">
        <v>57</v>
      </c>
      <c r="E1423" t="s">
        <v>65</v>
      </c>
      <c r="F1423" t="s">
        <v>71</v>
      </c>
      <c r="G1423" t="s">
        <v>94</v>
      </c>
      <c r="H1423" t="s">
        <v>53</v>
      </c>
      <c r="I1423" t="s">
        <v>77</v>
      </c>
      <c r="J1423" s="1">
        <v>45868</v>
      </c>
      <c r="K1423" s="1">
        <v>45868</v>
      </c>
      <c r="L1423" s="3">
        <v>16200</v>
      </c>
      <c r="M1423" s="4">
        <v>0.12</v>
      </c>
      <c r="N1423" s="4">
        <v>1</v>
      </c>
      <c r="P1423">
        <v>6</v>
      </c>
      <c r="Q1423" t="str">
        <f>IFERROR(VLOOKUP(E1423,Lookups!$A$5:$B$24,2,FALSE),"Other")</f>
        <v>Paid Search</v>
      </c>
      <c r="R1423" t="str">
        <f>IFERROR(VLOOKUP(F1423,Lookups!$D$5:$F$10,2,FALSE),"Unknown Product")</f>
        <v>Marketing Automation</v>
      </c>
      <c r="S1423" t="str">
        <f>IFERROR(VLOOKUP(F1423,Lookups!$D$5:$F$10,3,FALSE),"Unknown")</f>
        <v>Marketing</v>
      </c>
      <c r="T1423" t="str">
        <f t="shared" si="242"/>
        <v>SMB</v>
      </c>
      <c r="U1423" t="str">
        <f t="shared" si="243"/>
        <v>Won</v>
      </c>
      <c r="V1423" s="3">
        <f t="shared" si="244"/>
        <v>14256</v>
      </c>
      <c r="W1423" s="3">
        <f t="shared" si="245"/>
        <v>0</v>
      </c>
      <c r="X1423" s="5">
        <f t="shared" si="246"/>
        <v>17</v>
      </c>
      <c r="Y1423" s="5">
        <f>IF(U1423="Open",Lookups!$B$2-B1423,X1423)</f>
        <v>17</v>
      </c>
      <c r="Z1423" t="str">
        <f t="shared" si="247"/>
        <v>OK</v>
      </c>
      <c r="AA1423" t="str">
        <f t="shared" si="248"/>
        <v>2025-07</v>
      </c>
      <c r="AB1423" t="str">
        <f t="shared" si="249"/>
        <v>2025-07</v>
      </c>
      <c r="AC1423" t="str">
        <f t="shared" si="250"/>
        <v>Q3-2025</v>
      </c>
      <c r="AD1423" s="5">
        <f t="shared" si="251"/>
        <v>51</v>
      </c>
      <c r="AE1423" t="str">
        <f t="shared" si="252"/>
        <v>Won</v>
      </c>
    </row>
    <row r="1424" spans="1:31">
      <c r="A1424" t="s">
        <v>1526</v>
      </c>
      <c r="B1424" s="1">
        <v>46107</v>
      </c>
      <c r="C1424" t="s">
        <v>86</v>
      </c>
      <c r="D1424" t="s">
        <v>87</v>
      </c>
      <c r="E1424" t="s">
        <v>65</v>
      </c>
      <c r="F1424" t="s">
        <v>52</v>
      </c>
      <c r="G1424" t="s">
        <v>94</v>
      </c>
      <c r="H1424" t="s">
        <v>84</v>
      </c>
      <c r="I1424" t="s">
        <v>61</v>
      </c>
      <c r="J1424" s="1">
        <v>46153</v>
      </c>
      <c r="K1424" s="1">
        <v>46153</v>
      </c>
      <c r="L1424" s="3">
        <v>20500</v>
      </c>
      <c r="M1424" s="4">
        <v>0</v>
      </c>
      <c r="N1424" s="4">
        <v>0</v>
      </c>
      <c r="O1424" t="s">
        <v>116</v>
      </c>
      <c r="P1424">
        <v>4</v>
      </c>
      <c r="Q1424" t="str">
        <f>IFERROR(VLOOKUP(E1424,Lookups!$A$5:$B$24,2,FALSE),"Other")</f>
        <v>Paid Search</v>
      </c>
      <c r="R1424" t="str">
        <f>IFERROR(VLOOKUP(F1424,Lookups!$D$5:$F$10,2,FALSE),"Unknown Product")</f>
        <v>NexaCRM Core</v>
      </c>
      <c r="S1424" t="str">
        <f>IFERROR(VLOOKUP(F1424,Lookups!$D$5:$F$10,3,FALSE),"Unknown")</f>
        <v>CRM</v>
      </c>
      <c r="T1424" t="str">
        <f t="shared" si="242"/>
        <v>Mid-Market</v>
      </c>
      <c r="U1424" t="str">
        <f t="shared" si="243"/>
        <v>Lost</v>
      </c>
      <c r="V1424" s="3">
        <f t="shared" si="244"/>
        <v>0</v>
      </c>
      <c r="W1424" s="3">
        <f t="shared" si="245"/>
        <v>0</v>
      </c>
      <c r="X1424" s="5">
        <f t="shared" si="246"/>
        <v>46</v>
      </c>
      <c r="Y1424" s="5">
        <f>IF(U1424="Open",Lookups!$B$2-B1424,X1424)</f>
        <v>46</v>
      </c>
      <c r="Z1424" t="str">
        <f t="shared" si="247"/>
        <v>OK</v>
      </c>
      <c r="AA1424" t="str">
        <f t="shared" si="248"/>
        <v>2026-03</v>
      </c>
      <c r="AB1424" t="str">
        <f t="shared" si="249"/>
        <v>2026-05</v>
      </c>
      <c r="AC1424" t="str">
        <f t="shared" si="250"/>
        <v>Q1-2026</v>
      </c>
      <c r="AD1424" s="5">
        <f t="shared" si="251"/>
        <v>67</v>
      </c>
      <c r="AE1424" t="str">
        <f t="shared" si="252"/>
        <v>Lost</v>
      </c>
    </row>
    <row r="1425" spans="1:31">
      <c r="A1425" t="s">
        <v>1527</v>
      </c>
      <c r="B1425" s="1">
        <v>45732</v>
      </c>
      <c r="C1425" t="s">
        <v>64</v>
      </c>
      <c r="D1425" t="s">
        <v>57</v>
      </c>
      <c r="E1425" t="s">
        <v>138</v>
      </c>
      <c r="F1425" t="s">
        <v>52</v>
      </c>
      <c r="G1425" t="s">
        <v>46</v>
      </c>
      <c r="H1425" t="s">
        <v>53</v>
      </c>
      <c r="I1425" t="s">
        <v>77</v>
      </c>
      <c r="J1425" s="1">
        <v>45752</v>
      </c>
      <c r="K1425" s="1">
        <v>45752</v>
      </c>
      <c r="L1425" s="3">
        <v>17100</v>
      </c>
      <c r="M1425" s="4">
        <v>0.1</v>
      </c>
      <c r="N1425" s="4">
        <v>1</v>
      </c>
      <c r="P1425">
        <v>6</v>
      </c>
      <c r="Q1425" t="str">
        <f>IFERROR(VLOOKUP(E1425,Lookups!$A$5:$B$24,2,FALSE),"Other")</f>
        <v>Organic Search</v>
      </c>
      <c r="R1425" t="str">
        <f>IFERROR(VLOOKUP(F1425,Lookups!$D$5:$F$10,2,FALSE),"Unknown Product")</f>
        <v>NexaCRM Core</v>
      </c>
      <c r="S1425" t="str">
        <f>IFERROR(VLOOKUP(F1425,Lookups!$D$5:$F$10,3,FALSE),"Unknown")</f>
        <v>CRM</v>
      </c>
      <c r="T1425" t="str">
        <f t="shared" si="242"/>
        <v>SMB</v>
      </c>
      <c r="U1425" t="str">
        <f t="shared" si="243"/>
        <v>Won</v>
      </c>
      <c r="V1425" s="3">
        <f t="shared" si="244"/>
        <v>15390</v>
      </c>
      <c r="W1425" s="3">
        <f t="shared" si="245"/>
        <v>0</v>
      </c>
      <c r="X1425" s="5">
        <f t="shared" si="246"/>
        <v>20</v>
      </c>
      <c r="Y1425" s="5">
        <f>IF(U1425="Open",Lookups!$B$2-B1425,X1425)</f>
        <v>20</v>
      </c>
      <c r="Z1425" t="str">
        <f t="shared" si="247"/>
        <v>OK</v>
      </c>
      <c r="AA1425" t="str">
        <f t="shared" si="248"/>
        <v>2025-03</v>
      </c>
      <c r="AB1425" t="str">
        <f t="shared" si="249"/>
        <v>2025-04</v>
      </c>
      <c r="AC1425" t="str">
        <f t="shared" si="250"/>
        <v>Q1-2025</v>
      </c>
      <c r="AD1425" s="5">
        <f t="shared" si="251"/>
        <v>57</v>
      </c>
      <c r="AE1425" t="str">
        <f t="shared" si="252"/>
        <v>Won</v>
      </c>
    </row>
    <row r="1426" spans="1:31">
      <c r="A1426" t="s">
        <v>1528</v>
      </c>
      <c r="B1426" s="1">
        <v>45897</v>
      </c>
      <c r="C1426" t="s">
        <v>86</v>
      </c>
      <c r="D1426" t="s">
        <v>87</v>
      </c>
      <c r="E1426" t="s">
        <v>75</v>
      </c>
      <c r="F1426" t="s">
        <v>52</v>
      </c>
      <c r="G1426" t="s">
        <v>46</v>
      </c>
      <c r="H1426" t="s">
        <v>53</v>
      </c>
      <c r="I1426" t="s">
        <v>61</v>
      </c>
      <c r="J1426" s="1">
        <v>45952</v>
      </c>
      <c r="K1426" s="1">
        <v>45952</v>
      </c>
      <c r="L1426" s="3">
        <v>9200</v>
      </c>
      <c r="M1426" s="4">
        <v>0</v>
      </c>
      <c r="N1426" s="4">
        <v>0</v>
      </c>
      <c r="O1426" t="s">
        <v>102</v>
      </c>
      <c r="P1426">
        <v>3</v>
      </c>
      <c r="Q1426" t="str">
        <f>IFERROR(VLOOKUP(E1426,Lookups!$A$5:$B$24,2,FALSE),"Other")</f>
        <v>Webinar</v>
      </c>
      <c r="R1426" t="str">
        <f>IFERROR(VLOOKUP(F1426,Lookups!$D$5:$F$10,2,FALSE),"Unknown Product")</f>
        <v>NexaCRM Core</v>
      </c>
      <c r="S1426" t="str">
        <f>IFERROR(VLOOKUP(F1426,Lookups!$D$5:$F$10,3,FALSE),"Unknown")</f>
        <v>CRM</v>
      </c>
      <c r="T1426" t="str">
        <f t="shared" si="242"/>
        <v>SMB</v>
      </c>
      <c r="U1426" t="str">
        <f t="shared" si="243"/>
        <v>Lost</v>
      </c>
      <c r="V1426" s="3">
        <f t="shared" si="244"/>
        <v>0</v>
      </c>
      <c r="W1426" s="3">
        <f t="shared" si="245"/>
        <v>0</v>
      </c>
      <c r="X1426" s="5">
        <f t="shared" si="246"/>
        <v>55</v>
      </c>
      <c r="Y1426" s="5">
        <f>IF(U1426="Open",Lookups!$B$2-B1426,X1426)</f>
        <v>55</v>
      </c>
      <c r="Z1426" t="str">
        <f t="shared" si="247"/>
        <v>OK</v>
      </c>
      <c r="AA1426" t="str">
        <f t="shared" si="248"/>
        <v>2025-08</v>
      </c>
      <c r="AB1426" t="str">
        <f t="shared" si="249"/>
        <v>2025-10</v>
      </c>
      <c r="AC1426" t="str">
        <f t="shared" si="250"/>
        <v>Q3-2025</v>
      </c>
      <c r="AD1426" s="5">
        <f t="shared" si="251"/>
        <v>51</v>
      </c>
      <c r="AE1426" t="str">
        <f t="shared" si="252"/>
        <v>Lost</v>
      </c>
    </row>
    <row r="1427" spans="1:31">
      <c r="A1427" t="s">
        <v>1529</v>
      </c>
      <c r="B1427" s="1">
        <v>45881</v>
      </c>
      <c r="C1427" t="s">
        <v>42</v>
      </c>
      <c r="D1427" t="s">
        <v>43</v>
      </c>
      <c r="E1427" t="s">
        <v>127</v>
      </c>
      <c r="F1427" t="s">
        <v>71</v>
      </c>
      <c r="G1427" t="s">
        <v>94</v>
      </c>
      <c r="H1427" t="s">
        <v>53</v>
      </c>
      <c r="I1427" t="s">
        <v>61</v>
      </c>
      <c r="J1427" s="1">
        <v>45926</v>
      </c>
      <c r="K1427" s="1">
        <v>45926</v>
      </c>
      <c r="L1427" s="3">
        <v>30300</v>
      </c>
      <c r="M1427" s="4">
        <v>0</v>
      </c>
      <c r="N1427" s="4">
        <v>0</v>
      </c>
      <c r="O1427" t="s">
        <v>79</v>
      </c>
      <c r="P1427">
        <v>2</v>
      </c>
      <c r="Q1427" t="str">
        <f>IFERROR(VLOOKUP(E1427,Lookups!$A$5:$B$24,2,FALSE),"Other")</f>
        <v>Paid Search</v>
      </c>
      <c r="R1427" t="str">
        <f>IFERROR(VLOOKUP(F1427,Lookups!$D$5:$F$10,2,FALSE),"Unknown Product")</f>
        <v>Marketing Automation</v>
      </c>
      <c r="S1427" t="str">
        <f>IFERROR(VLOOKUP(F1427,Lookups!$D$5:$F$10,3,FALSE),"Unknown")</f>
        <v>Marketing</v>
      </c>
      <c r="T1427" t="str">
        <f t="shared" si="242"/>
        <v>Mid-Market</v>
      </c>
      <c r="U1427" t="str">
        <f t="shared" si="243"/>
        <v>Lost</v>
      </c>
      <c r="V1427" s="3">
        <f t="shared" si="244"/>
        <v>0</v>
      </c>
      <c r="W1427" s="3">
        <f t="shared" si="245"/>
        <v>0</v>
      </c>
      <c r="X1427" s="5">
        <f t="shared" si="246"/>
        <v>45</v>
      </c>
      <c r="Y1427" s="5">
        <f>IF(U1427="Open",Lookups!$B$2-B1427,X1427)</f>
        <v>45</v>
      </c>
      <c r="Z1427" t="str">
        <f t="shared" si="247"/>
        <v>OK</v>
      </c>
      <c r="AA1427" t="str">
        <f t="shared" si="248"/>
        <v>2025-08</v>
      </c>
      <c r="AB1427" t="str">
        <f t="shared" si="249"/>
        <v>2025-09</v>
      </c>
      <c r="AC1427" t="str">
        <f t="shared" si="250"/>
        <v>Q3-2025</v>
      </c>
      <c r="AD1427" s="5">
        <f t="shared" si="251"/>
        <v>59</v>
      </c>
      <c r="AE1427" t="str">
        <f t="shared" si="252"/>
        <v>Lost</v>
      </c>
    </row>
    <row r="1428" spans="1:31">
      <c r="A1428" t="s">
        <v>1530</v>
      </c>
      <c r="B1428" s="1">
        <v>45972</v>
      </c>
      <c r="C1428" t="s">
        <v>56</v>
      </c>
      <c r="D1428" t="s">
        <v>57</v>
      </c>
      <c r="E1428" t="s">
        <v>127</v>
      </c>
      <c r="F1428" t="s">
        <v>71</v>
      </c>
      <c r="G1428" t="s">
        <v>99</v>
      </c>
      <c r="H1428" t="s">
        <v>47</v>
      </c>
      <c r="I1428" t="s">
        <v>61</v>
      </c>
      <c r="J1428" s="1">
        <v>45993</v>
      </c>
      <c r="K1428" s="1">
        <v>45993</v>
      </c>
      <c r="L1428" s="3">
        <v>19900</v>
      </c>
      <c r="M1428" s="4">
        <v>0</v>
      </c>
      <c r="N1428" s="4">
        <v>0</v>
      </c>
      <c r="O1428" t="s">
        <v>79</v>
      </c>
      <c r="P1428">
        <v>3</v>
      </c>
      <c r="Q1428" t="str">
        <f>IFERROR(VLOOKUP(E1428,Lookups!$A$5:$B$24,2,FALSE),"Other")</f>
        <v>Paid Search</v>
      </c>
      <c r="R1428" t="str">
        <f>IFERROR(VLOOKUP(F1428,Lookups!$D$5:$F$10,2,FALSE),"Unknown Product")</f>
        <v>Marketing Automation</v>
      </c>
      <c r="S1428" t="str">
        <f>IFERROR(VLOOKUP(F1428,Lookups!$D$5:$F$10,3,FALSE),"Unknown")</f>
        <v>Marketing</v>
      </c>
      <c r="T1428" t="str">
        <f t="shared" si="242"/>
        <v>SMB</v>
      </c>
      <c r="U1428" t="str">
        <f t="shared" si="243"/>
        <v>Lost</v>
      </c>
      <c r="V1428" s="3">
        <f t="shared" si="244"/>
        <v>0</v>
      </c>
      <c r="W1428" s="3">
        <f t="shared" si="245"/>
        <v>0</v>
      </c>
      <c r="X1428" s="5">
        <f t="shared" si="246"/>
        <v>21</v>
      </c>
      <c r="Y1428" s="5">
        <f>IF(U1428="Open",Lookups!$B$2-B1428,X1428)</f>
        <v>21</v>
      </c>
      <c r="Z1428" t="str">
        <f t="shared" si="247"/>
        <v>OK</v>
      </c>
      <c r="AA1428" t="str">
        <f t="shared" si="248"/>
        <v>2025-11</v>
      </c>
      <c r="AB1428" t="str">
        <f t="shared" si="249"/>
        <v>2025-12</v>
      </c>
      <c r="AC1428" t="str">
        <f t="shared" si="250"/>
        <v>Q4-2025</v>
      </c>
      <c r="AD1428" s="5">
        <f t="shared" si="251"/>
        <v>43</v>
      </c>
      <c r="AE1428" t="str">
        <f t="shared" si="252"/>
        <v>Lost</v>
      </c>
    </row>
    <row r="1429" spans="1:31">
      <c r="A1429" t="s">
        <v>1531</v>
      </c>
      <c r="B1429" s="1">
        <v>45992</v>
      </c>
      <c r="C1429" t="s">
        <v>64</v>
      </c>
      <c r="D1429" t="s">
        <v>57</v>
      </c>
      <c r="E1429" t="s">
        <v>44</v>
      </c>
      <c r="F1429" t="s">
        <v>52</v>
      </c>
      <c r="G1429" t="s">
        <v>94</v>
      </c>
      <c r="H1429" t="s">
        <v>47</v>
      </c>
      <c r="I1429" t="s">
        <v>77</v>
      </c>
      <c r="J1429" s="1">
        <v>46040</v>
      </c>
      <c r="K1429" s="1">
        <v>46040</v>
      </c>
      <c r="L1429" s="3">
        <v>6800</v>
      </c>
      <c r="M1429" s="4">
        <v>0.1</v>
      </c>
      <c r="N1429" s="4">
        <v>1</v>
      </c>
      <c r="P1429">
        <v>6</v>
      </c>
      <c r="Q1429" t="str">
        <f>IFERROR(VLOOKUP(E1429,Lookups!$A$5:$B$24,2,FALSE),"Other")</f>
        <v>Organic Search</v>
      </c>
      <c r="R1429" t="str">
        <f>IFERROR(VLOOKUP(F1429,Lookups!$D$5:$F$10,2,FALSE),"Unknown Product")</f>
        <v>NexaCRM Core</v>
      </c>
      <c r="S1429" t="str">
        <f>IFERROR(VLOOKUP(F1429,Lookups!$D$5:$F$10,3,FALSE),"Unknown")</f>
        <v>CRM</v>
      </c>
      <c r="T1429" t="str">
        <f t="shared" si="242"/>
        <v>SMB</v>
      </c>
      <c r="U1429" t="str">
        <f t="shared" si="243"/>
        <v>Won</v>
      </c>
      <c r="V1429" s="3">
        <f t="shared" si="244"/>
        <v>6120</v>
      </c>
      <c r="W1429" s="3">
        <f t="shared" si="245"/>
        <v>0</v>
      </c>
      <c r="X1429" s="5">
        <f t="shared" si="246"/>
        <v>48</v>
      </c>
      <c r="Y1429" s="5">
        <f>IF(U1429="Open",Lookups!$B$2-B1429,X1429)</f>
        <v>48</v>
      </c>
      <c r="Z1429" t="str">
        <f t="shared" si="247"/>
        <v>OK</v>
      </c>
      <c r="AA1429" t="str">
        <f t="shared" si="248"/>
        <v>2025-12</v>
      </c>
      <c r="AB1429" t="str">
        <f t="shared" si="249"/>
        <v>2026-01</v>
      </c>
      <c r="AC1429" t="str">
        <f t="shared" si="250"/>
        <v>Q4-2025</v>
      </c>
      <c r="AD1429" s="5">
        <f t="shared" si="251"/>
        <v>49</v>
      </c>
      <c r="AE1429" t="str">
        <f t="shared" si="252"/>
        <v>Won</v>
      </c>
    </row>
    <row r="1430" spans="1:31">
      <c r="A1430" t="s">
        <v>1532</v>
      </c>
      <c r="B1430" s="1">
        <v>46076</v>
      </c>
      <c r="C1430" t="s">
        <v>56</v>
      </c>
      <c r="D1430" t="s">
        <v>57</v>
      </c>
      <c r="E1430" t="s">
        <v>58</v>
      </c>
      <c r="F1430" t="s">
        <v>133</v>
      </c>
      <c r="G1430" t="s">
        <v>99</v>
      </c>
      <c r="H1430" t="s">
        <v>84</v>
      </c>
      <c r="I1430" t="s">
        <v>61</v>
      </c>
      <c r="J1430" s="1">
        <v>46137</v>
      </c>
      <c r="K1430" s="1">
        <v>46137</v>
      </c>
      <c r="L1430" s="3">
        <v>62100</v>
      </c>
      <c r="M1430" s="4">
        <v>0</v>
      </c>
      <c r="N1430" s="4">
        <v>0</v>
      </c>
      <c r="O1430" t="s">
        <v>110</v>
      </c>
      <c r="P1430">
        <v>4</v>
      </c>
      <c r="Q1430" t="str">
        <f>IFERROR(VLOOKUP(E1430,Lookups!$A$5:$B$24,2,FALSE),"Other")</f>
        <v>Email</v>
      </c>
      <c r="R1430" t="str">
        <f>IFERROR(VLOOKUP(F1430,Lookups!$D$5:$F$10,2,FALSE),"Unknown Product")</f>
        <v>Analytics Plus</v>
      </c>
      <c r="S1430" t="str">
        <f>IFERROR(VLOOKUP(F1430,Lookups!$D$5:$F$10,3,FALSE),"Unknown")</f>
        <v>Analytics</v>
      </c>
      <c r="T1430" t="str">
        <f t="shared" si="242"/>
        <v>Enterprise</v>
      </c>
      <c r="U1430" t="str">
        <f t="shared" si="243"/>
        <v>Lost</v>
      </c>
      <c r="V1430" s="3">
        <f t="shared" si="244"/>
        <v>0</v>
      </c>
      <c r="W1430" s="3">
        <f t="shared" si="245"/>
        <v>0</v>
      </c>
      <c r="X1430" s="5">
        <f t="shared" si="246"/>
        <v>61</v>
      </c>
      <c r="Y1430" s="5">
        <f>IF(U1430="Open",Lookups!$B$2-B1430,X1430)</f>
        <v>61</v>
      </c>
      <c r="Z1430" t="str">
        <f t="shared" si="247"/>
        <v>OK</v>
      </c>
      <c r="AA1430" t="str">
        <f t="shared" si="248"/>
        <v>2026-02</v>
      </c>
      <c r="AB1430" t="str">
        <f t="shared" si="249"/>
        <v>2026-04</v>
      </c>
      <c r="AC1430" t="str">
        <f t="shared" si="250"/>
        <v>Q1-2026</v>
      </c>
      <c r="AD1430" s="5">
        <f t="shared" si="251"/>
        <v>78</v>
      </c>
      <c r="AE1430" t="str">
        <f t="shared" si="252"/>
        <v>Lost</v>
      </c>
    </row>
    <row r="1431" spans="1:31">
      <c r="A1431" t="s">
        <v>1533</v>
      </c>
      <c r="B1431" s="1">
        <v>45867</v>
      </c>
      <c r="C1431" t="s">
        <v>90</v>
      </c>
      <c r="D1431" t="s">
        <v>57</v>
      </c>
      <c r="E1431" t="s">
        <v>44</v>
      </c>
      <c r="F1431" t="s">
        <v>71</v>
      </c>
      <c r="G1431" t="s">
        <v>60</v>
      </c>
      <c r="H1431" t="s">
        <v>47</v>
      </c>
      <c r="I1431" t="s">
        <v>61</v>
      </c>
      <c r="J1431" s="1">
        <v>45879</v>
      </c>
      <c r="K1431" s="1">
        <v>45879</v>
      </c>
      <c r="L1431" s="3">
        <v>19200</v>
      </c>
      <c r="M1431" s="4">
        <v>0</v>
      </c>
      <c r="N1431" s="4">
        <v>0</v>
      </c>
      <c r="O1431" t="s">
        <v>102</v>
      </c>
      <c r="P1431">
        <v>2</v>
      </c>
      <c r="Q1431" t="str">
        <f>IFERROR(VLOOKUP(E1431,Lookups!$A$5:$B$24,2,FALSE),"Other")</f>
        <v>Organic Search</v>
      </c>
      <c r="R1431" t="str">
        <f>IFERROR(VLOOKUP(F1431,Lookups!$D$5:$F$10,2,FALSE),"Unknown Product")</f>
        <v>Marketing Automation</v>
      </c>
      <c r="S1431" t="str">
        <f>IFERROR(VLOOKUP(F1431,Lookups!$D$5:$F$10,3,FALSE),"Unknown")</f>
        <v>Marketing</v>
      </c>
      <c r="T1431" t="str">
        <f t="shared" si="242"/>
        <v>SMB</v>
      </c>
      <c r="U1431" t="str">
        <f t="shared" si="243"/>
        <v>Lost</v>
      </c>
      <c r="V1431" s="3">
        <f t="shared" si="244"/>
        <v>0</v>
      </c>
      <c r="W1431" s="3">
        <f t="shared" si="245"/>
        <v>0</v>
      </c>
      <c r="X1431" s="5">
        <f t="shared" si="246"/>
        <v>12</v>
      </c>
      <c r="Y1431" s="5">
        <f>IF(U1431="Open",Lookups!$B$2-B1431,X1431)</f>
        <v>12</v>
      </c>
      <c r="Z1431" t="str">
        <f t="shared" si="247"/>
        <v>OK</v>
      </c>
      <c r="AA1431" t="str">
        <f t="shared" si="248"/>
        <v>2025-07</v>
      </c>
      <c r="AB1431" t="str">
        <f t="shared" si="249"/>
        <v>2025-08</v>
      </c>
      <c r="AC1431" t="str">
        <f t="shared" si="250"/>
        <v>Q3-2025</v>
      </c>
      <c r="AD1431" s="5">
        <f t="shared" si="251"/>
        <v>49</v>
      </c>
      <c r="AE1431" t="str">
        <f t="shared" si="252"/>
        <v>Lost</v>
      </c>
    </row>
    <row r="1432" spans="1:31">
      <c r="A1432" t="s">
        <v>1534</v>
      </c>
      <c r="B1432" s="1">
        <v>45837</v>
      </c>
      <c r="C1432" t="s">
        <v>148</v>
      </c>
      <c r="D1432" t="s">
        <v>43</v>
      </c>
      <c r="E1432" t="s">
        <v>127</v>
      </c>
      <c r="F1432" t="s">
        <v>71</v>
      </c>
      <c r="G1432" t="s">
        <v>60</v>
      </c>
      <c r="H1432" t="s">
        <v>47</v>
      </c>
      <c r="I1432" t="s">
        <v>61</v>
      </c>
      <c r="J1432" s="1">
        <v>45885</v>
      </c>
      <c r="K1432" s="1">
        <v>45885</v>
      </c>
      <c r="L1432" s="3">
        <v>18200</v>
      </c>
      <c r="M1432" s="4">
        <v>0</v>
      </c>
      <c r="N1432" s="4">
        <v>0</v>
      </c>
      <c r="O1432" t="s">
        <v>79</v>
      </c>
      <c r="P1432">
        <v>3</v>
      </c>
      <c r="Q1432" t="str">
        <f>IFERROR(VLOOKUP(E1432,Lookups!$A$5:$B$24,2,FALSE),"Other")</f>
        <v>Paid Search</v>
      </c>
      <c r="R1432" t="str">
        <f>IFERROR(VLOOKUP(F1432,Lookups!$D$5:$F$10,2,FALSE),"Unknown Product")</f>
        <v>Marketing Automation</v>
      </c>
      <c r="S1432" t="str">
        <f>IFERROR(VLOOKUP(F1432,Lookups!$D$5:$F$10,3,FALSE),"Unknown")</f>
        <v>Marketing</v>
      </c>
      <c r="T1432" t="str">
        <f t="shared" si="242"/>
        <v>SMB</v>
      </c>
      <c r="U1432" t="str">
        <f t="shared" si="243"/>
        <v>Lost</v>
      </c>
      <c r="V1432" s="3">
        <f t="shared" si="244"/>
        <v>0</v>
      </c>
      <c r="W1432" s="3">
        <f t="shared" si="245"/>
        <v>0</v>
      </c>
      <c r="X1432" s="5">
        <f t="shared" si="246"/>
        <v>48</v>
      </c>
      <c r="Y1432" s="5">
        <f>IF(U1432="Open",Lookups!$B$2-B1432,X1432)</f>
        <v>48</v>
      </c>
      <c r="Z1432" t="str">
        <f t="shared" si="247"/>
        <v>OK</v>
      </c>
      <c r="AA1432" t="str">
        <f t="shared" si="248"/>
        <v>2025-06</v>
      </c>
      <c r="AB1432" t="str">
        <f t="shared" si="249"/>
        <v>2025-08</v>
      </c>
      <c r="AC1432" t="str">
        <f t="shared" si="250"/>
        <v>Q2-2025</v>
      </c>
      <c r="AD1432" s="5">
        <f t="shared" si="251"/>
        <v>43</v>
      </c>
      <c r="AE1432" t="str">
        <f t="shared" si="252"/>
        <v>Lost</v>
      </c>
    </row>
    <row r="1433" spans="1:31">
      <c r="A1433" t="s">
        <v>1535</v>
      </c>
      <c r="B1433" s="1">
        <v>45934</v>
      </c>
      <c r="C1433" t="s">
        <v>86</v>
      </c>
      <c r="D1433" t="s">
        <v>87</v>
      </c>
      <c r="E1433" t="s">
        <v>138</v>
      </c>
      <c r="F1433" t="s">
        <v>59</v>
      </c>
      <c r="G1433" t="s">
        <v>94</v>
      </c>
      <c r="H1433" t="s">
        <v>47</v>
      </c>
      <c r="I1433" t="s">
        <v>61</v>
      </c>
      <c r="J1433" s="1">
        <v>45976</v>
      </c>
      <c r="K1433" s="1">
        <v>45976</v>
      </c>
      <c r="L1433" s="3">
        <v>22000</v>
      </c>
      <c r="M1433" s="4">
        <v>0</v>
      </c>
      <c r="N1433" s="4">
        <v>0</v>
      </c>
      <c r="O1433" t="s">
        <v>102</v>
      </c>
      <c r="P1433">
        <v>4</v>
      </c>
      <c r="Q1433" t="str">
        <f>IFERROR(VLOOKUP(E1433,Lookups!$A$5:$B$24,2,FALSE),"Other")</f>
        <v>Organic Search</v>
      </c>
      <c r="R1433" t="str">
        <f>IFERROR(VLOOKUP(F1433,Lookups!$D$5:$F$10,2,FALSE),"Unknown Product")</f>
        <v>NexaCRM Pro</v>
      </c>
      <c r="S1433" t="str">
        <f>IFERROR(VLOOKUP(F1433,Lookups!$D$5:$F$10,3,FALSE),"Unknown")</f>
        <v>CRM</v>
      </c>
      <c r="T1433" t="str">
        <f t="shared" si="242"/>
        <v>Mid-Market</v>
      </c>
      <c r="U1433" t="str">
        <f t="shared" si="243"/>
        <v>Lost</v>
      </c>
      <c r="V1433" s="3">
        <f t="shared" si="244"/>
        <v>0</v>
      </c>
      <c r="W1433" s="3">
        <f t="shared" si="245"/>
        <v>0</v>
      </c>
      <c r="X1433" s="5">
        <f t="shared" si="246"/>
        <v>42</v>
      </c>
      <c r="Y1433" s="5">
        <f>IF(U1433="Open",Lookups!$B$2-B1433,X1433)</f>
        <v>42</v>
      </c>
      <c r="Z1433" t="str">
        <f t="shared" si="247"/>
        <v>OK</v>
      </c>
      <c r="AA1433" t="str">
        <f t="shared" si="248"/>
        <v>2025-10</v>
      </c>
      <c r="AB1433" t="str">
        <f t="shared" si="249"/>
        <v>2025-11</v>
      </c>
      <c r="AC1433" t="str">
        <f t="shared" si="250"/>
        <v>Q4-2025</v>
      </c>
      <c r="AD1433" s="5">
        <f t="shared" si="251"/>
        <v>57</v>
      </c>
      <c r="AE1433" t="str">
        <f t="shared" si="252"/>
        <v>Lost</v>
      </c>
    </row>
    <row r="1434" spans="1:31">
      <c r="A1434" t="s">
        <v>1536</v>
      </c>
      <c r="B1434" s="1">
        <v>46179</v>
      </c>
      <c r="C1434" t="s">
        <v>69</v>
      </c>
      <c r="D1434" t="s">
        <v>57</v>
      </c>
      <c r="E1434" t="s">
        <v>127</v>
      </c>
      <c r="F1434" t="s">
        <v>59</v>
      </c>
      <c r="G1434" t="s">
        <v>46</v>
      </c>
      <c r="H1434" t="s">
        <v>47</v>
      </c>
      <c r="I1434" t="s">
        <v>77</v>
      </c>
      <c r="J1434" s="1">
        <v>46191</v>
      </c>
      <c r="K1434" s="1">
        <v>46191</v>
      </c>
      <c r="L1434" s="3">
        <v>13600</v>
      </c>
      <c r="M1434" s="4">
        <v>0.08</v>
      </c>
      <c r="N1434" s="4">
        <v>1</v>
      </c>
      <c r="P1434">
        <v>6</v>
      </c>
      <c r="Q1434" t="str">
        <f>IFERROR(VLOOKUP(E1434,Lookups!$A$5:$B$24,2,FALSE),"Other")</f>
        <v>Paid Search</v>
      </c>
      <c r="R1434" t="str">
        <f>IFERROR(VLOOKUP(F1434,Lookups!$D$5:$F$10,2,FALSE),"Unknown Product")</f>
        <v>NexaCRM Pro</v>
      </c>
      <c r="S1434" t="str">
        <f>IFERROR(VLOOKUP(F1434,Lookups!$D$5:$F$10,3,FALSE),"Unknown")</f>
        <v>CRM</v>
      </c>
      <c r="T1434" t="str">
        <f t="shared" si="242"/>
        <v>SMB</v>
      </c>
      <c r="U1434" t="str">
        <f t="shared" si="243"/>
        <v>Won</v>
      </c>
      <c r="V1434" s="3">
        <f t="shared" si="244"/>
        <v>12512</v>
      </c>
      <c r="W1434" s="3">
        <f t="shared" si="245"/>
        <v>0</v>
      </c>
      <c r="X1434" s="5">
        <f t="shared" si="246"/>
        <v>12</v>
      </c>
      <c r="Y1434" s="5">
        <f>IF(U1434="Open",Lookups!$B$2-B1434,X1434)</f>
        <v>12</v>
      </c>
      <c r="Z1434" t="str">
        <f t="shared" si="247"/>
        <v>OK</v>
      </c>
      <c r="AA1434" t="str">
        <f t="shared" si="248"/>
        <v>2026-06</v>
      </c>
      <c r="AB1434" t="str">
        <f t="shared" si="249"/>
        <v>2026-06</v>
      </c>
      <c r="AC1434" t="str">
        <f t="shared" si="250"/>
        <v>Q2-2026</v>
      </c>
      <c r="AD1434" s="5">
        <f t="shared" si="251"/>
        <v>43</v>
      </c>
      <c r="AE1434" t="str">
        <f t="shared" si="252"/>
        <v>Won</v>
      </c>
    </row>
    <row r="1435" spans="1:31">
      <c r="A1435" t="s">
        <v>1537</v>
      </c>
      <c r="B1435" s="1">
        <v>46168</v>
      </c>
      <c r="C1435" t="s">
        <v>90</v>
      </c>
      <c r="D1435" t="s">
        <v>57</v>
      </c>
      <c r="E1435" t="s">
        <v>44</v>
      </c>
      <c r="F1435" t="s">
        <v>133</v>
      </c>
      <c r="G1435" t="s">
        <v>72</v>
      </c>
      <c r="H1435" t="s">
        <v>53</v>
      </c>
      <c r="I1435" t="s">
        <v>54</v>
      </c>
      <c r="J1435" s="1">
        <v>46248</v>
      </c>
      <c r="K1435" s="1"/>
      <c r="L1435" s="3">
        <v>53800</v>
      </c>
      <c r="M1435" s="4">
        <v>0</v>
      </c>
      <c r="N1435" s="4">
        <v>0.65</v>
      </c>
      <c r="P1435">
        <v>4</v>
      </c>
      <c r="Q1435" t="str">
        <f>IFERROR(VLOOKUP(E1435,Lookups!$A$5:$B$24,2,FALSE),"Other")</f>
        <v>Organic Search</v>
      </c>
      <c r="R1435" t="str">
        <f>IFERROR(VLOOKUP(F1435,Lookups!$D$5:$F$10,2,FALSE),"Unknown Product")</f>
        <v>Analytics Plus</v>
      </c>
      <c r="S1435" t="str">
        <f>IFERROR(VLOOKUP(F1435,Lookups!$D$5:$F$10,3,FALSE),"Unknown")</f>
        <v>Analytics</v>
      </c>
      <c r="T1435" t="str">
        <f t="shared" si="242"/>
        <v>Enterprise</v>
      </c>
      <c r="U1435" t="str">
        <f t="shared" si="243"/>
        <v>Open</v>
      </c>
      <c r="V1435" s="3">
        <f t="shared" si="244"/>
        <v>0</v>
      </c>
      <c r="W1435" s="3">
        <f t="shared" si="245"/>
        <v>34970</v>
      </c>
      <c r="X1435" s="5" t="str">
        <f t="shared" si="246"/>
        <v/>
      </c>
      <c r="Y1435" s="5">
        <f>IF(U1435="Open",Lookups!$B$2-B1435,X1435)</f>
        <v>98</v>
      </c>
      <c r="Z1435" t="str">
        <f t="shared" si="247"/>
        <v>STALE</v>
      </c>
      <c r="AA1435" t="str">
        <f t="shared" si="248"/>
        <v>2026-05</v>
      </c>
      <c r="AB1435" t="str">
        <f t="shared" si="249"/>
        <v/>
      </c>
      <c r="AC1435" t="str">
        <f t="shared" si="250"/>
        <v>Q2-2026</v>
      </c>
      <c r="AD1435" s="5">
        <f t="shared" si="251"/>
        <v>72</v>
      </c>
      <c r="AE1435" t="str">
        <f t="shared" si="252"/>
        <v>Best Case</v>
      </c>
    </row>
    <row r="1436" spans="1:31">
      <c r="A1436" t="s">
        <v>1538</v>
      </c>
      <c r="B1436" s="1">
        <v>45877</v>
      </c>
      <c r="C1436" t="s">
        <v>90</v>
      </c>
      <c r="D1436" t="s">
        <v>57</v>
      </c>
      <c r="E1436" t="s">
        <v>44</v>
      </c>
      <c r="F1436" t="s">
        <v>52</v>
      </c>
      <c r="G1436" t="s">
        <v>60</v>
      </c>
      <c r="H1436" t="s">
        <v>53</v>
      </c>
      <c r="I1436" t="s">
        <v>48</v>
      </c>
      <c r="J1436" s="1">
        <v>46176</v>
      </c>
      <c r="K1436" s="1"/>
      <c r="L1436" s="3">
        <v>17800</v>
      </c>
      <c r="M1436" s="4">
        <v>0</v>
      </c>
      <c r="N1436" s="4">
        <v>0.85</v>
      </c>
      <c r="P1436">
        <v>5</v>
      </c>
      <c r="Q1436" t="str">
        <f>IFERROR(VLOOKUP(E1436,Lookups!$A$5:$B$24,2,FALSE),"Other")</f>
        <v>Organic Search</v>
      </c>
      <c r="R1436" t="str">
        <f>IFERROR(VLOOKUP(F1436,Lookups!$D$5:$F$10,2,FALSE),"Unknown Product")</f>
        <v>NexaCRM Core</v>
      </c>
      <c r="S1436" t="str">
        <f>IFERROR(VLOOKUP(F1436,Lookups!$D$5:$F$10,3,FALSE),"Unknown")</f>
        <v>CRM</v>
      </c>
      <c r="T1436" t="str">
        <f t="shared" si="242"/>
        <v>SMB</v>
      </c>
      <c r="U1436" t="str">
        <f t="shared" si="243"/>
        <v>Open</v>
      </c>
      <c r="V1436" s="3">
        <f t="shared" si="244"/>
        <v>0</v>
      </c>
      <c r="W1436" s="3">
        <f t="shared" si="245"/>
        <v>15130</v>
      </c>
      <c r="X1436" s="5" t="str">
        <f t="shared" si="246"/>
        <v/>
      </c>
      <c r="Y1436" s="5">
        <f>IF(U1436="Open",Lookups!$B$2-B1436,X1436)</f>
        <v>389</v>
      </c>
      <c r="Z1436" t="str">
        <f t="shared" si="247"/>
        <v>STALE</v>
      </c>
      <c r="AA1436" t="str">
        <f t="shared" si="248"/>
        <v>2025-08</v>
      </c>
      <c r="AB1436" t="str">
        <f t="shared" si="249"/>
        <v/>
      </c>
      <c r="AC1436" t="str">
        <f t="shared" si="250"/>
        <v>Q3-2025</v>
      </c>
      <c r="AD1436" s="5">
        <f t="shared" si="251"/>
        <v>57</v>
      </c>
      <c r="AE1436" t="str">
        <f t="shared" si="252"/>
        <v>Commit</v>
      </c>
    </row>
    <row r="1437" spans="1:31">
      <c r="A1437" t="s">
        <v>1539</v>
      </c>
      <c r="B1437" s="1">
        <v>45959</v>
      </c>
      <c r="C1437" t="s">
        <v>50</v>
      </c>
      <c r="D1437" t="s">
        <v>43</v>
      </c>
      <c r="E1437" t="s">
        <v>109</v>
      </c>
      <c r="F1437" t="s">
        <v>52</v>
      </c>
      <c r="G1437" t="s">
        <v>99</v>
      </c>
      <c r="H1437" t="s">
        <v>53</v>
      </c>
      <c r="I1437" t="s">
        <v>77</v>
      </c>
      <c r="J1437" s="1">
        <v>46002</v>
      </c>
      <c r="K1437" s="1">
        <v>46002</v>
      </c>
      <c r="L1437" s="3">
        <v>11300</v>
      </c>
      <c r="M1437" s="4">
        <v>0.08</v>
      </c>
      <c r="N1437" s="4">
        <v>1</v>
      </c>
      <c r="P1437">
        <v>6</v>
      </c>
      <c r="Q1437" t="str">
        <f>IFERROR(VLOOKUP(E1437,Lookups!$A$5:$B$24,2,FALSE),"Other")</f>
        <v>Outbound</v>
      </c>
      <c r="R1437" t="str">
        <f>IFERROR(VLOOKUP(F1437,Lookups!$D$5:$F$10,2,FALSE),"Unknown Product")</f>
        <v>NexaCRM Core</v>
      </c>
      <c r="S1437" t="str">
        <f>IFERROR(VLOOKUP(F1437,Lookups!$D$5:$F$10,3,FALSE),"Unknown")</f>
        <v>CRM</v>
      </c>
      <c r="T1437" t="str">
        <f t="shared" si="242"/>
        <v>SMB</v>
      </c>
      <c r="U1437" t="str">
        <f t="shared" si="243"/>
        <v>Won</v>
      </c>
      <c r="V1437" s="3">
        <f t="shared" si="244"/>
        <v>10396</v>
      </c>
      <c r="W1437" s="3">
        <f t="shared" si="245"/>
        <v>0</v>
      </c>
      <c r="X1437" s="5">
        <f t="shared" si="246"/>
        <v>43</v>
      </c>
      <c r="Y1437" s="5">
        <f>IF(U1437="Open",Lookups!$B$2-B1437,X1437)</f>
        <v>43</v>
      </c>
      <c r="Z1437" t="str">
        <f t="shared" si="247"/>
        <v>OK</v>
      </c>
      <c r="AA1437" t="str">
        <f t="shared" si="248"/>
        <v>2025-10</v>
      </c>
      <c r="AB1437" t="str">
        <f t="shared" si="249"/>
        <v>2025-12</v>
      </c>
      <c r="AC1437" t="str">
        <f t="shared" si="250"/>
        <v>Q4-2025</v>
      </c>
      <c r="AD1437" s="5">
        <f t="shared" si="251"/>
        <v>51</v>
      </c>
      <c r="AE1437" t="str">
        <f t="shared" si="252"/>
        <v>Won</v>
      </c>
    </row>
    <row r="1438" spans="1:31">
      <c r="A1438" t="s">
        <v>1540</v>
      </c>
      <c r="B1438" s="1">
        <v>45917</v>
      </c>
      <c r="C1438" t="s">
        <v>90</v>
      </c>
      <c r="D1438" t="s">
        <v>57</v>
      </c>
      <c r="E1438" t="s">
        <v>109</v>
      </c>
      <c r="F1438" t="s">
        <v>59</v>
      </c>
      <c r="G1438" t="s">
        <v>46</v>
      </c>
      <c r="H1438" t="s">
        <v>53</v>
      </c>
      <c r="I1438" t="s">
        <v>61</v>
      </c>
      <c r="J1438" s="1">
        <v>45986</v>
      </c>
      <c r="K1438" s="1">
        <v>45986</v>
      </c>
      <c r="L1438" s="3">
        <v>21400</v>
      </c>
      <c r="M1438" s="4">
        <v>0</v>
      </c>
      <c r="N1438" s="4">
        <v>0</v>
      </c>
      <c r="O1438" t="s">
        <v>102</v>
      </c>
      <c r="P1438">
        <v>4</v>
      </c>
      <c r="Q1438" t="str">
        <f>IFERROR(VLOOKUP(E1438,Lookups!$A$5:$B$24,2,FALSE),"Other")</f>
        <v>Outbound</v>
      </c>
      <c r="R1438" t="str">
        <f>IFERROR(VLOOKUP(F1438,Lookups!$D$5:$F$10,2,FALSE),"Unknown Product")</f>
        <v>NexaCRM Pro</v>
      </c>
      <c r="S1438" t="str">
        <f>IFERROR(VLOOKUP(F1438,Lookups!$D$5:$F$10,3,FALSE),"Unknown")</f>
        <v>CRM</v>
      </c>
      <c r="T1438" t="str">
        <f t="shared" si="242"/>
        <v>Mid-Market</v>
      </c>
      <c r="U1438" t="str">
        <f t="shared" si="243"/>
        <v>Lost</v>
      </c>
      <c r="V1438" s="3">
        <f t="shared" si="244"/>
        <v>0</v>
      </c>
      <c r="W1438" s="3">
        <f t="shared" si="245"/>
        <v>0</v>
      </c>
      <c r="X1438" s="5">
        <f t="shared" si="246"/>
        <v>69</v>
      </c>
      <c r="Y1438" s="5">
        <f>IF(U1438="Open",Lookups!$B$2-B1438,X1438)</f>
        <v>69</v>
      </c>
      <c r="Z1438" t="str">
        <f t="shared" si="247"/>
        <v>OK</v>
      </c>
      <c r="AA1438" t="str">
        <f t="shared" si="248"/>
        <v>2025-09</v>
      </c>
      <c r="AB1438" t="str">
        <f t="shared" si="249"/>
        <v>2025-11</v>
      </c>
      <c r="AC1438" t="str">
        <f t="shared" si="250"/>
        <v>Q3-2025</v>
      </c>
      <c r="AD1438" s="5">
        <f t="shared" si="251"/>
        <v>59</v>
      </c>
      <c r="AE1438" t="str">
        <f t="shared" si="252"/>
        <v>Lost</v>
      </c>
    </row>
    <row r="1439" spans="1:31">
      <c r="A1439" t="s">
        <v>1541</v>
      </c>
      <c r="B1439" s="1">
        <v>45954</v>
      </c>
      <c r="C1439" t="s">
        <v>50</v>
      </c>
      <c r="D1439" t="s">
        <v>43</v>
      </c>
      <c r="E1439" t="s">
        <v>70</v>
      </c>
      <c r="F1439" t="s">
        <v>67</v>
      </c>
      <c r="G1439" t="s">
        <v>99</v>
      </c>
      <c r="H1439" t="s">
        <v>47</v>
      </c>
      <c r="I1439" t="s">
        <v>61</v>
      </c>
      <c r="J1439" s="1">
        <v>45980</v>
      </c>
      <c r="K1439" s="1">
        <v>45980</v>
      </c>
      <c r="L1439" s="3">
        <v>25300</v>
      </c>
      <c r="M1439" s="4">
        <v>0</v>
      </c>
      <c r="N1439" s="4">
        <v>0</v>
      </c>
      <c r="O1439" t="s">
        <v>79</v>
      </c>
      <c r="P1439">
        <v>2</v>
      </c>
      <c r="Q1439" t="str">
        <f>IFERROR(VLOOKUP(E1439,Lookups!$A$5:$B$24,2,FALSE),"Other")</f>
        <v>LinkedIn</v>
      </c>
      <c r="R1439" t="str">
        <f>IFERROR(VLOOKUP(F1439,Lookups!$D$5:$F$10,2,FALSE),"Unknown Product")</f>
        <v>Revenue Operations Suite</v>
      </c>
      <c r="S1439" t="str">
        <f>IFERROR(VLOOKUP(F1439,Lookups!$D$5:$F$10,3,FALSE),"Unknown")</f>
        <v>Revenue Ops</v>
      </c>
      <c r="T1439" t="str">
        <f t="shared" si="242"/>
        <v>Mid-Market</v>
      </c>
      <c r="U1439" t="str">
        <f t="shared" si="243"/>
        <v>Lost</v>
      </c>
      <c r="V1439" s="3">
        <f t="shared" si="244"/>
        <v>0</v>
      </c>
      <c r="W1439" s="3">
        <f t="shared" si="245"/>
        <v>0</v>
      </c>
      <c r="X1439" s="5">
        <f t="shared" si="246"/>
        <v>26</v>
      </c>
      <c r="Y1439" s="5">
        <f>IF(U1439="Open",Lookups!$B$2-B1439,X1439)</f>
        <v>26</v>
      </c>
      <c r="Z1439" t="str">
        <f t="shared" si="247"/>
        <v>OK</v>
      </c>
      <c r="AA1439" t="str">
        <f t="shared" si="248"/>
        <v>2025-10</v>
      </c>
      <c r="AB1439" t="str">
        <f t="shared" si="249"/>
        <v>2025-11</v>
      </c>
      <c r="AC1439" t="str">
        <f t="shared" si="250"/>
        <v>Q4-2025</v>
      </c>
      <c r="AD1439" s="5">
        <f t="shared" si="251"/>
        <v>51</v>
      </c>
      <c r="AE1439" t="str">
        <f t="shared" si="252"/>
        <v>Lost</v>
      </c>
    </row>
    <row r="1440" spans="1:31">
      <c r="A1440" t="s">
        <v>1542</v>
      </c>
      <c r="B1440" s="1">
        <v>46065</v>
      </c>
      <c r="C1440" t="s">
        <v>42</v>
      </c>
      <c r="D1440" t="s">
        <v>43</v>
      </c>
      <c r="E1440" t="s">
        <v>127</v>
      </c>
      <c r="F1440" t="s">
        <v>59</v>
      </c>
      <c r="G1440" t="s">
        <v>99</v>
      </c>
      <c r="H1440" t="s">
        <v>47</v>
      </c>
      <c r="I1440" t="s">
        <v>77</v>
      </c>
      <c r="J1440" s="1">
        <v>46077</v>
      </c>
      <c r="K1440" s="1">
        <v>46077</v>
      </c>
      <c r="L1440" s="3">
        <v>14800</v>
      </c>
      <c r="M1440" s="4">
        <v>0</v>
      </c>
      <c r="N1440" s="4">
        <v>1</v>
      </c>
      <c r="P1440">
        <v>6</v>
      </c>
      <c r="Q1440" t="str">
        <f>IFERROR(VLOOKUP(E1440,Lookups!$A$5:$B$24,2,FALSE),"Other")</f>
        <v>Paid Search</v>
      </c>
      <c r="R1440" t="str">
        <f>IFERROR(VLOOKUP(F1440,Lookups!$D$5:$F$10,2,FALSE),"Unknown Product")</f>
        <v>NexaCRM Pro</v>
      </c>
      <c r="S1440" t="str">
        <f>IFERROR(VLOOKUP(F1440,Lookups!$D$5:$F$10,3,FALSE),"Unknown")</f>
        <v>CRM</v>
      </c>
      <c r="T1440" t="str">
        <f t="shared" si="242"/>
        <v>SMB</v>
      </c>
      <c r="U1440" t="str">
        <f t="shared" si="243"/>
        <v>Won</v>
      </c>
      <c r="V1440" s="3">
        <f t="shared" si="244"/>
        <v>14800</v>
      </c>
      <c r="W1440" s="3">
        <f t="shared" si="245"/>
        <v>0</v>
      </c>
      <c r="X1440" s="5">
        <f t="shared" si="246"/>
        <v>12</v>
      </c>
      <c r="Y1440" s="5">
        <f>IF(U1440="Open",Lookups!$B$2-B1440,X1440)</f>
        <v>12</v>
      </c>
      <c r="Z1440" t="str">
        <f t="shared" si="247"/>
        <v>OK</v>
      </c>
      <c r="AA1440" t="str">
        <f t="shared" si="248"/>
        <v>2026-02</v>
      </c>
      <c r="AB1440" t="str">
        <f t="shared" si="249"/>
        <v>2026-02</v>
      </c>
      <c r="AC1440" t="str">
        <f t="shared" si="250"/>
        <v>Q1-2026</v>
      </c>
      <c r="AD1440" s="5">
        <f t="shared" si="251"/>
        <v>43</v>
      </c>
      <c r="AE1440" t="str">
        <f t="shared" si="252"/>
        <v>Won</v>
      </c>
    </row>
    <row r="1441" spans="1:31">
      <c r="A1441" t="s">
        <v>1543</v>
      </c>
      <c r="B1441" s="1">
        <v>45979</v>
      </c>
      <c r="C1441" t="s">
        <v>42</v>
      </c>
      <c r="D1441" t="s">
        <v>43</v>
      </c>
      <c r="E1441" t="s">
        <v>146</v>
      </c>
      <c r="F1441" t="s">
        <v>52</v>
      </c>
      <c r="G1441" t="s">
        <v>46</v>
      </c>
      <c r="H1441" t="s">
        <v>84</v>
      </c>
      <c r="I1441" t="s">
        <v>77</v>
      </c>
      <c r="J1441" s="1">
        <v>46058</v>
      </c>
      <c r="K1441" s="1">
        <v>46058</v>
      </c>
      <c r="L1441" s="3">
        <v>30100</v>
      </c>
      <c r="M1441" s="4">
        <v>0</v>
      </c>
      <c r="N1441" s="4">
        <v>1</v>
      </c>
      <c r="P1441">
        <v>6</v>
      </c>
      <c r="Q1441" t="str">
        <f>IFERROR(VLOOKUP(E1441,Lookups!$A$5:$B$24,2,FALSE),"Other")</f>
        <v>LinkedIn</v>
      </c>
      <c r="R1441" t="str">
        <f>IFERROR(VLOOKUP(F1441,Lookups!$D$5:$F$10,2,FALSE),"Unknown Product")</f>
        <v>NexaCRM Core</v>
      </c>
      <c r="S1441" t="str">
        <f>IFERROR(VLOOKUP(F1441,Lookups!$D$5:$F$10,3,FALSE),"Unknown")</f>
        <v>CRM</v>
      </c>
      <c r="T1441" t="str">
        <f t="shared" si="242"/>
        <v>Mid-Market</v>
      </c>
      <c r="U1441" t="str">
        <f t="shared" si="243"/>
        <v>Won</v>
      </c>
      <c r="V1441" s="3">
        <f t="shared" si="244"/>
        <v>30100</v>
      </c>
      <c r="W1441" s="3">
        <f t="shared" si="245"/>
        <v>0</v>
      </c>
      <c r="X1441" s="5">
        <f t="shared" si="246"/>
        <v>79</v>
      </c>
      <c r="Y1441" s="5">
        <f>IF(U1441="Open",Lookups!$B$2-B1441,X1441)</f>
        <v>79</v>
      </c>
      <c r="Z1441" t="str">
        <f t="shared" si="247"/>
        <v>OK</v>
      </c>
      <c r="AA1441" t="str">
        <f t="shared" si="248"/>
        <v>2025-11</v>
      </c>
      <c r="AB1441" t="str">
        <f t="shared" si="249"/>
        <v>2026-02</v>
      </c>
      <c r="AC1441" t="str">
        <f t="shared" si="250"/>
        <v>Q4-2025</v>
      </c>
      <c r="AD1441" s="5">
        <f t="shared" si="251"/>
        <v>67</v>
      </c>
      <c r="AE1441" t="str">
        <f t="shared" si="252"/>
        <v>Won</v>
      </c>
    </row>
    <row r="1442" spans="1:31">
      <c r="A1442" t="s">
        <v>1544</v>
      </c>
      <c r="B1442" s="1">
        <v>45705</v>
      </c>
      <c r="C1442" t="s">
        <v>50</v>
      </c>
      <c r="D1442" t="s">
        <v>43</v>
      </c>
      <c r="E1442" t="s">
        <v>83</v>
      </c>
      <c r="F1442" t="s">
        <v>59</v>
      </c>
      <c r="G1442" t="s">
        <v>112</v>
      </c>
      <c r="H1442" t="s">
        <v>53</v>
      </c>
      <c r="I1442" t="s">
        <v>61</v>
      </c>
      <c r="J1442" s="1">
        <v>45727</v>
      </c>
      <c r="K1442" s="1">
        <v>45727</v>
      </c>
      <c r="L1442" s="3">
        <v>43200</v>
      </c>
      <c r="M1442" s="4">
        <v>0</v>
      </c>
      <c r="N1442" s="4">
        <v>0</v>
      </c>
      <c r="O1442" t="s">
        <v>116</v>
      </c>
      <c r="P1442">
        <v>5</v>
      </c>
      <c r="Q1442" t="str">
        <f>IFERROR(VLOOKUP(E1442,Lookups!$A$5:$B$24,2,FALSE),"Other")</f>
        <v>Organic Search</v>
      </c>
      <c r="R1442" t="str">
        <f>IFERROR(VLOOKUP(F1442,Lookups!$D$5:$F$10,2,FALSE),"Unknown Product")</f>
        <v>NexaCRM Pro</v>
      </c>
      <c r="S1442" t="str">
        <f>IFERROR(VLOOKUP(F1442,Lookups!$D$5:$F$10,3,FALSE),"Unknown")</f>
        <v>CRM</v>
      </c>
      <c r="T1442" t="str">
        <f t="shared" si="242"/>
        <v>Mid-Market</v>
      </c>
      <c r="U1442" t="str">
        <f t="shared" si="243"/>
        <v>Lost</v>
      </c>
      <c r="V1442" s="3">
        <f t="shared" si="244"/>
        <v>0</v>
      </c>
      <c r="W1442" s="3">
        <f t="shared" si="245"/>
        <v>0</v>
      </c>
      <c r="X1442" s="5">
        <f t="shared" si="246"/>
        <v>22</v>
      </c>
      <c r="Y1442" s="5">
        <f>IF(U1442="Open",Lookups!$B$2-B1442,X1442)</f>
        <v>22</v>
      </c>
      <c r="Z1442" t="str">
        <f t="shared" si="247"/>
        <v>OK</v>
      </c>
      <c r="AA1442" t="str">
        <f t="shared" si="248"/>
        <v>2025-02</v>
      </c>
      <c r="AB1442" t="str">
        <f t="shared" si="249"/>
        <v>2025-03</v>
      </c>
      <c r="AC1442" t="str">
        <f t="shared" si="250"/>
        <v>Q1-2025</v>
      </c>
      <c r="AD1442" s="5">
        <f t="shared" si="251"/>
        <v>70</v>
      </c>
      <c r="AE1442" t="str">
        <f t="shared" si="252"/>
        <v>Lost</v>
      </c>
    </row>
    <row r="1443" spans="1:31">
      <c r="A1443" t="s">
        <v>1545</v>
      </c>
      <c r="B1443" s="1">
        <v>46099</v>
      </c>
      <c r="C1443" t="s">
        <v>64</v>
      </c>
      <c r="D1443" t="s">
        <v>57</v>
      </c>
      <c r="E1443" t="s">
        <v>127</v>
      </c>
      <c r="F1443" t="s">
        <v>59</v>
      </c>
      <c r="G1443" t="s">
        <v>72</v>
      </c>
      <c r="H1443" t="s">
        <v>53</v>
      </c>
      <c r="I1443" t="s">
        <v>77</v>
      </c>
      <c r="J1443" s="1">
        <v>46175</v>
      </c>
      <c r="K1443" s="1">
        <v>46175</v>
      </c>
      <c r="L1443" s="3">
        <v>20600</v>
      </c>
      <c r="M1443" s="4">
        <v>0</v>
      </c>
      <c r="N1443" s="4">
        <v>1</v>
      </c>
      <c r="P1443">
        <v>6</v>
      </c>
      <c r="Q1443" t="str">
        <f>IFERROR(VLOOKUP(E1443,Lookups!$A$5:$B$24,2,FALSE),"Other")</f>
        <v>Paid Search</v>
      </c>
      <c r="R1443" t="str">
        <f>IFERROR(VLOOKUP(F1443,Lookups!$D$5:$F$10,2,FALSE),"Unknown Product")</f>
        <v>NexaCRM Pro</v>
      </c>
      <c r="S1443" t="str">
        <f>IFERROR(VLOOKUP(F1443,Lookups!$D$5:$F$10,3,FALSE),"Unknown")</f>
        <v>CRM</v>
      </c>
      <c r="T1443" t="str">
        <f t="shared" si="242"/>
        <v>Mid-Market</v>
      </c>
      <c r="U1443" t="str">
        <f t="shared" si="243"/>
        <v>Won</v>
      </c>
      <c r="V1443" s="3">
        <f t="shared" si="244"/>
        <v>20600</v>
      </c>
      <c r="W1443" s="3">
        <f t="shared" si="245"/>
        <v>0</v>
      </c>
      <c r="X1443" s="5">
        <f t="shared" si="246"/>
        <v>76</v>
      </c>
      <c r="Y1443" s="5">
        <f>IF(U1443="Open",Lookups!$B$2-B1443,X1443)</f>
        <v>76</v>
      </c>
      <c r="Z1443" t="str">
        <f t="shared" si="247"/>
        <v>OK</v>
      </c>
      <c r="AA1443" t="str">
        <f t="shared" si="248"/>
        <v>2026-03</v>
      </c>
      <c r="AB1443" t="str">
        <f t="shared" si="249"/>
        <v>2026-06</v>
      </c>
      <c r="AC1443" t="str">
        <f t="shared" si="250"/>
        <v>Q1-2026</v>
      </c>
      <c r="AD1443" s="5">
        <f t="shared" si="251"/>
        <v>59</v>
      </c>
      <c r="AE1443" t="str">
        <f t="shared" si="252"/>
        <v>Won</v>
      </c>
    </row>
    <row r="1444" spans="1:31">
      <c r="A1444" t="s">
        <v>1546</v>
      </c>
      <c r="B1444" s="1">
        <v>45833</v>
      </c>
      <c r="C1444" t="s">
        <v>86</v>
      </c>
      <c r="D1444" t="s">
        <v>87</v>
      </c>
      <c r="E1444" t="s">
        <v>119</v>
      </c>
      <c r="F1444" t="s">
        <v>67</v>
      </c>
      <c r="G1444" t="s">
        <v>94</v>
      </c>
      <c r="H1444" t="s">
        <v>47</v>
      </c>
      <c r="I1444" t="s">
        <v>77</v>
      </c>
      <c r="J1444" s="1">
        <v>45896</v>
      </c>
      <c r="K1444" s="1">
        <v>45896</v>
      </c>
      <c r="L1444" s="3">
        <v>43400</v>
      </c>
      <c r="M1444" s="4">
        <v>0.05</v>
      </c>
      <c r="N1444" s="4">
        <v>1</v>
      </c>
      <c r="P1444">
        <v>6</v>
      </c>
      <c r="Q1444" t="str">
        <f>IFERROR(VLOOKUP(E1444,Lookups!$A$5:$B$24,2,FALSE),"Other")</f>
        <v>Referral</v>
      </c>
      <c r="R1444" t="str">
        <f>IFERROR(VLOOKUP(F1444,Lookups!$D$5:$F$10,2,FALSE),"Unknown Product")</f>
        <v>Revenue Operations Suite</v>
      </c>
      <c r="S1444" t="str">
        <f>IFERROR(VLOOKUP(F1444,Lookups!$D$5:$F$10,3,FALSE),"Unknown")</f>
        <v>Revenue Ops</v>
      </c>
      <c r="T1444" t="str">
        <f t="shared" si="242"/>
        <v>Mid-Market</v>
      </c>
      <c r="U1444" t="str">
        <f t="shared" si="243"/>
        <v>Won</v>
      </c>
      <c r="V1444" s="3">
        <f t="shared" si="244"/>
        <v>41230</v>
      </c>
      <c r="W1444" s="3">
        <f t="shared" si="245"/>
        <v>0</v>
      </c>
      <c r="X1444" s="5">
        <f t="shared" si="246"/>
        <v>63</v>
      </c>
      <c r="Y1444" s="5">
        <f>IF(U1444="Open",Lookups!$B$2-B1444,X1444)</f>
        <v>63</v>
      </c>
      <c r="Z1444" t="str">
        <f t="shared" si="247"/>
        <v>OK</v>
      </c>
      <c r="AA1444" t="str">
        <f t="shared" si="248"/>
        <v>2025-06</v>
      </c>
      <c r="AB1444" t="str">
        <f t="shared" si="249"/>
        <v>2025-08</v>
      </c>
      <c r="AC1444" t="str">
        <f t="shared" si="250"/>
        <v>Q2-2025</v>
      </c>
      <c r="AD1444" s="5">
        <f t="shared" si="251"/>
        <v>62</v>
      </c>
      <c r="AE1444" t="str">
        <f t="shared" si="252"/>
        <v>Won</v>
      </c>
    </row>
    <row r="1445" spans="1:31">
      <c r="A1445" t="s">
        <v>1547</v>
      </c>
      <c r="B1445" s="1">
        <v>46255</v>
      </c>
      <c r="C1445" t="s">
        <v>64</v>
      </c>
      <c r="D1445" t="s">
        <v>57</v>
      </c>
      <c r="E1445" t="s">
        <v>115</v>
      </c>
      <c r="F1445" t="s">
        <v>59</v>
      </c>
      <c r="G1445" t="s">
        <v>112</v>
      </c>
      <c r="H1445" t="s">
        <v>53</v>
      </c>
      <c r="I1445" t="s">
        <v>187</v>
      </c>
      <c r="J1445" s="1">
        <v>46260</v>
      </c>
      <c r="K1445" s="1"/>
      <c r="L1445" s="3">
        <v>44300</v>
      </c>
      <c r="M1445" s="4">
        <v>0.03</v>
      </c>
      <c r="N1445" s="4">
        <v>0.05</v>
      </c>
      <c r="P1445">
        <v>1</v>
      </c>
      <c r="Q1445" t="str">
        <f>IFERROR(VLOOKUP(E1445,Lookups!$A$5:$B$24,2,FALSE),"Other")</f>
        <v>Outbound</v>
      </c>
      <c r="R1445" t="str">
        <f>IFERROR(VLOOKUP(F1445,Lookups!$D$5:$F$10,2,FALSE),"Unknown Product")</f>
        <v>NexaCRM Pro</v>
      </c>
      <c r="S1445" t="str">
        <f>IFERROR(VLOOKUP(F1445,Lookups!$D$5:$F$10,3,FALSE),"Unknown")</f>
        <v>CRM</v>
      </c>
      <c r="T1445" t="str">
        <f t="shared" si="242"/>
        <v>Mid-Market</v>
      </c>
      <c r="U1445" t="str">
        <f t="shared" si="243"/>
        <v>Open</v>
      </c>
      <c r="V1445" s="3">
        <f t="shared" si="244"/>
        <v>0</v>
      </c>
      <c r="W1445" s="3">
        <f t="shared" si="245"/>
        <v>2215</v>
      </c>
      <c r="X1445" s="5" t="str">
        <f t="shared" si="246"/>
        <v/>
      </c>
      <c r="Y1445" s="5">
        <f>IF(U1445="Open",Lookups!$B$2-B1445,X1445)</f>
        <v>11</v>
      </c>
      <c r="Z1445" t="str">
        <f t="shared" si="247"/>
        <v>OK</v>
      </c>
      <c r="AA1445" t="str">
        <f t="shared" si="248"/>
        <v>2026-08</v>
      </c>
      <c r="AB1445" t="str">
        <f t="shared" si="249"/>
        <v/>
      </c>
      <c r="AC1445" t="str">
        <f t="shared" si="250"/>
        <v>Q3-2026</v>
      </c>
      <c r="AD1445" s="5">
        <f t="shared" si="251"/>
        <v>64</v>
      </c>
      <c r="AE1445" t="str">
        <f t="shared" si="252"/>
        <v>Pipeline</v>
      </c>
    </row>
    <row r="1446" spans="1:31">
      <c r="A1446" t="s">
        <v>1548</v>
      </c>
      <c r="B1446" s="1">
        <v>46003</v>
      </c>
      <c r="C1446" t="s">
        <v>86</v>
      </c>
      <c r="D1446" t="s">
        <v>87</v>
      </c>
      <c r="E1446" t="s">
        <v>65</v>
      </c>
      <c r="F1446" t="s">
        <v>133</v>
      </c>
      <c r="G1446" t="s">
        <v>94</v>
      </c>
      <c r="H1446" t="s">
        <v>53</v>
      </c>
      <c r="I1446" t="s">
        <v>61</v>
      </c>
      <c r="J1446" s="1">
        <v>46062</v>
      </c>
      <c r="K1446" s="1">
        <v>46062</v>
      </c>
      <c r="L1446" s="3">
        <v>28900</v>
      </c>
      <c r="M1446" s="4">
        <v>0</v>
      </c>
      <c r="N1446" s="4">
        <v>0</v>
      </c>
      <c r="O1446" t="s">
        <v>62</v>
      </c>
      <c r="P1446">
        <v>5</v>
      </c>
      <c r="Q1446" t="str">
        <f>IFERROR(VLOOKUP(E1446,Lookups!$A$5:$B$24,2,FALSE),"Other")</f>
        <v>Paid Search</v>
      </c>
      <c r="R1446" t="str">
        <f>IFERROR(VLOOKUP(F1446,Lookups!$D$5:$F$10,2,FALSE),"Unknown Product")</f>
        <v>Analytics Plus</v>
      </c>
      <c r="S1446" t="str">
        <f>IFERROR(VLOOKUP(F1446,Lookups!$D$5:$F$10,3,FALSE),"Unknown")</f>
        <v>Analytics</v>
      </c>
      <c r="T1446" t="str">
        <f t="shared" si="242"/>
        <v>Mid-Market</v>
      </c>
      <c r="U1446" t="str">
        <f t="shared" si="243"/>
        <v>Lost</v>
      </c>
      <c r="V1446" s="3">
        <f t="shared" si="244"/>
        <v>0</v>
      </c>
      <c r="W1446" s="3">
        <f t="shared" si="245"/>
        <v>0</v>
      </c>
      <c r="X1446" s="5">
        <f t="shared" si="246"/>
        <v>59</v>
      </c>
      <c r="Y1446" s="5">
        <f>IF(U1446="Open",Lookups!$B$2-B1446,X1446)</f>
        <v>59</v>
      </c>
      <c r="Z1446" t="str">
        <f t="shared" si="247"/>
        <v>OK</v>
      </c>
      <c r="AA1446" t="str">
        <f t="shared" si="248"/>
        <v>2025-12</v>
      </c>
      <c r="AB1446" t="str">
        <f t="shared" si="249"/>
        <v>2026-02</v>
      </c>
      <c r="AC1446" t="str">
        <f t="shared" si="250"/>
        <v>Q4-2025</v>
      </c>
      <c r="AD1446" s="5">
        <f t="shared" si="251"/>
        <v>59</v>
      </c>
      <c r="AE1446" t="str">
        <f t="shared" si="252"/>
        <v>Lost</v>
      </c>
    </row>
    <row r="1447" spans="1:31">
      <c r="A1447" t="s">
        <v>1549</v>
      </c>
      <c r="B1447" s="1">
        <v>46087</v>
      </c>
      <c r="C1447" t="s">
        <v>64</v>
      </c>
      <c r="D1447" t="s">
        <v>57</v>
      </c>
      <c r="E1447" t="s">
        <v>51</v>
      </c>
      <c r="F1447" t="s">
        <v>133</v>
      </c>
      <c r="G1447" t="s">
        <v>99</v>
      </c>
      <c r="H1447" t="s">
        <v>84</v>
      </c>
      <c r="I1447" t="s">
        <v>61</v>
      </c>
      <c r="J1447" s="1">
        <v>46124</v>
      </c>
      <c r="K1447" s="1">
        <v>46124</v>
      </c>
      <c r="L1447" s="3">
        <v>52600</v>
      </c>
      <c r="M1447" s="4">
        <v>0</v>
      </c>
      <c r="N1447" s="4">
        <v>0</v>
      </c>
      <c r="O1447" t="s">
        <v>81</v>
      </c>
      <c r="P1447">
        <v>3</v>
      </c>
      <c r="Q1447" t="str">
        <f>IFERROR(VLOOKUP(E1447,Lookups!$A$5:$B$24,2,FALSE),"Other")</f>
        <v>Paid Search</v>
      </c>
      <c r="R1447" t="str">
        <f>IFERROR(VLOOKUP(F1447,Lookups!$D$5:$F$10,2,FALSE),"Unknown Product")</f>
        <v>Analytics Plus</v>
      </c>
      <c r="S1447" t="str">
        <f>IFERROR(VLOOKUP(F1447,Lookups!$D$5:$F$10,3,FALSE),"Unknown")</f>
        <v>Analytics</v>
      </c>
      <c r="T1447" t="str">
        <f t="shared" si="242"/>
        <v>Enterprise</v>
      </c>
      <c r="U1447" t="str">
        <f t="shared" si="243"/>
        <v>Lost</v>
      </c>
      <c r="V1447" s="3">
        <f t="shared" si="244"/>
        <v>0</v>
      </c>
      <c r="W1447" s="3">
        <f t="shared" si="245"/>
        <v>0</v>
      </c>
      <c r="X1447" s="5">
        <f t="shared" si="246"/>
        <v>37</v>
      </c>
      <c r="Y1447" s="5">
        <f>IF(U1447="Open",Lookups!$B$2-B1447,X1447)</f>
        <v>37</v>
      </c>
      <c r="Z1447" t="str">
        <f t="shared" si="247"/>
        <v>OK</v>
      </c>
      <c r="AA1447" t="str">
        <f t="shared" si="248"/>
        <v>2026-03</v>
      </c>
      <c r="AB1447" t="str">
        <f t="shared" si="249"/>
        <v>2026-04</v>
      </c>
      <c r="AC1447" t="str">
        <f t="shared" si="250"/>
        <v>Q1-2026</v>
      </c>
      <c r="AD1447" s="5">
        <f t="shared" si="251"/>
        <v>74</v>
      </c>
      <c r="AE1447" t="str">
        <f t="shared" si="252"/>
        <v>Lost</v>
      </c>
    </row>
    <row r="1448" spans="1:31">
      <c r="A1448" t="s">
        <v>1550</v>
      </c>
      <c r="B1448" s="1">
        <v>46024</v>
      </c>
      <c r="C1448" t="s">
        <v>42</v>
      </c>
      <c r="D1448" t="s">
        <v>43</v>
      </c>
      <c r="E1448" t="s">
        <v>44</v>
      </c>
      <c r="F1448" t="s">
        <v>71</v>
      </c>
      <c r="G1448" t="s">
        <v>72</v>
      </c>
      <c r="H1448" t="s">
        <v>47</v>
      </c>
      <c r="I1448" t="s">
        <v>48</v>
      </c>
      <c r="J1448" s="1">
        <v>46170</v>
      </c>
      <c r="K1448" s="1"/>
      <c r="L1448" s="3">
        <v>9900</v>
      </c>
      <c r="M1448" s="4">
        <v>0.05</v>
      </c>
      <c r="N1448" s="4">
        <v>0.85</v>
      </c>
      <c r="P1448">
        <v>5</v>
      </c>
      <c r="Q1448" t="str">
        <f>IFERROR(VLOOKUP(E1448,Lookups!$A$5:$B$24,2,FALSE),"Other")</f>
        <v>Organic Search</v>
      </c>
      <c r="R1448" t="str">
        <f>IFERROR(VLOOKUP(F1448,Lookups!$D$5:$F$10,2,FALSE),"Unknown Product")</f>
        <v>Marketing Automation</v>
      </c>
      <c r="S1448" t="str">
        <f>IFERROR(VLOOKUP(F1448,Lookups!$D$5:$F$10,3,FALSE),"Unknown")</f>
        <v>Marketing</v>
      </c>
      <c r="T1448" t="str">
        <f t="shared" si="242"/>
        <v>SMB</v>
      </c>
      <c r="U1448" t="str">
        <f t="shared" si="243"/>
        <v>Open</v>
      </c>
      <c r="V1448" s="3">
        <f t="shared" si="244"/>
        <v>0</v>
      </c>
      <c r="W1448" s="3">
        <f t="shared" si="245"/>
        <v>8415</v>
      </c>
      <c r="X1448" s="5" t="str">
        <f t="shared" si="246"/>
        <v/>
      </c>
      <c r="Y1448" s="5">
        <f>IF(U1448="Open",Lookups!$B$2-B1448,X1448)</f>
        <v>242</v>
      </c>
      <c r="Z1448" t="str">
        <f t="shared" si="247"/>
        <v>STALE</v>
      </c>
      <c r="AA1448" t="str">
        <f t="shared" si="248"/>
        <v>2026-01</v>
      </c>
      <c r="AB1448" t="str">
        <f t="shared" si="249"/>
        <v/>
      </c>
      <c r="AC1448" t="str">
        <f t="shared" si="250"/>
        <v>Q1-2026</v>
      </c>
      <c r="AD1448" s="5">
        <f t="shared" si="251"/>
        <v>49</v>
      </c>
      <c r="AE1448" t="str">
        <f t="shared" si="252"/>
        <v>Commit</v>
      </c>
    </row>
    <row r="1449" spans="1:31">
      <c r="A1449" t="s">
        <v>1551</v>
      </c>
      <c r="B1449" s="1">
        <v>45874</v>
      </c>
      <c r="C1449" t="s">
        <v>86</v>
      </c>
      <c r="D1449" t="s">
        <v>87</v>
      </c>
      <c r="E1449" t="s">
        <v>160</v>
      </c>
      <c r="F1449" t="s">
        <v>52</v>
      </c>
      <c r="G1449" t="s">
        <v>99</v>
      </c>
      <c r="H1449" t="s">
        <v>47</v>
      </c>
      <c r="I1449" t="s">
        <v>61</v>
      </c>
      <c r="J1449" s="1">
        <v>45944</v>
      </c>
      <c r="K1449" s="1">
        <v>45944</v>
      </c>
      <c r="L1449" s="3">
        <v>4800</v>
      </c>
      <c r="M1449" s="4">
        <v>0</v>
      </c>
      <c r="N1449" s="4">
        <v>0</v>
      </c>
      <c r="O1449" t="s">
        <v>79</v>
      </c>
      <c r="P1449">
        <v>2</v>
      </c>
      <c r="Q1449" t="str">
        <f>IFERROR(VLOOKUP(E1449,Lookups!$A$5:$B$24,2,FALSE),"Other")</f>
        <v>Email</v>
      </c>
      <c r="R1449" t="str">
        <f>IFERROR(VLOOKUP(F1449,Lookups!$D$5:$F$10,2,FALSE),"Unknown Product")</f>
        <v>NexaCRM Core</v>
      </c>
      <c r="S1449" t="str">
        <f>IFERROR(VLOOKUP(F1449,Lookups!$D$5:$F$10,3,FALSE),"Unknown")</f>
        <v>CRM</v>
      </c>
      <c r="T1449" t="str">
        <f t="shared" si="242"/>
        <v>SMB</v>
      </c>
      <c r="U1449" t="str">
        <f t="shared" si="243"/>
        <v>Lost</v>
      </c>
      <c r="V1449" s="3">
        <f t="shared" si="244"/>
        <v>0</v>
      </c>
      <c r="W1449" s="3">
        <f t="shared" si="245"/>
        <v>0</v>
      </c>
      <c r="X1449" s="5">
        <f t="shared" si="246"/>
        <v>70</v>
      </c>
      <c r="Y1449" s="5">
        <f>IF(U1449="Open",Lookups!$B$2-B1449,X1449)</f>
        <v>70</v>
      </c>
      <c r="Z1449" t="str">
        <f t="shared" si="247"/>
        <v>OK</v>
      </c>
      <c r="AA1449" t="str">
        <f t="shared" si="248"/>
        <v>2025-08</v>
      </c>
      <c r="AB1449" t="str">
        <f t="shared" si="249"/>
        <v>2025-10</v>
      </c>
      <c r="AC1449" t="str">
        <f t="shared" si="250"/>
        <v>Q3-2025</v>
      </c>
      <c r="AD1449" s="5">
        <f t="shared" si="251"/>
        <v>47</v>
      </c>
      <c r="AE1449" t="str">
        <f t="shared" si="252"/>
        <v>Lost</v>
      </c>
    </row>
    <row r="1450" spans="1:31">
      <c r="A1450" t="s">
        <v>1552</v>
      </c>
      <c r="B1450" s="1">
        <v>45741</v>
      </c>
      <c r="C1450" t="s">
        <v>64</v>
      </c>
      <c r="D1450" t="s">
        <v>57</v>
      </c>
      <c r="E1450" t="s">
        <v>75</v>
      </c>
      <c r="F1450" t="s">
        <v>59</v>
      </c>
      <c r="G1450" t="s">
        <v>46</v>
      </c>
      <c r="H1450" t="s">
        <v>47</v>
      </c>
      <c r="I1450" t="s">
        <v>61</v>
      </c>
      <c r="J1450" s="1">
        <v>45786</v>
      </c>
      <c r="K1450" s="1">
        <v>45786</v>
      </c>
      <c r="L1450" s="3">
        <v>17200</v>
      </c>
      <c r="M1450" s="4">
        <v>0</v>
      </c>
      <c r="N1450" s="4">
        <v>0</v>
      </c>
      <c r="O1450" t="s">
        <v>62</v>
      </c>
      <c r="P1450">
        <v>4</v>
      </c>
      <c r="Q1450" t="str">
        <f>IFERROR(VLOOKUP(E1450,Lookups!$A$5:$B$24,2,FALSE),"Other")</f>
        <v>Webinar</v>
      </c>
      <c r="R1450" t="str">
        <f>IFERROR(VLOOKUP(F1450,Lookups!$D$5:$F$10,2,FALSE),"Unknown Product")</f>
        <v>NexaCRM Pro</v>
      </c>
      <c r="S1450" t="str">
        <f>IFERROR(VLOOKUP(F1450,Lookups!$D$5:$F$10,3,FALSE),"Unknown")</f>
        <v>CRM</v>
      </c>
      <c r="T1450" t="str">
        <f t="shared" si="242"/>
        <v>SMB</v>
      </c>
      <c r="U1450" t="str">
        <f t="shared" si="243"/>
        <v>Lost</v>
      </c>
      <c r="V1450" s="3">
        <f t="shared" si="244"/>
        <v>0</v>
      </c>
      <c r="W1450" s="3">
        <f t="shared" si="245"/>
        <v>0</v>
      </c>
      <c r="X1450" s="5">
        <f t="shared" si="246"/>
        <v>45</v>
      </c>
      <c r="Y1450" s="5">
        <f>IF(U1450="Open",Lookups!$B$2-B1450,X1450)</f>
        <v>45</v>
      </c>
      <c r="Z1450" t="str">
        <f t="shared" si="247"/>
        <v>OK</v>
      </c>
      <c r="AA1450" t="str">
        <f t="shared" si="248"/>
        <v>2025-03</v>
      </c>
      <c r="AB1450" t="str">
        <f t="shared" si="249"/>
        <v>2025-05</v>
      </c>
      <c r="AC1450" t="str">
        <f t="shared" si="250"/>
        <v>Q1-2025</v>
      </c>
      <c r="AD1450" s="5">
        <f t="shared" si="251"/>
        <v>43</v>
      </c>
      <c r="AE1450" t="str">
        <f t="shared" si="252"/>
        <v>Lost</v>
      </c>
    </row>
    <row r="1451" spans="1:31">
      <c r="A1451" t="s">
        <v>1553</v>
      </c>
      <c r="B1451" s="1">
        <v>46087</v>
      </c>
      <c r="C1451" t="s">
        <v>50</v>
      </c>
      <c r="D1451" t="s">
        <v>43</v>
      </c>
      <c r="E1451" t="s">
        <v>83</v>
      </c>
      <c r="F1451" t="s">
        <v>52</v>
      </c>
      <c r="G1451" t="s">
        <v>72</v>
      </c>
      <c r="H1451" t="s">
        <v>47</v>
      </c>
      <c r="I1451" t="s">
        <v>77</v>
      </c>
      <c r="J1451" s="1">
        <v>46147</v>
      </c>
      <c r="K1451" s="1">
        <v>46147</v>
      </c>
      <c r="L1451" s="3">
        <v>8400</v>
      </c>
      <c r="M1451" s="4">
        <v>0.05</v>
      </c>
      <c r="N1451" s="4">
        <v>1</v>
      </c>
      <c r="P1451">
        <v>6</v>
      </c>
      <c r="Q1451" t="str">
        <f>IFERROR(VLOOKUP(E1451,Lookups!$A$5:$B$24,2,FALSE),"Other")</f>
        <v>Organic Search</v>
      </c>
      <c r="R1451" t="str">
        <f>IFERROR(VLOOKUP(F1451,Lookups!$D$5:$F$10,2,FALSE),"Unknown Product")</f>
        <v>NexaCRM Core</v>
      </c>
      <c r="S1451" t="str">
        <f>IFERROR(VLOOKUP(F1451,Lookups!$D$5:$F$10,3,FALSE),"Unknown")</f>
        <v>CRM</v>
      </c>
      <c r="T1451" t="str">
        <f t="shared" si="242"/>
        <v>SMB</v>
      </c>
      <c r="U1451" t="str">
        <f t="shared" si="243"/>
        <v>Won</v>
      </c>
      <c r="V1451" s="3">
        <f t="shared" si="244"/>
        <v>7980</v>
      </c>
      <c r="W1451" s="3">
        <f t="shared" si="245"/>
        <v>0</v>
      </c>
      <c r="X1451" s="5">
        <f t="shared" si="246"/>
        <v>60</v>
      </c>
      <c r="Y1451" s="5">
        <f>IF(U1451="Open",Lookups!$B$2-B1451,X1451)</f>
        <v>60</v>
      </c>
      <c r="Z1451" t="str">
        <f t="shared" si="247"/>
        <v>OK</v>
      </c>
      <c r="AA1451" t="str">
        <f t="shared" si="248"/>
        <v>2026-03</v>
      </c>
      <c r="AB1451" t="str">
        <f t="shared" si="249"/>
        <v>2026-05</v>
      </c>
      <c r="AC1451" t="str">
        <f t="shared" si="250"/>
        <v>Q1-2026</v>
      </c>
      <c r="AD1451" s="5">
        <f t="shared" si="251"/>
        <v>49</v>
      </c>
      <c r="AE1451" t="str">
        <f t="shared" si="252"/>
        <v>Won</v>
      </c>
    </row>
    <row r="1452" spans="1:31">
      <c r="A1452" t="s">
        <v>1554</v>
      </c>
      <c r="B1452" s="1">
        <v>45777</v>
      </c>
      <c r="C1452" t="s">
        <v>69</v>
      </c>
      <c r="D1452" t="s">
        <v>57</v>
      </c>
      <c r="E1452" t="s">
        <v>104</v>
      </c>
      <c r="F1452" t="s">
        <v>52</v>
      </c>
      <c r="G1452" t="s">
        <v>76</v>
      </c>
      <c r="H1452" t="s">
        <v>53</v>
      </c>
      <c r="I1452" t="s">
        <v>77</v>
      </c>
      <c r="J1452" s="1">
        <v>45799</v>
      </c>
      <c r="K1452" s="1">
        <v>45799</v>
      </c>
      <c r="L1452" s="3">
        <v>15700</v>
      </c>
      <c r="M1452" s="4">
        <v>0.1</v>
      </c>
      <c r="N1452" s="4">
        <v>1</v>
      </c>
      <c r="P1452">
        <v>6</v>
      </c>
      <c r="Q1452" t="str">
        <f>IFERROR(VLOOKUP(E1452,Lookups!$A$5:$B$24,2,FALSE),"Other")</f>
        <v>Other</v>
      </c>
      <c r="R1452" t="str">
        <f>IFERROR(VLOOKUP(F1452,Lookups!$D$5:$F$10,2,FALSE),"Unknown Product")</f>
        <v>NexaCRM Core</v>
      </c>
      <c r="S1452" t="str">
        <f>IFERROR(VLOOKUP(F1452,Lookups!$D$5:$F$10,3,FALSE),"Unknown")</f>
        <v>CRM</v>
      </c>
      <c r="T1452" t="str">
        <f t="shared" si="242"/>
        <v>SMB</v>
      </c>
      <c r="U1452" t="str">
        <f t="shared" si="243"/>
        <v>Won</v>
      </c>
      <c r="V1452" s="3">
        <f t="shared" si="244"/>
        <v>14130</v>
      </c>
      <c r="W1452" s="3">
        <f t="shared" si="245"/>
        <v>0</v>
      </c>
      <c r="X1452" s="5">
        <f t="shared" si="246"/>
        <v>22</v>
      </c>
      <c r="Y1452" s="5">
        <f>IF(U1452="Open",Lookups!$B$2-B1452,X1452)</f>
        <v>22</v>
      </c>
      <c r="Z1452" t="str">
        <f t="shared" si="247"/>
        <v>OK</v>
      </c>
      <c r="AA1452" t="str">
        <f t="shared" si="248"/>
        <v>2025-04</v>
      </c>
      <c r="AB1452" t="str">
        <f t="shared" si="249"/>
        <v>2025-05</v>
      </c>
      <c r="AC1452" t="str">
        <f t="shared" si="250"/>
        <v>Q2-2025</v>
      </c>
      <c r="AD1452" s="5">
        <f t="shared" si="251"/>
        <v>51</v>
      </c>
      <c r="AE1452" t="str">
        <f t="shared" si="252"/>
        <v>Won</v>
      </c>
    </row>
    <row r="1453" spans="1:31">
      <c r="A1453" t="s">
        <v>1555</v>
      </c>
      <c r="B1453" s="1">
        <v>45714</v>
      </c>
      <c r="C1453" t="s">
        <v>69</v>
      </c>
      <c r="D1453" t="s">
        <v>57</v>
      </c>
      <c r="E1453" t="s">
        <v>160</v>
      </c>
      <c r="F1453" t="s">
        <v>52</v>
      </c>
      <c r="G1453" t="s">
        <v>46</v>
      </c>
      <c r="H1453" t="s">
        <v>53</v>
      </c>
      <c r="I1453" t="s">
        <v>61</v>
      </c>
      <c r="J1453" s="1">
        <v>45742</v>
      </c>
      <c r="K1453" s="1">
        <v>45742</v>
      </c>
      <c r="L1453" s="3">
        <v>17000</v>
      </c>
      <c r="M1453" s="4">
        <v>0</v>
      </c>
      <c r="N1453" s="4">
        <v>0</v>
      </c>
      <c r="O1453" t="s">
        <v>79</v>
      </c>
      <c r="P1453">
        <v>3</v>
      </c>
      <c r="Q1453" t="str">
        <f>IFERROR(VLOOKUP(E1453,Lookups!$A$5:$B$24,2,FALSE),"Other")</f>
        <v>Email</v>
      </c>
      <c r="R1453" t="str">
        <f>IFERROR(VLOOKUP(F1453,Lookups!$D$5:$F$10,2,FALSE),"Unknown Product")</f>
        <v>NexaCRM Core</v>
      </c>
      <c r="S1453" t="str">
        <f>IFERROR(VLOOKUP(F1453,Lookups!$D$5:$F$10,3,FALSE),"Unknown")</f>
        <v>CRM</v>
      </c>
      <c r="T1453" t="str">
        <f t="shared" si="242"/>
        <v>SMB</v>
      </c>
      <c r="U1453" t="str">
        <f t="shared" si="243"/>
        <v>Lost</v>
      </c>
      <c r="V1453" s="3">
        <f t="shared" si="244"/>
        <v>0</v>
      </c>
      <c r="W1453" s="3">
        <f t="shared" si="245"/>
        <v>0</v>
      </c>
      <c r="X1453" s="5">
        <f t="shared" si="246"/>
        <v>28</v>
      </c>
      <c r="Y1453" s="5">
        <f>IF(U1453="Open",Lookups!$B$2-B1453,X1453)</f>
        <v>28</v>
      </c>
      <c r="Z1453" t="str">
        <f t="shared" si="247"/>
        <v>OK</v>
      </c>
      <c r="AA1453" t="str">
        <f t="shared" si="248"/>
        <v>2025-02</v>
      </c>
      <c r="AB1453" t="str">
        <f t="shared" si="249"/>
        <v>2025-03</v>
      </c>
      <c r="AC1453" t="str">
        <f t="shared" si="250"/>
        <v>Q1-2025</v>
      </c>
      <c r="AD1453" s="5">
        <f t="shared" si="251"/>
        <v>55</v>
      </c>
      <c r="AE1453" t="str">
        <f t="shared" si="252"/>
        <v>Lost</v>
      </c>
    </row>
    <row r="1454" spans="1:31">
      <c r="A1454" t="s">
        <v>1556</v>
      </c>
      <c r="B1454" s="1">
        <v>46234</v>
      </c>
      <c r="C1454" t="s">
        <v>50</v>
      </c>
      <c r="D1454" t="s">
        <v>43</v>
      </c>
      <c r="E1454" t="s">
        <v>65</v>
      </c>
      <c r="F1454" t="s">
        <v>59</v>
      </c>
      <c r="G1454" t="s">
        <v>72</v>
      </c>
      <c r="H1454" t="s">
        <v>53</v>
      </c>
      <c r="I1454" t="s">
        <v>187</v>
      </c>
      <c r="J1454" s="1">
        <v>46259</v>
      </c>
      <c r="K1454" s="1"/>
      <c r="L1454" s="3">
        <v>31100</v>
      </c>
      <c r="M1454" s="4">
        <v>0.05</v>
      </c>
      <c r="N1454" s="4">
        <v>0.05</v>
      </c>
      <c r="P1454">
        <v>1</v>
      </c>
      <c r="Q1454" t="str">
        <f>IFERROR(VLOOKUP(E1454,Lookups!$A$5:$B$24,2,FALSE),"Other")</f>
        <v>Paid Search</v>
      </c>
      <c r="R1454" t="str">
        <f>IFERROR(VLOOKUP(F1454,Lookups!$D$5:$F$10,2,FALSE),"Unknown Product")</f>
        <v>NexaCRM Pro</v>
      </c>
      <c r="S1454" t="str">
        <f>IFERROR(VLOOKUP(F1454,Lookups!$D$5:$F$10,3,FALSE),"Unknown")</f>
        <v>CRM</v>
      </c>
      <c r="T1454" t="str">
        <f t="shared" si="242"/>
        <v>Mid-Market</v>
      </c>
      <c r="U1454" t="str">
        <f t="shared" si="243"/>
        <v>Open</v>
      </c>
      <c r="V1454" s="3">
        <f t="shared" si="244"/>
        <v>0</v>
      </c>
      <c r="W1454" s="3">
        <f t="shared" si="245"/>
        <v>1555</v>
      </c>
      <c r="X1454" s="5" t="str">
        <f t="shared" si="246"/>
        <v/>
      </c>
      <c r="Y1454" s="5">
        <f>IF(U1454="Open",Lookups!$B$2-B1454,X1454)</f>
        <v>32</v>
      </c>
      <c r="Z1454" t="str">
        <f t="shared" si="247"/>
        <v>STALE</v>
      </c>
      <c r="AA1454" t="str">
        <f t="shared" si="248"/>
        <v>2026-07</v>
      </c>
      <c r="AB1454" t="str">
        <f t="shared" si="249"/>
        <v/>
      </c>
      <c r="AC1454" t="str">
        <f t="shared" si="250"/>
        <v>Q3-2026</v>
      </c>
      <c r="AD1454" s="5">
        <f t="shared" si="251"/>
        <v>59</v>
      </c>
      <c r="AE1454" t="str">
        <f t="shared" si="252"/>
        <v>Pipeline</v>
      </c>
    </row>
    <row r="1455" spans="1:31">
      <c r="A1455" t="s">
        <v>1557</v>
      </c>
      <c r="B1455" s="1">
        <v>45852</v>
      </c>
      <c r="C1455" t="s">
        <v>50</v>
      </c>
      <c r="D1455" t="s">
        <v>43</v>
      </c>
      <c r="E1455" t="s">
        <v>127</v>
      </c>
      <c r="F1455" t="s">
        <v>52</v>
      </c>
      <c r="G1455" t="s">
        <v>99</v>
      </c>
      <c r="H1455" t="s">
        <v>47</v>
      </c>
      <c r="I1455" t="s">
        <v>61</v>
      </c>
      <c r="J1455" s="1">
        <v>45931</v>
      </c>
      <c r="K1455" s="1">
        <v>45931</v>
      </c>
      <c r="L1455" s="3">
        <v>8000</v>
      </c>
      <c r="M1455" s="4">
        <v>0</v>
      </c>
      <c r="N1455" s="4">
        <v>0</v>
      </c>
      <c r="O1455" t="s">
        <v>116</v>
      </c>
      <c r="P1455">
        <v>4</v>
      </c>
      <c r="Q1455" t="str">
        <f>IFERROR(VLOOKUP(E1455,Lookups!$A$5:$B$24,2,FALSE),"Other")</f>
        <v>Paid Search</v>
      </c>
      <c r="R1455" t="str">
        <f>IFERROR(VLOOKUP(F1455,Lookups!$D$5:$F$10,2,FALSE),"Unknown Product")</f>
        <v>NexaCRM Core</v>
      </c>
      <c r="S1455" t="str">
        <f>IFERROR(VLOOKUP(F1455,Lookups!$D$5:$F$10,3,FALSE),"Unknown")</f>
        <v>CRM</v>
      </c>
      <c r="T1455" t="str">
        <f t="shared" si="242"/>
        <v>SMB</v>
      </c>
      <c r="U1455" t="str">
        <f t="shared" si="243"/>
        <v>Lost</v>
      </c>
      <c r="V1455" s="3">
        <f t="shared" si="244"/>
        <v>0</v>
      </c>
      <c r="W1455" s="3">
        <f t="shared" si="245"/>
        <v>0</v>
      </c>
      <c r="X1455" s="5">
        <f t="shared" si="246"/>
        <v>79</v>
      </c>
      <c r="Y1455" s="5">
        <f>IF(U1455="Open",Lookups!$B$2-B1455,X1455)</f>
        <v>79</v>
      </c>
      <c r="Z1455" t="str">
        <f t="shared" si="247"/>
        <v>OK</v>
      </c>
      <c r="AA1455" t="str">
        <f t="shared" si="248"/>
        <v>2025-07</v>
      </c>
      <c r="AB1455" t="str">
        <f t="shared" si="249"/>
        <v>2025-10</v>
      </c>
      <c r="AC1455" t="str">
        <f t="shared" si="250"/>
        <v>Q3-2025</v>
      </c>
      <c r="AD1455" s="5">
        <f t="shared" si="251"/>
        <v>43</v>
      </c>
      <c r="AE1455" t="str">
        <f t="shared" si="252"/>
        <v>Lost</v>
      </c>
    </row>
    <row r="1456" spans="1:31">
      <c r="A1456" t="s">
        <v>1558</v>
      </c>
      <c r="B1456" s="1">
        <v>45840</v>
      </c>
      <c r="C1456" t="s">
        <v>64</v>
      </c>
      <c r="D1456" t="s">
        <v>57</v>
      </c>
      <c r="E1456" t="s">
        <v>83</v>
      </c>
      <c r="F1456" t="s">
        <v>59</v>
      </c>
      <c r="G1456" t="s">
        <v>99</v>
      </c>
      <c r="H1456" t="s">
        <v>47</v>
      </c>
      <c r="I1456" t="s">
        <v>48</v>
      </c>
      <c r="J1456" s="1">
        <v>46188</v>
      </c>
      <c r="K1456" s="1"/>
      <c r="L1456" s="3">
        <v>17400</v>
      </c>
      <c r="M1456" s="4">
        <v>0.03</v>
      </c>
      <c r="N1456" s="4">
        <v>0.85</v>
      </c>
      <c r="P1456">
        <v>5</v>
      </c>
      <c r="Q1456" t="str">
        <f>IFERROR(VLOOKUP(E1456,Lookups!$A$5:$B$24,2,FALSE),"Other")</f>
        <v>Organic Search</v>
      </c>
      <c r="R1456" t="str">
        <f>IFERROR(VLOOKUP(F1456,Lookups!$D$5:$F$10,2,FALSE),"Unknown Product")</f>
        <v>NexaCRM Pro</v>
      </c>
      <c r="S1456" t="str">
        <f>IFERROR(VLOOKUP(F1456,Lookups!$D$5:$F$10,3,FALSE),"Unknown")</f>
        <v>CRM</v>
      </c>
      <c r="T1456" t="str">
        <f t="shared" si="242"/>
        <v>SMB</v>
      </c>
      <c r="U1456" t="str">
        <f t="shared" si="243"/>
        <v>Open</v>
      </c>
      <c r="V1456" s="3">
        <f t="shared" si="244"/>
        <v>0</v>
      </c>
      <c r="W1456" s="3">
        <f t="shared" si="245"/>
        <v>14790</v>
      </c>
      <c r="X1456" s="5" t="str">
        <f t="shared" si="246"/>
        <v/>
      </c>
      <c r="Y1456" s="5">
        <f>IF(U1456="Open",Lookups!$B$2-B1456,X1456)</f>
        <v>426</v>
      </c>
      <c r="Z1456" t="str">
        <f t="shared" si="247"/>
        <v>STALE</v>
      </c>
      <c r="AA1456" t="str">
        <f t="shared" si="248"/>
        <v>2025-07</v>
      </c>
      <c r="AB1456" t="str">
        <f t="shared" si="249"/>
        <v/>
      </c>
      <c r="AC1456" t="str">
        <f t="shared" si="250"/>
        <v>Q3-2025</v>
      </c>
      <c r="AD1456" s="5">
        <f t="shared" si="251"/>
        <v>49</v>
      </c>
      <c r="AE1456" t="str">
        <f t="shared" si="252"/>
        <v>Commit</v>
      </c>
    </row>
    <row r="1457" spans="1:31">
      <c r="A1457" t="s">
        <v>1559</v>
      </c>
      <c r="B1457" s="1">
        <v>46116</v>
      </c>
      <c r="C1457" t="s">
        <v>86</v>
      </c>
      <c r="D1457" t="s">
        <v>87</v>
      </c>
      <c r="E1457" t="s">
        <v>96</v>
      </c>
      <c r="F1457" t="s">
        <v>59</v>
      </c>
      <c r="G1457" t="s">
        <v>76</v>
      </c>
      <c r="H1457" t="s">
        <v>47</v>
      </c>
      <c r="I1457" t="s">
        <v>61</v>
      </c>
      <c r="J1457" s="1">
        <v>46124</v>
      </c>
      <c r="K1457" s="1">
        <v>46124</v>
      </c>
      <c r="L1457" s="3">
        <v>16300</v>
      </c>
      <c r="M1457" s="4">
        <v>0</v>
      </c>
      <c r="N1457" s="4">
        <v>0</v>
      </c>
      <c r="O1457" t="s">
        <v>81</v>
      </c>
      <c r="P1457">
        <v>4</v>
      </c>
      <c r="Q1457" t="str">
        <f>IFERROR(VLOOKUP(E1457,Lookups!$A$5:$B$24,2,FALSE),"Other")</f>
        <v>LinkedIn</v>
      </c>
      <c r="R1457" t="str">
        <f>IFERROR(VLOOKUP(F1457,Lookups!$D$5:$F$10,2,FALSE),"Unknown Product")</f>
        <v>NexaCRM Pro</v>
      </c>
      <c r="S1457" t="str">
        <f>IFERROR(VLOOKUP(F1457,Lookups!$D$5:$F$10,3,FALSE),"Unknown")</f>
        <v>CRM</v>
      </c>
      <c r="T1457" t="str">
        <f t="shared" si="242"/>
        <v>SMB</v>
      </c>
      <c r="U1457" t="str">
        <f t="shared" si="243"/>
        <v>Lost</v>
      </c>
      <c r="V1457" s="3">
        <f t="shared" si="244"/>
        <v>0</v>
      </c>
      <c r="W1457" s="3">
        <f t="shared" si="245"/>
        <v>0</v>
      </c>
      <c r="X1457" s="5">
        <f t="shared" si="246"/>
        <v>8</v>
      </c>
      <c r="Y1457" s="5">
        <f>IF(U1457="Open",Lookups!$B$2-B1457,X1457)</f>
        <v>8</v>
      </c>
      <c r="Z1457" t="str">
        <f t="shared" si="247"/>
        <v>OK</v>
      </c>
      <c r="AA1457" t="str">
        <f t="shared" si="248"/>
        <v>2026-04</v>
      </c>
      <c r="AB1457" t="str">
        <f t="shared" si="249"/>
        <v>2026-04</v>
      </c>
      <c r="AC1457" t="str">
        <f t="shared" si="250"/>
        <v>Q2-2026</v>
      </c>
      <c r="AD1457" s="5">
        <f t="shared" si="251"/>
        <v>43</v>
      </c>
      <c r="AE1457" t="str">
        <f t="shared" si="252"/>
        <v>Lost</v>
      </c>
    </row>
    <row r="1458" spans="1:31">
      <c r="A1458" t="s">
        <v>1560</v>
      </c>
      <c r="B1458" s="1">
        <v>46178</v>
      </c>
      <c r="C1458" t="s">
        <v>64</v>
      </c>
      <c r="D1458" t="s">
        <v>57</v>
      </c>
      <c r="E1458" t="s">
        <v>119</v>
      </c>
      <c r="F1458" t="s">
        <v>67</v>
      </c>
      <c r="G1458" t="s">
        <v>112</v>
      </c>
      <c r="H1458" t="s">
        <v>47</v>
      </c>
      <c r="I1458" t="s">
        <v>61</v>
      </c>
      <c r="J1458" s="1">
        <v>46260</v>
      </c>
      <c r="K1458" s="1">
        <v>46260</v>
      </c>
      <c r="L1458" s="3">
        <v>41700</v>
      </c>
      <c r="M1458" s="4">
        <v>0</v>
      </c>
      <c r="N1458" s="4">
        <v>0</v>
      </c>
      <c r="O1458" t="s">
        <v>79</v>
      </c>
      <c r="P1458">
        <v>5</v>
      </c>
      <c r="Q1458" t="str">
        <f>IFERROR(VLOOKUP(E1458,Lookups!$A$5:$B$24,2,FALSE),"Other")</f>
        <v>Referral</v>
      </c>
      <c r="R1458" t="str">
        <f>IFERROR(VLOOKUP(F1458,Lookups!$D$5:$F$10,2,FALSE),"Unknown Product")</f>
        <v>Revenue Operations Suite</v>
      </c>
      <c r="S1458" t="str">
        <f>IFERROR(VLOOKUP(F1458,Lookups!$D$5:$F$10,3,FALSE),"Unknown")</f>
        <v>Revenue Ops</v>
      </c>
      <c r="T1458" t="str">
        <f t="shared" si="242"/>
        <v>Mid-Market</v>
      </c>
      <c r="U1458" t="str">
        <f t="shared" si="243"/>
        <v>Lost</v>
      </c>
      <c r="V1458" s="3">
        <f t="shared" si="244"/>
        <v>0</v>
      </c>
      <c r="W1458" s="3">
        <f t="shared" si="245"/>
        <v>0</v>
      </c>
      <c r="X1458" s="5">
        <f t="shared" si="246"/>
        <v>82</v>
      </c>
      <c r="Y1458" s="5">
        <f>IF(U1458="Open",Lookups!$B$2-B1458,X1458)</f>
        <v>82</v>
      </c>
      <c r="Z1458" t="str">
        <f t="shared" si="247"/>
        <v>OK</v>
      </c>
      <c r="AA1458" t="str">
        <f t="shared" si="248"/>
        <v>2026-06</v>
      </c>
      <c r="AB1458" t="str">
        <f t="shared" si="249"/>
        <v>2026-08</v>
      </c>
      <c r="AC1458" t="str">
        <f t="shared" si="250"/>
        <v>Q2-2026</v>
      </c>
      <c r="AD1458" s="5">
        <f t="shared" si="251"/>
        <v>67</v>
      </c>
      <c r="AE1458" t="str">
        <f t="shared" si="252"/>
        <v>Lost</v>
      </c>
    </row>
    <row r="1459" spans="1:31">
      <c r="A1459" t="s">
        <v>1561</v>
      </c>
      <c r="B1459" s="1">
        <v>45834</v>
      </c>
      <c r="C1459" t="s">
        <v>42</v>
      </c>
      <c r="D1459" t="s">
        <v>43</v>
      </c>
      <c r="E1459" t="s">
        <v>88</v>
      </c>
      <c r="F1459" t="s">
        <v>71</v>
      </c>
      <c r="G1459" t="s">
        <v>112</v>
      </c>
      <c r="H1459" t="s">
        <v>47</v>
      </c>
      <c r="I1459" t="s">
        <v>61</v>
      </c>
      <c r="J1459" s="1">
        <v>45857</v>
      </c>
      <c r="K1459" s="1">
        <v>45857</v>
      </c>
      <c r="L1459" s="3">
        <v>15700</v>
      </c>
      <c r="M1459" s="4">
        <v>0</v>
      </c>
      <c r="N1459" s="4">
        <v>0</v>
      </c>
      <c r="O1459" t="s">
        <v>110</v>
      </c>
      <c r="P1459">
        <v>3</v>
      </c>
      <c r="Q1459" t="str">
        <f>IFERROR(VLOOKUP(E1459,Lookups!$A$5:$B$24,2,FALSE),"Other")</f>
        <v>Other</v>
      </c>
      <c r="R1459" t="str">
        <f>IFERROR(VLOOKUP(F1459,Lookups!$D$5:$F$10,2,FALSE),"Unknown Product")</f>
        <v>Marketing Automation</v>
      </c>
      <c r="S1459" t="str">
        <f>IFERROR(VLOOKUP(F1459,Lookups!$D$5:$F$10,3,FALSE),"Unknown")</f>
        <v>Marketing</v>
      </c>
      <c r="T1459" t="str">
        <f t="shared" si="242"/>
        <v>SMB</v>
      </c>
      <c r="U1459" t="str">
        <f t="shared" si="243"/>
        <v>Lost</v>
      </c>
      <c r="V1459" s="3">
        <f t="shared" si="244"/>
        <v>0</v>
      </c>
      <c r="W1459" s="3">
        <f t="shared" si="245"/>
        <v>0</v>
      </c>
      <c r="X1459" s="5">
        <f t="shared" si="246"/>
        <v>23</v>
      </c>
      <c r="Y1459" s="5">
        <f>IF(U1459="Open",Lookups!$B$2-B1459,X1459)</f>
        <v>23</v>
      </c>
      <c r="Z1459" t="str">
        <f t="shared" si="247"/>
        <v>OK</v>
      </c>
      <c r="AA1459" t="str">
        <f t="shared" si="248"/>
        <v>2025-06</v>
      </c>
      <c r="AB1459" t="str">
        <f t="shared" si="249"/>
        <v>2025-07</v>
      </c>
      <c r="AC1459" t="str">
        <f t="shared" si="250"/>
        <v>Q2-2025</v>
      </c>
      <c r="AD1459" s="5">
        <f t="shared" si="251"/>
        <v>48</v>
      </c>
      <c r="AE1459" t="str">
        <f t="shared" si="252"/>
        <v>Lost</v>
      </c>
    </row>
    <row r="1460" spans="1:31">
      <c r="A1460" t="s">
        <v>1562</v>
      </c>
      <c r="B1460" s="1">
        <v>46092</v>
      </c>
      <c r="C1460" t="s">
        <v>86</v>
      </c>
      <c r="D1460" t="s">
        <v>87</v>
      </c>
      <c r="E1460" t="s">
        <v>65</v>
      </c>
      <c r="F1460" t="s">
        <v>133</v>
      </c>
      <c r="G1460" t="s">
        <v>99</v>
      </c>
      <c r="H1460" t="s">
        <v>47</v>
      </c>
      <c r="I1460" t="s">
        <v>77</v>
      </c>
      <c r="J1460" s="1">
        <v>46166</v>
      </c>
      <c r="K1460" s="1">
        <v>46166</v>
      </c>
      <c r="L1460" s="3">
        <v>16800</v>
      </c>
      <c r="M1460" s="4">
        <v>0.08</v>
      </c>
      <c r="N1460" s="4">
        <v>1</v>
      </c>
      <c r="P1460">
        <v>6</v>
      </c>
      <c r="Q1460" t="str">
        <f>IFERROR(VLOOKUP(E1460,Lookups!$A$5:$B$24,2,FALSE),"Other")</f>
        <v>Paid Search</v>
      </c>
      <c r="R1460" t="str">
        <f>IFERROR(VLOOKUP(F1460,Lookups!$D$5:$F$10,2,FALSE),"Unknown Product")</f>
        <v>Analytics Plus</v>
      </c>
      <c r="S1460" t="str">
        <f>IFERROR(VLOOKUP(F1460,Lookups!$D$5:$F$10,3,FALSE),"Unknown")</f>
        <v>Analytics</v>
      </c>
      <c r="T1460" t="str">
        <f t="shared" si="242"/>
        <v>SMB</v>
      </c>
      <c r="U1460" t="str">
        <f t="shared" si="243"/>
        <v>Won</v>
      </c>
      <c r="V1460" s="3">
        <f t="shared" si="244"/>
        <v>15456</v>
      </c>
      <c r="W1460" s="3">
        <f t="shared" si="245"/>
        <v>0</v>
      </c>
      <c r="X1460" s="5">
        <f t="shared" si="246"/>
        <v>74</v>
      </c>
      <c r="Y1460" s="5">
        <f>IF(U1460="Open",Lookups!$B$2-B1460,X1460)</f>
        <v>74</v>
      </c>
      <c r="Z1460" t="str">
        <f t="shared" si="247"/>
        <v>OK</v>
      </c>
      <c r="AA1460" t="str">
        <f t="shared" si="248"/>
        <v>2026-03</v>
      </c>
      <c r="AB1460" t="str">
        <f t="shared" si="249"/>
        <v>2026-05</v>
      </c>
      <c r="AC1460" t="str">
        <f t="shared" si="250"/>
        <v>Q1-2026</v>
      </c>
      <c r="AD1460" s="5">
        <f t="shared" si="251"/>
        <v>43</v>
      </c>
      <c r="AE1460" t="str">
        <f t="shared" si="252"/>
        <v>Won</v>
      </c>
    </row>
    <row r="1461" spans="1:31">
      <c r="A1461" t="s">
        <v>1563</v>
      </c>
      <c r="B1461" s="1">
        <v>46086</v>
      </c>
      <c r="C1461" t="s">
        <v>64</v>
      </c>
      <c r="D1461" t="s">
        <v>57</v>
      </c>
      <c r="E1461" t="s">
        <v>58</v>
      </c>
      <c r="F1461" t="s">
        <v>59</v>
      </c>
      <c r="G1461" t="s">
        <v>112</v>
      </c>
      <c r="H1461" t="s">
        <v>53</v>
      </c>
      <c r="I1461" t="s">
        <v>61</v>
      </c>
      <c r="J1461" s="1">
        <v>46094</v>
      </c>
      <c r="K1461" s="1">
        <v>46094</v>
      </c>
      <c r="L1461" s="3">
        <v>19800</v>
      </c>
      <c r="M1461" s="4">
        <v>0</v>
      </c>
      <c r="N1461" s="4">
        <v>0</v>
      </c>
      <c r="O1461" t="s">
        <v>102</v>
      </c>
      <c r="P1461">
        <v>5</v>
      </c>
      <c r="Q1461" t="str">
        <f>IFERROR(VLOOKUP(E1461,Lookups!$A$5:$B$24,2,FALSE),"Other")</f>
        <v>Email</v>
      </c>
      <c r="R1461" t="str">
        <f>IFERROR(VLOOKUP(F1461,Lookups!$D$5:$F$10,2,FALSE),"Unknown Product")</f>
        <v>NexaCRM Pro</v>
      </c>
      <c r="S1461" t="str">
        <f>IFERROR(VLOOKUP(F1461,Lookups!$D$5:$F$10,3,FALSE),"Unknown")</f>
        <v>CRM</v>
      </c>
      <c r="T1461" t="str">
        <f t="shared" si="242"/>
        <v>SMB</v>
      </c>
      <c r="U1461" t="str">
        <f t="shared" si="243"/>
        <v>Lost</v>
      </c>
      <c r="V1461" s="3">
        <f t="shared" si="244"/>
        <v>0</v>
      </c>
      <c r="W1461" s="3">
        <f t="shared" si="245"/>
        <v>0</v>
      </c>
      <c r="X1461" s="5">
        <f t="shared" si="246"/>
        <v>8</v>
      </c>
      <c r="Y1461" s="5">
        <f>IF(U1461="Open",Lookups!$B$2-B1461,X1461)</f>
        <v>8</v>
      </c>
      <c r="Z1461" t="str">
        <f t="shared" si="247"/>
        <v>OK</v>
      </c>
      <c r="AA1461" t="str">
        <f t="shared" si="248"/>
        <v>2026-03</v>
      </c>
      <c r="AB1461" t="str">
        <f t="shared" si="249"/>
        <v>2026-03</v>
      </c>
      <c r="AC1461" t="str">
        <f t="shared" si="250"/>
        <v>Q1-2026</v>
      </c>
      <c r="AD1461" s="5">
        <f t="shared" si="251"/>
        <v>60</v>
      </c>
      <c r="AE1461" t="str">
        <f t="shared" si="252"/>
        <v>Lost</v>
      </c>
    </row>
    <row r="1462" spans="1:31">
      <c r="A1462" t="s">
        <v>1564</v>
      </c>
      <c r="B1462" s="1">
        <v>46263</v>
      </c>
      <c r="C1462" t="s">
        <v>42</v>
      </c>
      <c r="D1462" t="s">
        <v>43</v>
      </c>
      <c r="E1462" t="s">
        <v>65</v>
      </c>
      <c r="F1462" t="s">
        <v>52</v>
      </c>
      <c r="G1462" t="s">
        <v>72</v>
      </c>
      <c r="H1462" t="s">
        <v>53</v>
      </c>
      <c r="I1462" t="s">
        <v>187</v>
      </c>
      <c r="J1462" s="1">
        <v>46265</v>
      </c>
      <c r="K1462" s="1"/>
      <c r="L1462" s="3">
        <v>8800</v>
      </c>
      <c r="M1462" s="4">
        <v>0</v>
      </c>
      <c r="N1462" s="4">
        <v>0.05</v>
      </c>
      <c r="P1462">
        <v>1</v>
      </c>
      <c r="Q1462" t="str">
        <f>IFERROR(VLOOKUP(E1462,Lookups!$A$5:$B$24,2,FALSE),"Other")</f>
        <v>Paid Search</v>
      </c>
      <c r="R1462" t="str">
        <f>IFERROR(VLOOKUP(F1462,Lookups!$D$5:$F$10,2,FALSE),"Unknown Product")</f>
        <v>NexaCRM Core</v>
      </c>
      <c r="S1462" t="str">
        <f>IFERROR(VLOOKUP(F1462,Lookups!$D$5:$F$10,3,FALSE),"Unknown")</f>
        <v>CRM</v>
      </c>
      <c r="T1462" t="str">
        <f t="shared" si="242"/>
        <v>SMB</v>
      </c>
      <c r="U1462" t="str">
        <f t="shared" si="243"/>
        <v>Open</v>
      </c>
      <c r="V1462" s="3">
        <f t="shared" si="244"/>
        <v>0</v>
      </c>
      <c r="W1462" s="3">
        <f t="shared" si="245"/>
        <v>440</v>
      </c>
      <c r="X1462" s="5" t="str">
        <f t="shared" si="246"/>
        <v/>
      </c>
      <c r="Y1462" s="5">
        <f>IF(U1462="Open",Lookups!$B$2-B1462,X1462)</f>
        <v>3</v>
      </c>
      <c r="Z1462" t="str">
        <f t="shared" si="247"/>
        <v>OK</v>
      </c>
      <c r="AA1462" t="str">
        <f t="shared" si="248"/>
        <v>2026-08</v>
      </c>
      <c r="AB1462" t="str">
        <f t="shared" si="249"/>
        <v/>
      </c>
      <c r="AC1462" t="str">
        <f t="shared" si="250"/>
        <v>Q3-2026</v>
      </c>
      <c r="AD1462" s="5">
        <f t="shared" si="251"/>
        <v>51</v>
      </c>
      <c r="AE1462" t="str">
        <f t="shared" si="252"/>
        <v>Pipeline</v>
      </c>
    </row>
    <row r="1463" spans="1:31">
      <c r="A1463" t="s">
        <v>1565</v>
      </c>
      <c r="B1463" s="1">
        <v>45794</v>
      </c>
      <c r="C1463" t="s">
        <v>64</v>
      </c>
      <c r="D1463" t="s">
        <v>57</v>
      </c>
      <c r="E1463" t="s">
        <v>146</v>
      </c>
      <c r="F1463" t="s">
        <v>52</v>
      </c>
      <c r="G1463" t="s">
        <v>60</v>
      </c>
      <c r="H1463" t="s">
        <v>53</v>
      </c>
      <c r="I1463" t="s">
        <v>61</v>
      </c>
      <c r="J1463" s="1">
        <v>45840</v>
      </c>
      <c r="K1463" s="1">
        <v>45840</v>
      </c>
      <c r="L1463" s="3">
        <v>14200</v>
      </c>
      <c r="M1463" s="4">
        <v>0</v>
      </c>
      <c r="N1463" s="4">
        <v>0</v>
      </c>
      <c r="O1463" t="s">
        <v>81</v>
      </c>
      <c r="P1463">
        <v>3</v>
      </c>
      <c r="Q1463" t="str">
        <f>IFERROR(VLOOKUP(E1463,Lookups!$A$5:$B$24,2,FALSE),"Other")</f>
        <v>LinkedIn</v>
      </c>
      <c r="R1463" t="str">
        <f>IFERROR(VLOOKUP(F1463,Lookups!$D$5:$F$10,2,FALSE),"Unknown Product")</f>
        <v>NexaCRM Core</v>
      </c>
      <c r="S1463" t="str">
        <f>IFERROR(VLOOKUP(F1463,Lookups!$D$5:$F$10,3,FALSE),"Unknown")</f>
        <v>CRM</v>
      </c>
      <c r="T1463" t="str">
        <f t="shared" si="242"/>
        <v>SMB</v>
      </c>
      <c r="U1463" t="str">
        <f t="shared" si="243"/>
        <v>Lost</v>
      </c>
      <c r="V1463" s="3">
        <f t="shared" si="244"/>
        <v>0</v>
      </c>
      <c r="W1463" s="3">
        <f t="shared" si="245"/>
        <v>0</v>
      </c>
      <c r="X1463" s="5">
        <f t="shared" si="246"/>
        <v>46</v>
      </c>
      <c r="Y1463" s="5">
        <f>IF(U1463="Open",Lookups!$B$2-B1463,X1463)</f>
        <v>46</v>
      </c>
      <c r="Z1463" t="str">
        <f t="shared" si="247"/>
        <v>OK</v>
      </c>
      <c r="AA1463" t="str">
        <f t="shared" si="248"/>
        <v>2025-05</v>
      </c>
      <c r="AB1463" t="str">
        <f t="shared" si="249"/>
        <v>2025-07</v>
      </c>
      <c r="AC1463" t="str">
        <f t="shared" si="250"/>
        <v>Q2-2025</v>
      </c>
      <c r="AD1463" s="5">
        <f t="shared" si="251"/>
        <v>51</v>
      </c>
      <c r="AE1463" t="str">
        <f t="shared" si="252"/>
        <v>Lost</v>
      </c>
    </row>
    <row r="1464" spans="1:31">
      <c r="A1464" t="s">
        <v>1566</v>
      </c>
      <c r="B1464" s="1">
        <v>45921</v>
      </c>
      <c r="C1464" t="s">
        <v>50</v>
      </c>
      <c r="D1464" t="s">
        <v>43</v>
      </c>
      <c r="E1464" t="s">
        <v>92</v>
      </c>
      <c r="F1464" t="s">
        <v>59</v>
      </c>
      <c r="G1464" t="s">
        <v>99</v>
      </c>
      <c r="H1464" t="s">
        <v>47</v>
      </c>
      <c r="I1464" t="s">
        <v>61</v>
      </c>
      <c r="J1464" s="1">
        <v>45989</v>
      </c>
      <c r="K1464" s="1">
        <v>45989</v>
      </c>
      <c r="L1464" s="3">
        <v>19500</v>
      </c>
      <c r="M1464" s="4">
        <v>0</v>
      </c>
      <c r="N1464" s="4">
        <v>0</v>
      </c>
      <c r="O1464" t="s">
        <v>62</v>
      </c>
      <c r="P1464">
        <v>4</v>
      </c>
      <c r="Q1464" t="str">
        <f>IFERROR(VLOOKUP(E1464,Lookups!$A$5:$B$24,2,FALSE),"Other")</f>
        <v>Webinar</v>
      </c>
      <c r="R1464" t="str">
        <f>IFERROR(VLOOKUP(F1464,Lookups!$D$5:$F$10,2,FALSE),"Unknown Product")</f>
        <v>NexaCRM Pro</v>
      </c>
      <c r="S1464" t="str">
        <f>IFERROR(VLOOKUP(F1464,Lookups!$D$5:$F$10,3,FALSE),"Unknown")</f>
        <v>CRM</v>
      </c>
      <c r="T1464" t="str">
        <f t="shared" si="242"/>
        <v>SMB</v>
      </c>
      <c r="U1464" t="str">
        <f t="shared" si="243"/>
        <v>Lost</v>
      </c>
      <c r="V1464" s="3">
        <f t="shared" si="244"/>
        <v>0</v>
      </c>
      <c r="W1464" s="3">
        <f t="shared" si="245"/>
        <v>0</v>
      </c>
      <c r="X1464" s="5">
        <f t="shared" si="246"/>
        <v>68</v>
      </c>
      <c r="Y1464" s="5">
        <f>IF(U1464="Open",Lookups!$B$2-B1464,X1464)</f>
        <v>68</v>
      </c>
      <c r="Z1464" t="str">
        <f t="shared" si="247"/>
        <v>OK</v>
      </c>
      <c r="AA1464" t="str">
        <f t="shared" si="248"/>
        <v>2025-09</v>
      </c>
      <c r="AB1464" t="str">
        <f t="shared" si="249"/>
        <v>2025-11</v>
      </c>
      <c r="AC1464" t="str">
        <f t="shared" si="250"/>
        <v>Q3-2025</v>
      </c>
      <c r="AD1464" s="5">
        <f t="shared" si="251"/>
        <v>43</v>
      </c>
      <c r="AE1464" t="str">
        <f t="shared" si="252"/>
        <v>Lost</v>
      </c>
    </row>
    <row r="1465" spans="1:31">
      <c r="A1465" t="s">
        <v>1567</v>
      </c>
      <c r="B1465" s="1">
        <v>45685</v>
      </c>
      <c r="C1465" t="s">
        <v>86</v>
      </c>
      <c r="D1465" t="s">
        <v>87</v>
      </c>
      <c r="E1465" t="s">
        <v>44</v>
      </c>
      <c r="F1465" t="s">
        <v>71</v>
      </c>
      <c r="G1465" t="s">
        <v>60</v>
      </c>
      <c r="H1465" t="s">
        <v>84</v>
      </c>
      <c r="I1465" t="s">
        <v>77</v>
      </c>
      <c r="J1465" s="1">
        <v>45766</v>
      </c>
      <c r="K1465" s="1">
        <v>45766</v>
      </c>
      <c r="L1465" s="3">
        <v>67900</v>
      </c>
      <c r="M1465" s="4">
        <v>0.12</v>
      </c>
      <c r="N1465" s="4">
        <v>1</v>
      </c>
      <c r="P1465">
        <v>6</v>
      </c>
      <c r="Q1465" t="str">
        <f>IFERROR(VLOOKUP(E1465,Lookups!$A$5:$B$24,2,FALSE),"Other")</f>
        <v>Organic Search</v>
      </c>
      <c r="R1465" t="str">
        <f>IFERROR(VLOOKUP(F1465,Lookups!$D$5:$F$10,2,FALSE),"Unknown Product")</f>
        <v>Marketing Automation</v>
      </c>
      <c r="S1465" t="str">
        <f>IFERROR(VLOOKUP(F1465,Lookups!$D$5:$F$10,3,FALSE),"Unknown")</f>
        <v>Marketing</v>
      </c>
      <c r="T1465" t="str">
        <f t="shared" si="242"/>
        <v>Enterprise</v>
      </c>
      <c r="U1465" t="str">
        <f t="shared" si="243"/>
        <v>Won</v>
      </c>
      <c r="V1465" s="3">
        <f t="shared" si="244"/>
        <v>59752</v>
      </c>
      <c r="W1465" s="3">
        <f t="shared" si="245"/>
        <v>0</v>
      </c>
      <c r="X1465" s="5">
        <f t="shared" si="246"/>
        <v>81</v>
      </c>
      <c r="Y1465" s="5">
        <f>IF(U1465="Open",Lookups!$B$2-B1465,X1465)</f>
        <v>81</v>
      </c>
      <c r="Z1465" t="str">
        <f t="shared" si="247"/>
        <v>OK</v>
      </c>
      <c r="AA1465" t="str">
        <f t="shared" si="248"/>
        <v>2025-01</v>
      </c>
      <c r="AB1465" t="str">
        <f t="shared" si="249"/>
        <v>2025-04</v>
      </c>
      <c r="AC1465" t="str">
        <f t="shared" si="250"/>
        <v>Q1-2025</v>
      </c>
      <c r="AD1465" s="5">
        <f t="shared" si="251"/>
        <v>80</v>
      </c>
      <c r="AE1465" t="str">
        <f t="shared" si="252"/>
        <v>Won</v>
      </c>
    </row>
    <row r="1466" spans="1:31">
      <c r="A1466" t="s">
        <v>1568</v>
      </c>
      <c r="B1466" s="1">
        <v>46250</v>
      </c>
      <c r="C1466" t="s">
        <v>148</v>
      </c>
      <c r="D1466" t="s">
        <v>43</v>
      </c>
      <c r="E1466" t="s">
        <v>138</v>
      </c>
      <c r="F1466" t="s">
        <v>45</v>
      </c>
      <c r="G1466" t="s">
        <v>99</v>
      </c>
      <c r="H1466" t="s">
        <v>53</v>
      </c>
      <c r="I1466" t="s">
        <v>187</v>
      </c>
      <c r="J1466" s="1">
        <v>46261</v>
      </c>
      <c r="K1466" s="1"/>
      <c r="L1466" s="3">
        <v>33300</v>
      </c>
      <c r="M1466" s="4">
        <v>0</v>
      </c>
      <c r="N1466" s="4">
        <v>0.05</v>
      </c>
      <c r="P1466">
        <v>1</v>
      </c>
      <c r="Q1466" t="str">
        <f>IFERROR(VLOOKUP(E1466,Lookups!$A$5:$B$24,2,FALSE),"Other")</f>
        <v>Organic Search</v>
      </c>
      <c r="R1466" t="str">
        <f>IFERROR(VLOOKUP(F1466,Lookups!$D$5:$F$10,2,FALSE),"Unknown Product")</f>
        <v>Service Cloud</v>
      </c>
      <c r="S1466" t="str">
        <f>IFERROR(VLOOKUP(F1466,Lookups!$D$5:$F$10,3,FALSE),"Unknown")</f>
        <v>Customer Service</v>
      </c>
      <c r="T1466" t="str">
        <f t="shared" si="242"/>
        <v>Mid-Market</v>
      </c>
      <c r="U1466" t="str">
        <f t="shared" si="243"/>
        <v>Open</v>
      </c>
      <c r="V1466" s="3">
        <f t="shared" si="244"/>
        <v>0</v>
      </c>
      <c r="W1466" s="3">
        <f t="shared" si="245"/>
        <v>1665</v>
      </c>
      <c r="X1466" s="5" t="str">
        <f t="shared" si="246"/>
        <v/>
      </c>
      <c r="Y1466" s="5">
        <f>IF(U1466="Open",Lookups!$B$2-B1466,X1466)</f>
        <v>16</v>
      </c>
      <c r="Z1466" t="str">
        <f t="shared" si="247"/>
        <v>OK</v>
      </c>
      <c r="AA1466" t="str">
        <f t="shared" si="248"/>
        <v>2026-08</v>
      </c>
      <c r="AB1466" t="str">
        <f t="shared" si="249"/>
        <v/>
      </c>
      <c r="AC1466" t="str">
        <f t="shared" si="250"/>
        <v>Q3-2026</v>
      </c>
      <c r="AD1466" s="5">
        <f t="shared" si="251"/>
        <v>65</v>
      </c>
      <c r="AE1466" t="str">
        <f t="shared" si="252"/>
        <v>Pipeline</v>
      </c>
    </row>
    <row r="1467" spans="1:31">
      <c r="A1467" t="s">
        <v>1569</v>
      </c>
      <c r="B1467" s="1">
        <v>46140</v>
      </c>
      <c r="C1467" t="s">
        <v>64</v>
      </c>
      <c r="D1467" t="s">
        <v>57</v>
      </c>
      <c r="E1467" t="s">
        <v>96</v>
      </c>
      <c r="F1467" t="s">
        <v>59</v>
      </c>
      <c r="G1467" t="s">
        <v>76</v>
      </c>
      <c r="H1467" t="s">
        <v>53</v>
      </c>
      <c r="I1467" t="s">
        <v>61</v>
      </c>
      <c r="J1467" s="1">
        <v>46183</v>
      </c>
      <c r="K1467" s="1">
        <v>46183</v>
      </c>
      <c r="L1467" s="3">
        <v>33200</v>
      </c>
      <c r="M1467" s="4">
        <v>0</v>
      </c>
      <c r="N1467" s="4">
        <v>0</v>
      </c>
      <c r="O1467" t="s">
        <v>79</v>
      </c>
      <c r="P1467">
        <v>2</v>
      </c>
      <c r="Q1467" t="str">
        <f>IFERROR(VLOOKUP(E1467,Lookups!$A$5:$B$24,2,FALSE),"Other")</f>
        <v>LinkedIn</v>
      </c>
      <c r="R1467" t="str">
        <f>IFERROR(VLOOKUP(F1467,Lookups!$D$5:$F$10,2,FALSE),"Unknown Product")</f>
        <v>NexaCRM Pro</v>
      </c>
      <c r="S1467" t="str">
        <f>IFERROR(VLOOKUP(F1467,Lookups!$D$5:$F$10,3,FALSE),"Unknown")</f>
        <v>CRM</v>
      </c>
      <c r="T1467" t="str">
        <f t="shared" si="242"/>
        <v>Mid-Market</v>
      </c>
      <c r="U1467" t="str">
        <f t="shared" si="243"/>
        <v>Lost</v>
      </c>
      <c r="V1467" s="3">
        <f t="shared" si="244"/>
        <v>0</v>
      </c>
      <c r="W1467" s="3">
        <f t="shared" si="245"/>
        <v>0</v>
      </c>
      <c r="X1467" s="5">
        <f t="shared" si="246"/>
        <v>43</v>
      </c>
      <c r="Y1467" s="5">
        <f>IF(U1467="Open",Lookups!$B$2-B1467,X1467)</f>
        <v>43</v>
      </c>
      <c r="Z1467" t="str">
        <f t="shared" si="247"/>
        <v>OK</v>
      </c>
      <c r="AA1467" t="str">
        <f t="shared" si="248"/>
        <v>2026-04</v>
      </c>
      <c r="AB1467" t="str">
        <f t="shared" si="249"/>
        <v>2026-06</v>
      </c>
      <c r="AC1467" t="str">
        <f t="shared" si="250"/>
        <v>Q2-2026</v>
      </c>
      <c r="AD1467" s="5">
        <f t="shared" si="251"/>
        <v>59</v>
      </c>
      <c r="AE1467" t="str">
        <f t="shared" si="252"/>
        <v>Lost</v>
      </c>
    </row>
    <row r="1468" spans="1:31">
      <c r="A1468" t="s">
        <v>1570</v>
      </c>
      <c r="B1468" s="1">
        <v>45972</v>
      </c>
      <c r="C1468" t="s">
        <v>56</v>
      </c>
      <c r="D1468" t="s">
        <v>57</v>
      </c>
      <c r="E1468" t="s">
        <v>146</v>
      </c>
      <c r="F1468" t="s">
        <v>67</v>
      </c>
      <c r="G1468" t="s">
        <v>112</v>
      </c>
      <c r="H1468" t="s">
        <v>84</v>
      </c>
      <c r="I1468" t="s">
        <v>61</v>
      </c>
      <c r="J1468" s="1">
        <v>46018</v>
      </c>
      <c r="K1468" s="1">
        <v>46018</v>
      </c>
      <c r="L1468" s="3">
        <v>100800</v>
      </c>
      <c r="M1468" s="4">
        <v>0</v>
      </c>
      <c r="N1468" s="4">
        <v>0</v>
      </c>
      <c r="O1468" t="s">
        <v>62</v>
      </c>
      <c r="P1468">
        <v>3</v>
      </c>
      <c r="Q1468" t="str">
        <f>IFERROR(VLOOKUP(E1468,Lookups!$A$5:$B$24,2,FALSE),"Other")</f>
        <v>LinkedIn</v>
      </c>
      <c r="R1468" t="str">
        <f>IFERROR(VLOOKUP(F1468,Lookups!$D$5:$F$10,2,FALSE),"Unknown Product")</f>
        <v>Revenue Operations Suite</v>
      </c>
      <c r="S1468" t="str">
        <f>IFERROR(VLOOKUP(F1468,Lookups!$D$5:$F$10,3,FALSE),"Unknown")</f>
        <v>Revenue Ops</v>
      </c>
      <c r="T1468" t="str">
        <f t="shared" si="242"/>
        <v>Enterprise</v>
      </c>
      <c r="U1468" t="str">
        <f t="shared" si="243"/>
        <v>Lost</v>
      </c>
      <c r="V1468" s="3">
        <f t="shared" si="244"/>
        <v>0</v>
      </c>
      <c r="W1468" s="3">
        <f t="shared" si="245"/>
        <v>0</v>
      </c>
      <c r="X1468" s="5">
        <f t="shared" si="246"/>
        <v>46</v>
      </c>
      <c r="Y1468" s="5">
        <f>IF(U1468="Open",Lookups!$B$2-B1468,X1468)</f>
        <v>46</v>
      </c>
      <c r="Z1468" t="str">
        <f t="shared" si="247"/>
        <v>OK</v>
      </c>
      <c r="AA1468" t="str">
        <f t="shared" si="248"/>
        <v>2025-11</v>
      </c>
      <c r="AB1468" t="str">
        <f t="shared" si="249"/>
        <v>2025-12</v>
      </c>
      <c r="AC1468" t="str">
        <f t="shared" si="250"/>
        <v>Q4-2025</v>
      </c>
      <c r="AD1468" s="5">
        <f t="shared" si="251"/>
        <v>79</v>
      </c>
      <c r="AE1468" t="str">
        <f t="shared" si="252"/>
        <v>Lost</v>
      </c>
    </row>
    <row r="1469" spans="1:31">
      <c r="A1469" t="s">
        <v>1571</v>
      </c>
      <c r="B1469" s="1">
        <v>45893</v>
      </c>
      <c r="C1469" t="s">
        <v>90</v>
      </c>
      <c r="D1469" t="s">
        <v>57</v>
      </c>
      <c r="E1469" t="s">
        <v>70</v>
      </c>
      <c r="F1469" t="s">
        <v>45</v>
      </c>
      <c r="G1469" t="s">
        <v>112</v>
      </c>
      <c r="H1469" t="s">
        <v>47</v>
      </c>
      <c r="I1469" t="s">
        <v>61</v>
      </c>
      <c r="J1469" s="1">
        <v>45945</v>
      </c>
      <c r="K1469" s="1">
        <v>45945</v>
      </c>
      <c r="L1469" s="3">
        <v>22200</v>
      </c>
      <c r="M1469" s="4">
        <v>0</v>
      </c>
      <c r="N1469" s="4">
        <v>0</v>
      </c>
      <c r="O1469" t="s">
        <v>79</v>
      </c>
      <c r="P1469">
        <v>3</v>
      </c>
      <c r="Q1469" t="str">
        <f>IFERROR(VLOOKUP(E1469,Lookups!$A$5:$B$24,2,FALSE),"Other")</f>
        <v>LinkedIn</v>
      </c>
      <c r="R1469" t="str">
        <f>IFERROR(VLOOKUP(F1469,Lookups!$D$5:$F$10,2,FALSE),"Unknown Product")</f>
        <v>Service Cloud</v>
      </c>
      <c r="S1469" t="str">
        <f>IFERROR(VLOOKUP(F1469,Lookups!$D$5:$F$10,3,FALSE),"Unknown")</f>
        <v>Customer Service</v>
      </c>
      <c r="T1469" t="str">
        <f t="shared" si="242"/>
        <v>Mid-Market</v>
      </c>
      <c r="U1469" t="str">
        <f t="shared" si="243"/>
        <v>Lost</v>
      </c>
      <c r="V1469" s="3">
        <f t="shared" si="244"/>
        <v>0</v>
      </c>
      <c r="W1469" s="3">
        <f t="shared" si="245"/>
        <v>0</v>
      </c>
      <c r="X1469" s="5">
        <f t="shared" si="246"/>
        <v>52</v>
      </c>
      <c r="Y1469" s="5">
        <f>IF(U1469="Open",Lookups!$B$2-B1469,X1469)</f>
        <v>52</v>
      </c>
      <c r="Z1469" t="str">
        <f t="shared" si="247"/>
        <v>OK</v>
      </c>
      <c r="AA1469" t="str">
        <f t="shared" si="248"/>
        <v>2025-08</v>
      </c>
      <c r="AB1469" t="str">
        <f t="shared" si="249"/>
        <v>2025-10</v>
      </c>
      <c r="AC1469" t="str">
        <f t="shared" si="250"/>
        <v>Q3-2025</v>
      </c>
      <c r="AD1469" s="5">
        <f t="shared" si="251"/>
        <v>56</v>
      </c>
      <c r="AE1469" t="str">
        <f t="shared" si="252"/>
        <v>Lost</v>
      </c>
    </row>
    <row r="1470" spans="1:31">
      <c r="A1470" t="s">
        <v>1572</v>
      </c>
      <c r="B1470" s="1">
        <v>45659</v>
      </c>
      <c r="C1470" t="s">
        <v>148</v>
      </c>
      <c r="D1470" t="s">
        <v>43</v>
      </c>
      <c r="E1470" t="s">
        <v>123</v>
      </c>
      <c r="F1470" t="s">
        <v>52</v>
      </c>
      <c r="G1470" t="s">
        <v>72</v>
      </c>
      <c r="H1470" t="s">
        <v>53</v>
      </c>
      <c r="I1470" t="s">
        <v>77</v>
      </c>
      <c r="J1470" s="1">
        <v>45698</v>
      </c>
      <c r="K1470" s="1">
        <v>45698</v>
      </c>
      <c r="L1470" s="3">
        <v>8000</v>
      </c>
      <c r="M1470" s="4">
        <v>0.08</v>
      </c>
      <c r="N1470" s="4">
        <v>1</v>
      </c>
      <c r="P1470">
        <v>6</v>
      </c>
      <c r="Q1470" t="str">
        <f>IFERROR(VLOOKUP(E1470,Lookups!$A$5:$B$24,2,FALSE),"Other")</f>
        <v>Email</v>
      </c>
      <c r="R1470" t="str">
        <f>IFERROR(VLOOKUP(F1470,Lookups!$D$5:$F$10,2,FALSE),"Unknown Product")</f>
        <v>NexaCRM Core</v>
      </c>
      <c r="S1470" t="str">
        <f>IFERROR(VLOOKUP(F1470,Lookups!$D$5:$F$10,3,FALSE),"Unknown")</f>
        <v>CRM</v>
      </c>
      <c r="T1470" t="str">
        <f t="shared" si="242"/>
        <v>SMB</v>
      </c>
      <c r="U1470" t="str">
        <f t="shared" si="243"/>
        <v>Won</v>
      </c>
      <c r="V1470" s="3">
        <f t="shared" si="244"/>
        <v>7360</v>
      </c>
      <c r="W1470" s="3">
        <f t="shared" si="245"/>
        <v>0</v>
      </c>
      <c r="X1470" s="5">
        <f t="shared" si="246"/>
        <v>39</v>
      </c>
      <c r="Y1470" s="5">
        <f>IF(U1470="Open",Lookups!$B$2-B1470,X1470)</f>
        <v>39</v>
      </c>
      <c r="Z1470" t="str">
        <f t="shared" si="247"/>
        <v>OK</v>
      </c>
      <c r="AA1470" t="str">
        <f t="shared" si="248"/>
        <v>2025-01</v>
      </c>
      <c r="AB1470" t="str">
        <f t="shared" si="249"/>
        <v>2025-02</v>
      </c>
      <c r="AC1470" t="str">
        <f t="shared" si="250"/>
        <v>Q1-2025</v>
      </c>
      <c r="AD1470" s="5">
        <f t="shared" si="251"/>
        <v>55</v>
      </c>
      <c r="AE1470" t="str">
        <f t="shared" si="252"/>
        <v>Won</v>
      </c>
    </row>
    <row r="1471" spans="1:31">
      <c r="A1471" t="s">
        <v>1573</v>
      </c>
      <c r="B1471" s="1">
        <v>45931</v>
      </c>
      <c r="C1471" t="s">
        <v>56</v>
      </c>
      <c r="D1471" t="s">
        <v>57</v>
      </c>
      <c r="E1471" t="s">
        <v>115</v>
      </c>
      <c r="F1471" t="s">
        <v>52</v>
      </c>
      <c r="G1471" t="s">
        <v>72</v>
      </c>
      <c r="H1471" t="s">
        <v>84</v>
      </c>
      <c r="I1471" t="s">
        <v>77</v>
      </c>
      <c r="J1471" s="1">
        <v>45973</v>
      </c>
      <c r="K1471" s="1">
        <v>45973</v>
      </c>
      <c r="L1471" s="3">
        <v>31900</v>
      </c>
      <c r="M1471" s="4">
        <v>0.12</v>
      </c>
      <c r="N1471" s="4">
        <v>1</v>
      </c>
      <c r="P1471">
        <v>6</v>
      </c>
      <c r="Q1471" t="str">
        <f>IFERROR(VLOOKUP(E1471,Lookups!$A$5:$B$24,2,FALSE),"Other")</f>
        <v>Outbound</v>
      </c>
      <c r="R1471" t="str">
        <f>IFERROR(VLOOKUP(F1471,Lookups!$D$5:$F$10,2,FALSE),"Unknown Product")</f>
        <v>NexaCRM Core</v>
      </c>
      <c r="S1471" t="str">
        <f>IFERROR(VLOOKUP(F1471,Lookups!$D$5:$F$10,3,FALSE),"Unknown")</f>
        <v>CRM</v>
      </c>
      <c r="T1471" t="str">
        <f t="shared" si="242"/>
        <v>Mid-Market</v>
      </c>
      <c r="U1471" t="str">
        <f t="shared" si="243"/>
        <v>Won</v>
      </c>
      <c r="V1471" s="3">
        <f t="shared" si="244"/>
        <v>28072</v>
      </c>
      <c r="W1471" s="3">
        <f t="shared" si="245"/>
        <v>0</v>
      </c>
      <c r="X1471" s="5">
        <f t="shared" si="246"/>
        <v>42</v>
      </c>
      <c r="Y1471" s="5">
        <f>IF(U1471="Open",Lookups!$B$2-B1471,X1471)</f>
        <v>42</v>
      </c>
      <c r="Z1471" t="str">
        <f t="shared" si="247"/>
        <v>OK</v>
      </c>
      <c r="AA1471" t="str">
        <f t="shared" si="248"/>
        <v>2025-10</v>
      </c>
      <c r="AB1471" t="str">
        <f t="shared" si="249"/>
        <v>2025-11</v>
      </c>
      <c r="AC1471" t="str">
        <f t="shared" si="250"/>
        <v>Q4-2025</v>
      </c>
      <c r="AD1471" s="5">
        <f t="shared" si="251"/>
        <v>67</v>
      </c>
      <c r="AE1471" t="str">
        <f t="shared" si="252"/>
        <v>Won</v>
      </c>
    </row>
    <row r="1472" spans="1:31">
      <c r="A1472" t="s">
        <v>1574</v>
      </c>
      <c r="B1472" s="1">
        <v>45763</v>
      </c>
      <c r="C1472" t="s">
        <v>69</v>
      </c>
      <c r="D1472" t="s">
        <v>57</v>
      </c>
      <c r="E1472" t="s">
        <v>138</v>
      </c>
      <c r="F1472" t="s">
        <v>59</v>
      </c>
      <c r="G1472" t="s">
        <v>94</v>
      </c>
      <c r="H1472" t="s">
        <v>47</v>
      </c>
      <c r="I1472" t="s">
        <v>48</v>
      </c>
      <c r="J1472" s="1">
        <v>45957</v>
      </c>
      <c r="K1472" s="1"/>
      <c r="L1472" s="3">
        <v>20400</v>
      </c>
      <c r="M1472" s="4">
        <v>0</v>
      </c>
      <c r="N1472" s="4">
        <v>0.85</v>
      </c>
      <c r="P1472">
        <v>5</v>
      </c>
      <c r="Q1472" t="str">
        <f>IFERROR(VLOOKUP(E1472,Lookups!$A$5:$B$24,2,FALSE),"Other")</f>
        <v>Organic Search</v>
      </c>
      <c r="R1472" t="str">
        <f>IFERROR(VLOOKUP(F1472,Lookups!$D$5:$F$10,2,FALSE),"Unknown Product")</f>
        <v>NexaCRM Pro</v>
      </c>
      <c r="S1472" t="str">
        <f>IFERROR(VLOOKUP(F1472,Lookups!$D$5:$F$10,3,FALSE),"Unknown")</f>
        <v>CRM</v>
      </c>
      <c r="T1472" t="str">
        <f t="shared" si="242"/>
        <v>Mid-Market</v>
      </c>
      <c r="U1472" t="str">
        <f t="shared" si="243"/>
        <v>Open</v>
      </c>
      <c r="V1472" s="3">
        <f t="shared" si="244"/>
        <v>0</v>
      </c>
      <c r="W1472" s="3">
        <f t="shared" si="245"/>
        <v>17340</v>
      </c>
      <c r="X1472" s="5" t="str">
        <f t="shared" si="246"/>
        <v/>
      </c>
      <c r="Y1472" s="5">
        <f>IF(U1472="Open",Lookups!$B$2-B1472,X1472)</f>
        <v>503</v>
      </c>
      <c r="Z1472" t="str">
        <f t="shared" si="247"/>
        <v>STALE</v>
      </c>
      <c r="AA1472" t="str">
        <f t="shared" si="248"/>
        <v>2025-04</v>
      </c>
      <c r="AB1472" t="str">
        <f t="shared" si="249"/>
        <v/>
      </c>
      <c r="AC1472" t="str">
        <f t="shared" si="250"/>
        <v>Q2-2025</v>
      </c>
      <c r="AD1472" s="5">
        <f t="shared" si="251"/>
        <v>57</v>
      </c>
      <c r="AE1472" t="str">
        <f t="shared" si="252"/>
        <v>Commit</v>
      </c>
    </row>
    <row r="1473" spans="1:31">
      <c r="A1473" t="s">
        <v>1575</v>
      </c>
      <c r="B1473" s="1">
        <v>46188</v>
      </c>
      <c r="C1473" t="s">
        <v>148</v>
      </c>
      <c r="D1473" t="s">
        <v>43</v>
      </c>
      <c r="E1473" t="s">
        <v>160</v>
      </c>
      <c r="F1473" t="s">
        <v>52</v>
      </c>
      <c r="G1473" t="s">
        <v>60</v>
      </c>
      <c r="H1473" t="s">
        <v>53</v>
      </c>
      <c r="I1473" t="s">
        <v>61</v>
      </c>
      <c r="J1473" s="1">
        <v>46232</v>
      </c>
      <c r="K1473" s="1">
        <v>46232</v>
      </c>
      <c r="L1473" s="3">
        <v>14600</v>
      </c>
      <c r="M1473" s="4">
        <v>0</v>
      </c>
      <c r="N1473" s="4">
        <v>0</v>
      </c>
      <c r="O1473" t="s">
        <v>102</v>
      </c>
      <c r="P1473">
        <v>3</v>
      </c>
      <c r="Q1473" t="str">
        <f>IFERROR(VLOOKUP(E1473,Lookups!$A$5:$B$24,2,FALSE),"Other")</f>
        <v>Email</v>
      </c>
      <c r="R1473" t="str">
        <f>IFERROR(VLOOKUP(F1473,Lookups!$D$5:$F$10,2,FALSE),"Unknown Product")</f>
        <v>NexaCRM Core</v>
      </c>
      <c r="S1473" t="str">
        <f>IFERROR(VLOOKUP(F1473,Lookups!$D$5:$F$10,3,FALSE),"Unknown")</f>
        <v>CRM</v>
      </c>
      <c r="T1473" t="str">
        <f t="shared" si="242"/>
        <v>SMB</v>
      </c>
      <c r="U1473" t="str">
        <f t="shared" si="243"/>
        <v>Lost</v>
      </c>
      <c r="V1473" s="3">
        <f t="shared" si="244"/>
        <v>0</v>
      </c>
      <c r="W1473" s="3">
        <f t="shared" si="245"/>
        <v>0</v>
      </c>
      <c r="X1473" s="5">
        <f t="shared" si="246"/>
        <v>44</v>
      </c>
      <c r="Y1473" s="5">
        <f>IF(U1473="Open",Lookups!$B$2-B1473,X1473)</f>
        <v>44</v>
      </c>
      <c r="Z1473" t="str">
        <f t="shared" si="247"/>
        <v>OK</v>
      </c>
      <c r="AA1473" t="str">
        <f t="shared" si="248"/>
        <v>2026-06</v>
      </c>
      <c r="AB1473" t="str">
        <f t="shared" si="249"/>
        <v>2026-07</v>
      </c>
      <c r="AC1473" t="str">
        <f t="shared" si="250"/>
        <v>Q2-2026</v>
      </c>
      <c r="AD1473" s="5">
        <f t="shared" si="251"/>
        <v>55</v>
      </c>
      <c r="AE1473" t="str">
        <f t="shared" si="252"/>
        <v>Lost</v>
      </c>
    </row>
    <row r="1474" spans="1:31">
      <c r="A1474" t="s">
        <v>1576</v>
      </c>
      <c r="B1474" s="1">
        <v>46042</v>
      </c>
      <c r="C1474" t="s">
        <v>86</v>
      </c>
      <c r="D1474" t="s">
        <v>87</v>
      </c>
      <c r="E1474" t="s">
        <v>44</v>
      </c>
      <c r="F1474" t="s">
        <v>52</v>
      </c>
      <c r="G1474" t="s">
        <v>94</v>
      </c>
      <c r="H1474" t="s">
        <v>47</v>
      </c>
      <c r="I1474" t="s">
        <v>61</v>
      </c>
      <c r="J1474" s="1">
        <v>46100</v>
      </c>
      <c r="K1474" s="1">
        <v>46100</v>
      </c>
      <c r="L1474" s="3">
        <v>5800</v>
      </c>
      <c r="M1474" s="4">
        <v>0</v>
      </c>
      <c r="N1474" s="4">
        <v>0</v>
      </c>
      <c r="O1474" t="s">
        <v>116</v>
      </c>
      <c r="P1474">
        <v>2</v>
      </c>
      <c r="Q1474" t="str">
        <f>IFERROR(VLOOKUP(E1474,Lookups!$A$5:$B$24,2,FALSE),"Other")</f>
        <v>Organic Search</v>
      </c>
      <c r="R1474" t="str">
        <f>IFERROR(VLOOKUP(F1474,Lookups!$D$5:$F$10,2,FALSE),"Unknown Product")</f>
        <v>NexaCRM Core</v>
      </c>
      <c r="S1474" t="str">
        <f>IFERROR(VLOOKUP(F1474,Lookups!$D$5:$F$10,3,FALSE),"Unknown")</f>
        <v>CRM</v>
      </c>
      <c r="T1474" t="str">
        <f t="shared" ref="T1474:T1537" si="253">IF(L1474&gt;=50000,"Enterprise",IF(L1474&gt;=20000,"Mid-Market","SMB"))</f>
        <v>SMB</v>
      </c>
      <c r="U1474" t="str">
        <f t="shared" ref="U1474:U1537" si="254">IF(I1474="Closed Won","Won",IF(I1474="Closed Lost","Lost","Open"))</f>
        <v>Lost</v>
      </c>
      <c r="V1474" s="3">
        <f t="shared" ref="V1474:V1537" si="255">IF(U1474="Won",L1474*(1-M1474),0)</f>
        <v>0</v>
      </c>
      <c r="W1474" s="3">
        <f t="shared" ref="W1474:W1537" si="256">IF(U1474="Open",L1474*N1474,0)</f>
        <v>0</v>
      </c>
      <c r="X1474" s="5">
        <f t="shared" ref="X1474:X1537" si="257">IF(U1474="Open","",IFERROR(K1474-B1474,""))</f>
        <v>58</v>
      </c>
      <c r="Y1474" s="5">
        <f>IF(U1474="Open",Lookups!$B$2-B1474,X1474)</f>
        <v>58</v>
      </c>
      <c r="Z1474" t="str">
        <f t="shared" ref="Z1474:Z1537" si="258">IF(AND(U1474="Open",Y1474&gt;30),"STALE","OK")</f>
        <v>OK</v>
      </c>
      <c r="AA1474" t="str">
        <f t="shared" ref="AA1474:AA1537" si="259">TEXT(B1474,"yyyy-mm")</f>
        <v>2026-01</v>
      </c>
      <c r="AB1474" t="str">
        <f t="shared" ref="AB1474:AB1537" si="260">IF(K1474="","",TEXT(K1474,"yyyy-mm"))</f>
        <v>2026-03</v>
      </c>
      <c r="AC1474" t="str">
        <f t="shared" ref="AC1474:AC1537" si="261">"Q"&amp;ROUNDUP(MONTH(B1474)/3,0)&amp;"-"&amp;YEAR(B1474)</f>
        <v>Q1-2026</v>
      </c>
      <c r="AD1474" s="5">
        <f t="shared" ref="AD1474:AD1537" si="262">MIN(100,IF(H1474="Enterprise",30,IF(H1474="Mid-Market",22,14))+IF(T1474="Enterprise",25,IF(T1474="Mid-Market",18,10))+IF(Q1474="Referral",25,IF(Q1474="Organic Search",20,IF(Q1474="Email",18,14)))+IF(G1474="Technology",10,5))</f>
        <v>49</v>
      </c>
      <c r="AE1474" t="str">
        <f t="shared" ref="AE1474:AE1537" si="263">IF(U1474&lt;&gt;"Open",U1474,IF(N1474&gt;=0.8,"Commit",IF(N1474&gt;=0.5,"Best Case","Pipeline")))</f>
        <v>Lost</v>
      </c>
    </row>
    <row r="1475" spans="1:31">
      <c r="A1475" t="s">
        <v>1577</v>
      </c>
      <c r="B1475" s="1">
        <v>45999</v>
      </c>
      <c r="C1475" t="s">
        <v>69</v>
      </c>
      <c r="D1475" t="s">
        <v>57</v>
      </c>
      <c r="E1475" t="s">
        <v>138</v>
      </c>
      <c r="F1475" t="s">
        <v>59</v>
      </c>
      <c r="G1475" t="s">
        <v>99</v>
      </c>
      <c r="H1475" t="s">
        <v>53</v>
      </c>
      <c r="I1475" t="s">
        <v>77</v>
      </c>
      <c r="J1475" s="1">
        <v>46057</v>
      </c>
      <c r="K1475" s="1">
        <v>46057</v>
      </c>
      <c r="L1475" s="3">
        <v>27200</v>
      </c>
      <c r="M1475" s="4">
        <v>0</v>
      </c>
      <c r="N1475" s="4">
        <v>1</v>
      </c>
      <c r="P1475">
        <v>6</v>
      </c>
      <c r="Q1475" t="str">
        <f>IFERROR(VLOOKUP(E1475,Lookups!$A$5:$B$24,2,FALSE),"Other")</f>
        <v>Organic Search</v>
      </c>
      <c r="R1475" t="str">
        <f>IFERROR(VLOOKUP(F1475,Lookups!$D$5:$F$10,2,FALSE),"Unknown Product")</f>
        <v>NexaCRM Pro</v>
      </c>
      <c r="S1475" t="str">
        <f>IFERROR(VLOOKUP(F1475,Lookups!$D$5:$F$10,3,FALSE),"Unknown")</f>
        <v>CRM</v>
      </c>
      <c r="T1475" t="str">
        <f t="shared" si="253"/>
        <v>Mid-Market</v>
      </c>
      <c r="U1475" t="str">
        <f t="shared" si="254"/>
        <v>Won</v>
      </c>
      <c r="V1475" s="3">
        <f t="shared" si="255"/>
        <v>27200</v>
      </c>
      <c r="W1475" s="3">
        <f t="shared" si="256"/>
        <v>0</v>
      </c>
      <c r="X1475" s="5">
        <f t="shared" si="257"/>
        <v>58</v>
      </c>
      <c r="Y1475" s="5">
        <f>IF(U1475="Open",Lookups!$B$2-B1475,X1475)</f>
        <v>58</v>
      </c>
      <c r="Z1475" t="str">
        <f t="shared" si="258"/>
        <v>OK</v>
      </c>
      <c r="AA1475" t="str">
        <f t="shared" si="259"/>
        <v>2025-12</v>
      </c>
      <c r="AB1475" t="str">
        <f t="shared" si="260"/>
        <v>2026-02</v>
      </c>
      <c r="AC1475" t="str">
        <f t="shared" si="261"/>
        <v>Q4-2025</v>
      </c>
      <c r="AD1475" s="5">
        <f t="shared" si="262"/>
        <v>65</v>
      </c>
      <c r="AE1475" t="str">
        <f t="shared" si="263"/>
        <v>Won</v>
      </c>
    </row>
    <row r="1476" spans="1:31">
      <c r="A1476" t="s">
        <v>1578</v>
      </c>
      <c r="B1476" s="1">
        <v>46218</v>
      </c>
      <c r="C1476" t="s">
        <v>50</v>
      </c>
      <c r="D1476" t="s">
        <v>43</v>
      </c>
      <c r="E1476" t="s">
        <v>88</v>
      </c>
      <c r="F1476" t="s">
        <v>67</v>
      </c>
      <c r="G1476" t="s">
        <v>112</v>
      </c>
      <c r="H1476" t="s">
        <v>47</v>
      </c>
      <c r="I1476" t="s">
        <v>73</v>
      </c>
      <c r="J1476" s="1">
        <v>46243</v>
      </c>
      <c r="K1476" s="1"/>
      <c r="L1476" s="3">
        <v>48300</v>
      </c>
      <c r="M1476" s="4">
        <v>0.03</v>
      </c>
      <c r="N1476" s="4">
        <v>0.2</v>
      </c>
      <c r="P1476">
        <v>2</v>
      </c>
      <c r="Q1476" t="str">
        <f>IFERROR(VLOOKUP(E1476,Lookups!$A$5:$B$24,2,FALSE),"Other")</f>
        <v>Other</v>
      </c>
      <c r="R1476" t="str">
        <f>IFERROR(VLOOKUP(F1476,Lookups!$D$5:$F$10,2,FALSE),"Unknown Product")</f>
        <v>Revenue Operations Suite</v>
      </c>
      <c r="S1476" t="str">
        <f>IFERROR(VLOOKUP(F1476,Lookups!$D$5:$F$10,3,FALSE),"Unknown")</f>
        <v>Revenue Ops</v>
      </c>
      <c r="T1476" t="str">
        <f t="shared" si="253"/>
        <v>Mid-Market</v>
      </c>
      <c r="U1476" t="str">
        <f t="shared" si="254"/>
        <v>Open</v>
      </c>
      <c r="V1476" s="3">
        <f t="shared" si="255"/>
        <v>0</v>
      </c>
      <c r="W1476" s="3">
        <f t="shared" si="256"/>
        <v>9660</v>
      </c>
      <c r="X1476" s="5" t="str">
        <f t="shared" si="257"/>
        <v/>
      </c>
      <c r="Y1476" s="5">
        <f>IF(U1476="Open",Lookups!$B$2-B1476,X1476)</f>
        <v>48</v>
      </c>
      <c r="Z1476" t="str">
        <f t="shared" si="258"/>
        <v>STALE</v>
      </c>
      <c r="AA1476" t="str">
        <f t="shared" si="259"/>
        <v>2026-07</v>
      </c>
      <c r="AB1476" t="str">
        <f t="shared" si="260"/>
        <v/>
      </c>
      <c r="AC1476" t="str">
        <f t="shared" si="261"/>
        <v>Q3-2026</v>
      </c>
      <c r="AD1476" s="5">
        <f t="shared" si="262"/>
        <v>56</v>
      </c>
      <c r="AE1476" t="str">
        <f t="shared" si="263"/>
        <v>Pipeline</v>
      </c>
    </row>
    <row r="1477" spans="1:31">
      <c r="A1477" t="s">
        <v>1579</v>
      </c>
      <c r="B1477" s="1">
        <v>46034</v>
      </c>
      <c r="C1477" t="s">
        <v>56</v>
      </c>
      <c r="D1477" t="s">
        <v>57</v>
      </c>
      <c r="E1477" t="s">
        <v>83</v>
      </c>
      <c r="F1477" t="s">
        <v>45</v>
      </c>
      <c r="G1477" t="s">
        <v>112</v>
      </c>
      <c r="H1477" t="s">
        <v>53</v>
      </c>
      <c r="I1477" t="s">
        <v>61</v>
      </c>
      <c r="J1477" s="1">
        <v>46089</v>
      </c>
      <c r="K1477" s="1">
        <v>46089</v>
      </c>
      <c r="L1477" s="3">
        <v>39200</v>
      </c>
      <c r="M1477" s="4">
        <v>0</v>
      </c>
      <c r="N1477" s="4">
        <v>0</v>
      </c>
      <c r="O1477" t="s">
        <v>102</v>
      </c>
      <c r="P1477">
        <v>3</v>
      </c>
      <c r="Q1477" t="str">
        <f>IFERROR(VLOOKUP(E1477,Lookups!$A$5:$B$24,2,FALSE),"Other")</f>
        <v>Organic Search</v>
      </c>
      <c r="R1477" t="str">
        <f>IFERROR(VLOOKUP(F1477,Lookups!$D$5:$F$10,2,FALSE),"Unknown Product")</f>
        <v>Service Cloud</v>
      </c>
      <c r="S1477" t="str">
        <f>IFERROR(VLOOKUP(F1477,Lookups!$D$5:$F$10,3,FALSE),"Unknown")</f>
        <v>Customer Service</v>
      </c>
      <c r="T1477" t="str">
        <f t="shared" si="253"/>
        <v>Mid-Market</v>
      </c>
      <c r="U1477" t="str">
        <f t="shared" si="254"/>
        <v>Lost</v>
      </c>
      <c r="V1477" s="3">
        <f t="shared" si="255"/>
        <v>0</v>
      </c>
      <c r="W1477" s="3">
        <f t="shared" si="256"/>
        <v>0</v>
      </c>
      <c r="X1477" s="5">
        <f t="shared" si="257"/>
        <v>55</v>
      </c>
      <c r="Y1477" s="5">
        <f>IF(U1477="Open",Lookups!$B$2-B1477,X1477)</f>
        <v>55</v>
      </c>
      <c r="Z1477" t="str">
        <f t="shared" si="258"/>
        <v>OK</v>
      </c>
      <c r="AA1477" t="str">
        <f t="shared" si="259"/>
        <v>2026-01</v>
      </c>
      <c r="AB1477" t="str">
        <f t="shared" si="260"/>
        <v>2026-03</v>
      </c>
      <c r="AC1477" t="str">
        <f t="shared" si="261"/>
        <v>Q1-2026</v>
      </c>
      <c r="AD1477" s="5">
        <f t="shared" si="262"/>
        <v>70</v>
      </c>
      <c r="AE1477" t="str">
        <f t="shared" si="263"/>
        <v>Lost</v>
      </c>
    </row>
    <row r="1478" spans="1:31">
      <c r="A1478" t="s">
        <v>1580</v>
      </c>
      <c r="B1478" s="1">
        <v>46054</v>
      </c>
      <c r="C1478" t="s">
        <v>148</v>
      </c>
      <c r="D1478" t="s">
        <v>43</v>
      </c>
      <c r="E1478" t="s">
        <v>70</v>
      </c>
      <c r="F1478" t="s">
        <v>52</v>
      </c>
      <c r="G1478" t="s">
        <v>72</v>
      </c>
      <c r="H1478" t="s">
        <v>47</v>
      </c>
      <c r="I1478" t="s">
        <v>77</v>
      </c>
      <c r="J1478" s="1">
        <v>46129</v>
      </c>
      <c r="K1478" s="1">
        <v>46129</v>
      </c>
      <c r="L1478" s="3">
        <v>4800</v>
      </c>
      <c r="M1478" s="4">
        <v>0.08</v>
      </c>
      <c r="N1478" s="4">
        <v>1</v>
      </c>
      <c r="P1478">
        <v>6</v>
      </c>
      <c r="Q1478" t="str">
        <f>IFERROR(VLOOKUP(E1478,Lookups!$A$5:$B$24,2,FALSE),"Other")</f>
        <v>LinkedIn</v>
      </c>
      <c r="R1478" t="str">
        <f>IFERROR(VLOOKUP(F1478,Lookups!$D$5:$F$10,2,FALSE),"Unknown Product")</f>
        <v>NexaCRM Core</v>
      </c>
      <c r="S1478" t="str">
        <f>IFERROR(VLOOKUP(F1478,Lookups!$D$5:$F$10,3,FALSE),"Unknown")</f>
        <v>CRM</v>
      </c>
      <c r="T1478" t="str">
        <f t="shared" si="253"/>
        <v>SMB</v>
      </c>
      <c r="U1478" t="str">
        <f t="shared" si="254"/>
        <v>Won</v>
      </c>
      <c r="V1478" s="3">
        <f t="shared" si="255"/>
        <v>4416</v>
      </c>
      <c r="W1478" s="3">
        <f t="shared" si="256"/>
        <v>0</v>
      </c>
      <c r="X1478" s="5">
        <f t="shared" si="257"/>
        <v>75</v>
      </c>
      <c r="Y1478" s="5">
        <f>IF(U1478="Open",Lookups!$B$2-B1478,X1478)</f>
        <v>75</v>
      </c>
      <c r="Z1478" t="str">
        <f t="shared" si="258"/>
        <v>OK</v>
      </c>
      <c r="AA1478" t="str">
        <f t="shared" si="259"/>
        <v>2026-02</v>
      </c>
      <c r="AB1478" t="str">
        <f t="shared" si="260"/>
        <v>2026-04</v>
      </c>
      <c r="AC1478" t="str">
        <f t="shared" si="261"/>
        <v>Q1-2026</v>
      </c>
      <c r="AD1478" s="5">
        <f t="shared" si="262"/>
        <v>43</v>
      </c>
      <c r="AE1478" t="str">
        <f t="shared" si="263"/>
        <v>Won</v>
      </c>
    </row>
    <row r="1479" spans="1:31">
      <c r="A1479" t="s">
        <v>1581</v>
      </c>
      <c r="B1479" s="1">
        <v>45748</v>
      </c>
      <c r="C1479" t="s">
        <v>86</v>
      </c>
      <c r="D1479" t="s">
        <v>87</v>
      </c>
      <c r="E1479" t="s">
        <v>138</v>
      </c>
      <c r="F1479" t="s">
        <v>52</v>
      </c>
      <c r="G1479" t="s">
        <v>46</v>
      </c>
      <c r="H1479" t="s">
        <v>53</v>
      </c>
      <c r="I1479" t="s">
        <v>61</v>
      </c>
      <c r="J1479" s="1">
        <v>45805</v>
      </c>
      <c r="K1479" s="1">
        <v>45805</v>
      </c>
      <c r="L1479" s="3">
        <v>18800</v>
      </c>
      <c r="M1479" s="4">
        <v>0</v>
      </c>
      <c r="N1479" s="4">
        <v>0</v>
      </c>
      <c r="O1479" t="s">
        <v>116</v>
      </c>
      <c r="P1479">
        <v>4</v>
      </c>
      <c r="Q1479" t="str">
        <f>IFERROR(VLOOKUP(E1479,Lookups!$A$5:$B$24,2,FALSE),"Other")</f>
        <v>Organic Search</v>
      </c>
      <c r="R1479" t="str">
        <f>IFERROR(VLOOKUP(F1479,Lookups!$D$5:$F$10,2,FALSE),"Unknown Product")</f>
        <v>NexaCRM Core</v>
      </c>
      <c r="S1479" t="str">
        <f>IFERROR(VLOOKUP(F1479,Lookups!$D$5:$F$10,3,FALSE),"Unknown")</f>
        <v>CRM</v>
      </c>
      <c r="T1479" t="str">
        <f t="shared" si="253"/>
        <v>SMB</v>
      </c>
      <c r="U1479" t="str">
        <f t="shared" si="254"/>
        <v>Lost</v>
      </c>
      <c r="V1479" s="3">
        <f t="shared" si="255"/>
        <v>0</v>
      </c>
      <c r="W1479" s="3">
        <f t="shared" si="256"/>
        <v>0</v>
      </c>
      <c r="X1479" s="5">
        <f t="shared" si="257"/>
        <v>57</v>
      </c>
      <c r="Y1479" s="5">
        <f>IF(U1479="Open",Lookups!$B$2-B1479,X1479)</f>
        <v>57</v>
      </c>
      <c r="Z1479" t="str">
        <f t="shared" si="258"/>
        <v>OK</v>
      </c>
      <c r="AA1479" t="str">
        <f t="shared" si="259"/>
        <v>2025-04</v>
      </c>
      <c r="AB1479" t="str">
        <f t="shared" si="260"/>
        <v>2025-05</v>
      </c>
      <c r="AC1479" t="str">
        <f t="shared" si="261"/>
        <v>Q2-2025</v>
      </c>
      <c r="AD1479" s="5">
        <f t="shared" si="262"/>
        <v>57</v>
      </c>
      <c r="AE1479" t="str">
        <f t="shared" si="263"/>
        <v>Lost</v>
      </c>
    </row>
    <row r="1480" spans="1:31">
      <c r="A1480" t="s">
        <v>1582</v>
      </c>
      <c r="B1480" s="1">
        <v>45944</v>
      </c>
      <c r="C1480" t="s">
        <v>69</v>
      </c>
      <c r="D1480" t="s">
        <v>57</v>
      </c>
      <c r="E1480" t="s">
        <v>138</v>
      </c>
      <c r="F1480" t="s">
        <v>67</v>
      </c>
      <c r="G1480" t="s">
        <v>60</v>
      </c>
      <c r="H1480" t="s">
        <v>47</v>
      </c>
      <c r="I1480" t="s">
        <v>61</v>
      </c>
      <c r="J1480" s="1">
        <v>45952</v>
      </c>
      <c r="K1480" s="1">
        <v>45952</v>
      </c>
      <c r="L1480" s="3">
        <v>24300</v>
      </c>
      <c r="M1480" s="4">
        <v>0</v>
      </c>
      <c r="N1480" s="4">
        <v>0</v>
      </c>
      <c r="O1480" t="s">
        <v>102</v>
      </c>
      <c r="P1480">
        <v>3</v>
      </c>
      <c r="Q1480" t="str">
        <f>IFERROR(VLOOKUP(E1480,Lookups!$A$5:$B$24,2,FALSE),"Other")</f>
        <v>Organic Search</v>
      </c>
      <c r="R1480" t="str">
        <f>IFERROR(VLOOKUP(F1480,Lookups!$D$5:$F$10,2,FALSE),"Unknown Product")</f>
        <v>Revenue Operations Suite</v>
      </c>
      <c r="S1480" t="str">
        <f>IFERROR(VLOOKUP(F1480,Lookups!$D$5:$F$10,3,FALSE),"Unknown")</f>
        <v>Revenue Ops</v>
      </c>
      <c r="T1480" t="str">
        <f t="shared" si="253"/>
        <v>Mid-Market</v>
      </c>
      <c r="U1480" t="str">
        <f t="shared" si="254"/>
        <v>Lost</v>
      </c>
      <c r="V1480" s="3">
        <f t="shared" si="255"/>
        <v>0</v>
      </c>
      <c r="W1480" s="3">
        <f t="shared" si="256"/>
        <v>0</v>
      </c>
      <c r="X1480" s="5">
        <f t="shared" si="257"/>
        <v>8</v>
      </c>
      <c r="Y1480" s="5">
        <f>IF(U1480="Open",Lookups!$B$2-B1480,X1480)</f>
        <v>8</v>
      </c>
      <c r="Z1480" t="str">
        <f t="shared" si="258"/>
        <v>OK</v>
      </c>
      <c r="AA1480" t="str">
        <f t="shared" si="259"/>
        <v>2025-10</v>
      </c>
      <c r="AB1480" t="str">
        <f t="shared" si="260"/>
        <v>2025-10</v>
      </c>
      <c r="AC1480" t="str">
        <f t="shared" si="261"/>
        <v>Q4-2025</v>
      </c>
      <c r="AD1480" s="5">
        <f t="shared" si="262"/>
        <v>57</v>
      </c>
      <c r="AE1480" t="str">
        <f t="shared" si="263"/>
        <v>Lost</v>
      </c>
    </row>
    <row r="1481" spans="1:31">
      <c r="A1481" t="s">
        <v>1583</v>
      </c>
      <c r="B1481" s="1">
        <v>46212</v>
      </c>
      <c r="C1481" t="s">
        <v>50</v>
      </c>
      <c r="D1481" t="s">
        <v>43</v>
      </c>
      <c r="E1481" t="s">
        <v>119</v>
      </c>
      <c r="F1481" t="s">
        <v>59</v>
      </c>
      <c r="G1481" t="s">
        <v>72</v>
      </c>
      <c r="H1481" t="s">
        <v>53</v>
      </c>
      <c r="I1481" t="s">
        <v>77</v>
      </c>
      <c r="J1481" s="1">
        <v>46256</v>
      </c>
      <c r="K1481" s="1">
        <v>46256</v>
      </c>
      <c r="L1481" s="3">
        <v>38300</v>
      </c>
      <c r="M1481" s="4">
        <v>0.1</v>
      </c>
      <c r="N1481" s="4">
        <v>1</v>
      </c>
      <c r="P1481">
        <v>6</v>
      </c>
      <c r="Q1481" t="str">
        <f>IFERROR(VLOOKUP(E1481,Lookups!$A$5:$B$24,2,FALSE),"Other")</f>
        <v>Referral</v>
      </c>
      <c r="R1481" t="str">
        <f>IFERROR(VLOOKUP(F1481,Lookups!$D$5:$F$10,2,FALSE),"Unknown Product")</f>
        <v>NexaCRM Pro</v>
      </c>
      <c r="S1481" t="str">
        <f>IFERROR(VLOOKUP(F1481,Lookups!$D$5:$F$10,3,FALSE),"Unknown")</f>
        <v>CRM</v>
      </c>
      <c r="T1481" t="str">
        <f t="shared" si="253"/>
        <v>Mid-Market</v>
      </c>
      <c r="U1481" t="str">
        <f t="shared" si="254"/>
        <v>Won</v>
      </c>
      <c r="V1481" s="3">
        <f t="shared" si="255"/>
        <v>34470</v>
      </c>
      <c r="W1481" s="3">
        <f t="shared" si="256"/>
        <v>0</v>
      </c>
      <c r="X1481" s="5">
        <f t="shared" si="257"/>
        <v>44</v>
      </c>
      <c r="Y1481" s="5">
        <f>IF(U1481="Open",Lookups!$B$2-B1481,X1481)</f>
        <v>44</v>
      </c>
      <c r="Z1481" t="str">
        <f t="shared" si="258"/>
        <v>OK</v>
      </c>
      <c r="AA1481" t="str">
        <f t="shared" si="259"/>
        <v>2026-07</v>
      </c>
      <c r="AB1481" t="str">
        <f t="shared" si="260"/>
        <v>2026-08</v>
      </c>
      <c r="AC1481" t="str">
        <f t="shared" si="261"/>
        <v>Q3-2026</v>
      </c>
      <c r="AD1481" s="5">
        <f t="shared" si="262"/>
        <v>70</v>
      </c>
      <c r="AE1481" t="str">
        <f t="shared" si="263"/>
        <v>Won</v>
      </c>
    </row>
    <row r="1482" spans="1:31">
      <c r="A1482" t="s">
        <v>1584</v>
      </c>
      <c r="B1482" s="1">
        <v>45802</v>
      </c>
      <c r="C1482" t="s">
        <v>64</v>
      </c>
      <c r="D1482" t="s">
        <v>57</v>
      </c>
      <c r="E1482" t="s">
        <v>70</v>
      </c>
      <c r="F1482" t="s">
        <v>52</v>
      </c>
      <c r="G1482" t="s">
        <v>76</v>
      </c>
      <c r="H1482" t="s">
        <v>84</v>
      </c>
      <c r="I1482" t="s">
        <v>61</v>
      </c>
      <c r="J1482" s="1">
        <v>45856</v>
      </c>
      <c r="K1482" s="1">
        <v>45856</v>
      </c>
      <c r="L1482" s="3">
        <v>15600</v>
      </c>
      <c r="M1482" s="4">
        <v>0</v>
      </c>
      <c r="N1482" s="4">
        <v>0</v>
      </c>
      <c r="O1482" t="s">
        <v>110</v>
      </c>
      <c r="P1482">
        <v>5</v>
      </c>
      <c r="Q1482" t="str">
        <f>IFERROR(VLOOKUP(E1482,Lookups!$A$5:$B$24,2,FALSE),"Other")</f>
        <v>LinkedIn</v>
      </c>
      <c r="R1482" t="str">
        <f>IFERROR(VLOOKUP(F1482,Lookups!$D$5:$F$10,2,FALSE),"Unknown Product")</f>
        <v>NexaCRM Core</v>
      </c>
      <c r="S1482" t="str">
        <f>IFERROR(VLOOKUP(F1482,Lookups!$D$5:$F$10,3,FALSE),"Unknown")</f>
        <v>CRM</v>
      </c>
      <c r="T1482" t="str">
        <f t="shared" si="253"/>
        <v>SMB</v>
      </c>
      <c r="U1482" t="str">
        <f t="shared" si="254"/>
        <v>Lost</v>
      </c>
      <c r="V1482" s="3">
        <f t="shared" si="255"/>
        <v>0</v>
      </c>
      <c r="W1482" s="3">
        <f t="shared" si="256"/>
        <v>0</v>
      </c>
      <c r="X1482" s="5">
        <f t="shared" si="257"/>
        <v>54</v>
      </c>
      <c r="Y1482" s="5">
        <f>IF(U1482="Open",Lookups!$B$2-B1482,X1482)</f>
        <v>54</v>
      </c>
      <c r="Z1482" t="str">
        <f t="shared" si="258"/>
        <v>OK</v>
      </c>
      <c r="AA1482" t="str">
        <f t="shared" si="259"/>
        <v>2025-05</v>
      </c>
      <c r="AB1482" t="str">
        <f t="shared" si="260"/>
        <v>2025-07</v>
      </c>
      <c r="AC1482" t="str">
        <f t="shared" si="261"/>
        <v>Q2-2025</v>
      </c>
      <c r="AD1482" s="5">
        <f t="shared" si="262"/>
        <v>59</v>
      </c>
      <c r="AE1482" t="str">
        <f t="shared" si="263"/>
        <v>Lost</v>
      </c>
    </row>
    <row r="1483" spans="1:31">
      <c r="A1483" t="s">
        <v>1585</v>
      </c>
      <c r="B1483" s="1">
        <v>46224</v>
      </c>
      <c r="C1483" t="s">
        <v>148</v>
      </c>
      <c r="D1483" t="s">
        <v>43</v>
      </c>
      <c r="E1483" t="s">
        <v>58</v>
      </c>
      <c r="F1483" t="s">
        <v>59</v>
      </c>
      <c r="G1483" t="s">
        <v>76</v>
      </c>
      <c r="H1483" t="s">
        <v>47</v>
      </c>
      <c r="I1483" t="s">
        <v>73</v>
      </c>
      <c r="J1483" s="1">
        <v>46239</v>
      </c>
      <c r="K1483" s="1"/>
      <c r="L1483" s="3">
        <v>20500</v>
      </c>
      <c r="M1483" s="4">
        <v>0.05</v>
      </c>
      <c r="N1483" s="4">
        <v>0.2</v>
      </c>
      <c r="P1483">
        <v>2</v>
      </c>
      <c r="Q1483" t="str">
        <f>IFERROR(VLOOKUP(E1483,Lookups!$A$5:$B$24,2,FALSE),"Other")</f>
        <v>Email</v>
      </c>
      <c r="R1483" t="str">
        <f>IFERROR(VLOOKUP(F1483,Lookups!$D$5:$F$10,2,FALSE),"Unknown Product")</f>
        <v>NexaCRM Pro</v>
      </c>
      <c r="S1483" t="str">
        <f>IFERROR(VLOOKUP(F1483,Lookups!$D$5:$F$10,3,FALSE),"Unknown")</f>
        <v>CRM</v>
      </c>
      <c r="T1483" t="str">
        <f t="shared" si="253"/>
        <v>Mid-Market</v>
      </c>
      <c r="U1483" t="str">
        <f t="shared" si="254"/>
        <v>Open</v>
      </c>
      <c r="V1483" s="3">
        <f t="shared" si="255"/>
        <v>0</v>
      </c>
      <c r="W1483" s="3">
        <f t="shared" si="256"/>
        <v>4100</v>
      </c>
      <c r="X1483" s="5" t="str">
        <f t="shared" si="257"/>
        <v/>
      </c>
      <c r="Y1483" s="5">
        <f>IF(U1483="Open",Lookups!$B$2-B1483,X1483)</f>
        <v>42</v>
      </c>
      <c r="Z1483" t="str">
        <f t="shared" si="258"/>
        <v>STALE</v>
      </c>
      <c r="AA1483" t="str">
        <f t="shared" si="259"/>
        <v>2026-07</v>
      </c>
      <c r="AB1483" t="str">
        <f t="shared" si="260"/>
        <v/>
      </c>
      <c r="AC1483" t="str">
        <f t="shared" si="261"/>
        <v>Q3-2026</v>
      </c>
      <c r="AD1483" s="5">
        <f t="shared" si="262"/>
        <v>55</v>
      </c>
      <c r="AE1483" t="str">
        <f t="shared" si="263"/>
        <v>Pipeline</v>
      </c>
    </row>
    <row r="1484" spans="1:31">
      <c r="A1484" t="s">
        <v>1586</v>
      </c>
      <c r="B1484" s="1">
        <v>46242</v>
      </c>
      <c r="C1484" t="s">
        <v>90</v>
      </c>
      <c r="D1484" t="s">
        <v>57</v>
      </c>
      <c r="E1484" t="s">
        <v>119</v>
      </c>
      <c r="F1484" t="s">
        <v>71</v>
      </c>
      <c r="G1484" t="s">
        <v>60</v>
      </c>
      <c r="H1484" t="s">
        <v>47</v>
      </c>
      <c r="I1484" t="s">
        <v>73</v>
      </c>
      <c r="J1484" s="1">
        <v>46263</v>
      </c>
      <c r="K1484" s="1"/>
      <c r="L1484" s="3">
        <v>19000</v>
      </c>
      <c r="M1484" s="4">
        <v>0.03</v>
      </c>
      <c r="N1484" s="4">
        <v>0.2</v>
      </c>
      <c r="P1484">
        <v>2</v>
      </c>
      <c r="Q1484" t="str">
        <f>IFERROR(VLOOKUP(E1484,Lookups!$A$5:$B$24,2,FALSE),"Other")</f>
        <v>Referral</v>
      </c>
      <c r="R1484" t="str">
        <f>IFERROR(VLOOKUP(F1484,Lookups!$D$5:$F$10,2,FALSE),"Unknown Product")</f>
        <v>Marketing Automation</v>
      </c>
      <c r="S1484" t="str">
        <f>IFERROR(VLOOKUP(F1484,Lookups!$D$5:$F$10,3,FALSE),"Unknown")</f>
        <v>Marketing</v>
      </c>
      <c r="T1484" t="str">
        <f t="shared" si="253"/>
        <v>SMB</v>
      </c>
      <c r="U1484" t="str">
        <f t="shared" si="254"/>
        <v>Open</v>
      </c>
      <c r="V1484" s="3">
        <f t="shared" si="255"/>
        <v>0</v>
      </c>
      <c r="W1484" s="3">
        <f t="shared" si="256"/>
        <v>3800</v>
      </c>
      <c r="X1484" s="5" t="str">
        <f t="shared" si="257"/>
        <v/>
      </c>
      <c r="Y1484" s="5">
        <f>IF(U1484="Open",Lookups!$B$2-B1484,X1484)</f>
        <v>24</v>
      </c>
      <c r="Z1484" t="str">
        <f t="shared" si="258"/>
        <v>OK</v>
      </c>
      <c r="AA1484" t="str">
        <f t="shared" si="259"/>
        <v>2026-08</v>
      </c>
      <c r="AB1484" t="str">
        <f t="shared" si="260"/>
        <v/>
      </c>
      <c r="AC1484" t="str">
        <f t="shared" si="261"/>
        <v>Q3-2026</v>
      </c>
      <c r="AD1484" s="5">
        <f t="shared" si="262"/>
        <v>54</v>
      </c>
      <c r="AE1484" t="str">
        <f t="shared" si="263"/>
        <v>Pipeline</v>
      </c>
    </row>
    <row r="1485" spans="1:31">
      <c r="A1485" t="s">
        <v>1587</v>
      </c>
      <c r="B1485" s="1">
        <v>45937</v>
      </c>
      <c r="C1485" t="s">
        <v>50</v>
      </c>
      <c r="D1485" t="s">
        <v>43</v>
      </c>
      <c r="E1485" t="s">
        <v>58</v>
      </c>
      <c r="F1485" t="s">
        <v>45</v>
      </c>
      <c r="G1485" t="s">
        <v>99</v>
      </c>
      <c r="H1485" t="s">
        <v>47</v>
      </c>
      <c r="I1485" t="s">
        <v>61</v>
      </c>
      <c r="J1485" s="1">
        <v>45966</v>
      </c>
      <c r="K1485" s="1">
        <v>45966</v>
      </c>
      <c r="L1485" s="3">
        <v>25000</v>
      </c>
      <c r="M1485" s="4">
        <v>0</v>
      </c>
      <c r="N1485" s="4">
        <v>0</v>
      </c>
      <c r="O1485" t="s">
        <v>62</v>
      </c>
      <c r="P1485">
        <v>4</v>
      </c>
      <c r="Q1485" t="str">
        <f>IFERROR(VLOOKUP(E1485,Lookups!$A$5:$B$24,2,FALSE),"Other")</f>
        <v>Email</v>
      </c>
      <c r="R1485" t="str">
        <f>IFERROR(VLOOKUP(F1485,Lookups!$D$5:$F$10,2,FALSE),"Unknown Product")</f>
        <v>Service Cloud</v>
      </c>
      <c r="S1485" t="str">
        <f>IFERROR(VLOOKUP(F1485,Lookups!$D$5:$F$10,3,FALSE),"Unknown")</f>
        <v>Customer Service</v>
      </c>
      <c r="T1485" t="str">
        <f t="shared" si="253"/>
        <v>Mid-Market</v>
      </c>
      <c r="U1485" t="str">
        <f t="shared" si="254"/>
        <v>Lost</v>
      </c>
      <c r="V1485" s="3">
        <f t="shared" si="255"/>
        <v>0</v>
      </c>
      <c r="W1485" s="3">
        <f t="shared" si="256"/>
        <v>0</v>
      </c>
      <c r="X1485" s="5">
        <f t="shared" si="257"/>
        <v>29</v>
      </c>
      <c r="Y1485" s="5">
        <f>IF(U1485="Open",Lookups!$B$2-B1485,X1485)</f>
        <v>29</v>
      </c>
      <c r="Z1485" t="str">
        <f t="shared" si="258"/>
        <v>OK</v>
      </c>
      <c r="AA1485" t="str">
        <f t="shared" si="259"/>
        <v>2025-10</v>
      </c>
      <c r="AB1485" t="str">
        <f t="shared" si="260"/>
        <v>2025-11</v>
      </c>
      <c r="AC1485" t="str">
        <f t="shared" si="261"/>
        <v>Q4-2025</v>
      </c>
      <c r="AD1485" s="5">
        <f t="shared" si="262"/>
        <v>55</v>
      </c>
      <c r="AE1485" t="str">
        <f t="shared" si="263"/>
        <v>Lost</v>
      </c>
    </row>
    <row r="1486" spans="1:31">
      <c r="A1486" t="s">
        <v>1588</v>
      </c>
      <c r="B1486" s="1">
        <v>46195</v>
      </c>
      <c r="C1486" t="s">
        <v>148</v>
      </c>
      <c r="D1486" t="s">
        <v>43</v>
      </c>
      <c r="E1486" t="s">
        <v>127</v>
      </c>
      <c r="F1486" t="s">
        <v>133</v>
      </c>
      <c r="G1486" t="s">
        <v>112</v>
      </c>
      <c r="H1486" t="s">
        <v>53</v>
      </c>
      <c r="I1486" t="s">
        <v>105</v>
      </c>
      <c r="J1486" s="1">
        <v>46249</v>
      </c>
      <c r="K1486" s="1"/>
      <c r="L1486" s="3">
        <v>50200</v>
      </c>
      <c r="M1486" s="4">
        <v>0.05</v>
      </c>
      <c r="N1486" s="4">
        <v>0.4</v>
      </c>
      <c r="P1486">
        <v>3</v>
      </c>
      <c r="Q1486" t="str">
        <f>IFERROR(VLOOKUP(E1486,Lookups!$A$5:$B$24,2,FALSE),"Other")</f>
        <v>Paid Search</v>
      </c>
      <c r="R1486" t="str">
        <f>IFERROR(VLOOKUP(F1486,Lookups!$D$5:$F$10,2,FALSE),"Unknown Product")</f>
        <v>Analytics Plus</v>
      </c>
      <c r="S1486" t="str">
        <f>IFERROR(VLOOKUP(F1486,Lookups!$D$5:$F$10,3,FALSE),"Unknown")</f>
        <v>Analytics</v>
      </c>
      <c r="T1486" t="str">
        <f t="shared" si="253"/>
        <v>Enterprise</v>
      </c>
      <c r="U1486" t="str">
        <f t="shared" si="254"/>
        <v>Open</v>
      </c>
      <c r="V1486" s="3">
        <f t="shared" si="255"/>
        <v>0</v>
      </c>
      <c r="W1486" s="3">
        <f t="shared" si="256"/>
        <v>20080</v>
      </c>
      <c r="X1486" s="5" t="str">
        <f t="shared" si="257"/>
        <v/>
      </c>
      <c r="Y1486" s="5">
        <f>IF(U1486="Open",Lookups!$B$2-B1486,X1486)</f>
        <v>71</v>
      </c>
      <c r="Z1486" t="str">
        <f t="shared" si="258"/>
        <v>STALE</v>
      </c>
      <c r="AA1486" t="str">
        <f t="shared" si="259"/>
        <v>2026-06</v>
      </c>
      <c r="AB1486" t="str">
        <f t="shared" si="260"/>
        <v/>
      </c>
      <c r="AC1486" t="str">
        <f t="shared" si="261"/>
        <v>Q2-2026</v>
      </c>
      <c r="AD1486" s="5">
        <f t="shared" si="262"/>
        <v>71</v>
      </c>
      <c r="AE1486" t="str">
        <f t="shared" si="263"/>
        <v>Pipeline</v>
      </c>
    </row>
    <row r="1487" spans="1:31">
      <c r="A1487" t="s">
        <v>1589</v>
      </c>
      <c r="B1487" s="1">
        <v>45704</v>
      </c>
      <c r="C1487" t="s">
        <v>86</v>
      </c>
      <c r="D1487" t="s">
        <v>87</v>
      </c>
      <c r="E1487" t="s">
        <v>70</v>
      </c>
      <c r="F1487" t="s">
        <v>133</v>
      </c>
      <c r="G1487" t="s">
        <v>72</v>
      </c>
      <c r="H1487" t="s">
        <v>53</v>
      </c>
      <c r="I1487" t="s">
        <v>61</v>
      </c>
      <c r="J1487" s="1">
        <v>45729</v>
      </c>
      <c r="K1487" s="1">
        <v>45729</v>
      </c>
      <c r="L1487" s="3">
        <v>52500</v>
      </c>
      <c r="M1487" s="4">
        <v>0</v>
      </c>
      <c r="N1487" s="4">
        <v>0</v>
      </c>
      <c r="O1487" t="s">
        <v>116</v>
      </c>
      <c r="P1487">
        <v>5</v>
      </c>
      <c r="Q1487" t="str">
        <f>IFERROR(VLOOKUP(E1487,Lookups!$A$5:$B$24,2,FALSE),"Other")</f>
        <v>LinkedIn</v>
      </c>
      <c r="R1487" t="str">
        <f>IFERROR(VLOOKUP(F1487,Lookups!$D$5:$F$10,2,FALSE),"Unknown Product")</f>
        <v>Analytics Plus</v>
      </c>
      <c r="S1487" t="str">
        <f>IFERROR(VLOOKUP(F1487,Lookups!$D$5:$F$10,3,FALSE),"Unknown")</f>
        <v>Analytics</v>
      </c>
      <c r="T1487" t="str">
        <f t="shared" si="253"/>
        <v>Enterprise</v>
      </c>
      <c r="U1487" t="str">
        <f t="shared" si="254"/>
        <v>Lost</v>
      </c>
      <c r="V1487" s="3">
        <f t="shared" si="255"/>
        <v>0</v>
      </c>
      <c r="W1487" s="3">
        <f t="shared" si="256"/>
        <v>0</v>
      </c>
      <c r="X1487" s="5">
        <f t="shared" si="257"/>
        <v>25</v>
      </c>
      <c r="Y1487" s="5">
        <f>IF(U1487="Open",Lookups!$B$2-B1487,X1487)</f>
        <v>25</v>
      </c>
      <c r="Z1487" t="str">
        <f t="shared" si="258"/>
        <v>OK</v>
      </c>
      <c r="AA1487" t="str">
        <f t="shared" si="259"/>
        <v>2025-02</v>
      </c>
      <c r="AB1487" t="str">
        <f t="shared" si="260"/>
        <v>2025-03</v>
      </c>
      <c r="AC1487" t="str">
        <f t="shared" si="261"/>
        <v>Q1-2025</v>
      </c>
      <c r="AD1487" s="5">
        <f t="shared" si="262"/>
        <v>66</v>
      </c>
      <c r="AE1487" t="str">
        <f t="shared" si="263"/>
        <v>Lost</v>
      </c>
    </row>
    <row r="1488" spans="1:31">
      <c r="A1488" t="s">
        <v>1590</v>
      </c>
      <c r="B1488" s="1">
        <v>46178</v>
      </c>
      <c r="C1488" t="s">
        <v>69</v>
      </c>
      <c r="D1488" t="s">
        <v>57</v>
      </c>
      <c r="E1488" t="s">
        <v>160</v>
      </c>
      <c r="F1488" t="s">
        <v>133</v>
      </c>
      <c r="G1488" t="s">
        <v>94</v>
      </c>
      <c r="H1488" t="s">
        <v>47</v>
      </c>
      <c r="I1488" t="s">
        <v>61</v>
      </c>
      <c r="J1488" s="1">
        <v>46192</v>
      </c>
      <c r="K1488" s="1">
        <v>46192</v>
      </c>
      <c r="L1488" s="3">
        <v>30000</v>
      </c>
      <c r="M1488" s="4">
        <v>0</v>
      </c>
      <c r="N1488" s="4">
        <v>0</v>
      </c>
      <c r="O1488" t="s">
        <v>79</v>
      </c>
      <c r="P1488">
        <v>5</v>
      </c>
      <c r="Q1488" t="str">
        <f>IFERROR(VLOOKUP(E1488,Lookups!$A$5:$B$24,2,FALSE),"Other")</f>
        <v>Email</v>
      </c>
      <c r="R1488" t="str">
        <f>IFERROR(VLOOKUP(F1488,Lookups!$D$5:$F$10,2,FALSE),"Unknown Product")</f>
        <v>Analytics Plus</v>
      </c>
      <c r="S1488" t="str">
        <f>IFERROR(VLOOKUP(F1488,Lookups!$D$5:$F$10,3,FALSE),"Unknown")</f>
        <v>Analytics</v>
      </c>
      <c r="T1488" t="str">
        <f t="shared" si="253"/>
        <v>Mid-Market</v>
      </c>
      <c r="U1488" t="str">
        <f t="shared" si="254"/>
        <v>Lost</v>
      </c>
      <c r="V1488" s="3">
        <f t="shared" si="255"/>
        <v>0</v>
      </c>
      <c r="W1488" s="3">
        <f t="shared" si="256"/>
        <v>0</v>
      </c>
      <c r="X1488" s="5">
        <f t="shared" si="257"/>
        <v>14</v>
      </c>
      <c r="Y1488" s="5">
        <f>IF(U1488="Open",Lookups!$B$2-B1488,X1488)</f>
        <v>14</v>
      </c>
      <c r="Z1488" t="str">
        <f t="shared" si="258"/>
        <v>OK</v>
      </c>
      <c r="AA1488" t="str">
        <f t="shared" si="259"/>
        <v>2026-06</v>
      </c>
      <c r="AB1488" t="str">
        <f t="shared" si="260"/>
        <v>2026-06</v>
      </c>
      <c r="AC1488" t="str">
        <f t="shared" si="261"/>
        <v>Q2-2026</v>
      </c>
      <c r="AD1488" s="5">
        <f t="shared" si="262"/>
        <v>55</v>
      </c>
      <c r="AE1488" t="str">
        <f t="shared" si="263"/>
        <v>Lost</v>
      </c>
    </row>
    <row r="1489" spans="1:31">
      <c r="A1489" t="s">
        <v>1591</v>
      </c>
      <c r="B1489" s="1">
        <v>45943</v>
      </c>
      <c r="C1489" t="s">
        <v>69</v>
      </c>
      <c r="D1489" t="s">
        <v>57</v>
      </c>
      <c r="E1489" t="s">
        <v>160</v>
      </c>
      <c r="F1489" t="s">
        <v>59</v>
      </c>
      <c r="G1489" t="s">
        <v>94</v>
      </c>
      <c r="H1489" t="s">
        <v>53</v>
      </c>
      <c r="I1489" t="s">
        <v>61</v>
      </c>
      <c r="J1489" s="1">
        <v>46012</v>
      </c>
      <c r="K1489" s="1">
        <v>46012</v>
      </c>
      <c r="L1489" s="3">
        <v>23100</v>
      </c>
      <c r="M1489" s="4">
        <v>0</v>
      </c>
      <c r="N1489" s="4">
        <v>0</v>
      </c>
      <c r="O1489" t="s">
        <v>110</v>
      </c>
      <c r="P1489">
        <v>3</v>
      </c>
      <c r="Q1489" t="str">
        <f>IFERROR(VLOOKUP(E1489,Lookups!$A$5:$B$24,2,FALSE),"Other")</f>
        <v>Email</v>
      </c>
      <c r="R1489" t="str">
        <f>IFERROR(VLOOKUP(F1489,Lookups!$D$5:$F$10,2,FALSE),"Unknown Product")</f>
        <v>NexaCRM Pro</v>
      </c>
      <c r="S1489" t="str">
        <f>IFERROR(VLOOKUP(F1489,Lookups!$D$5:$F$10,3,FALSE),"Unknown")</f>
        <v>CRM</v>
      </c>
      <c r="T1489" t="str">
        <f t="shared" si="253"/>
        <v>Mid-Market</v>
      </c>
      <c r="U1489" t="str">
        <f t="shared" si="254"/>
        <v>Lost</v>
      </c>
      <c r="V1489" s="3">
        <f t="shared" si="255"/>
        <v>0</v>
      </c>
      <c r="W1489" s="3">
        <f t="shared" si="256"/>
        <v>0</v>
      </c>
      <c r="X1489" s="5">
        <f t="shared" si="257"/>
        <v>69</v>
      </c>
      <c r="Y1489" s="5">
        <f>IF(U1489="Open",Lookups!$B$2-B1489,X1489)</f>
        <v>69</v>
      </c>
      <c r="Z1489" t="str">
        <f t="shared" si="258"/>
        <v>OK</v>
      </c>
      <c r="AA1489" t="str">
        <f t="shared" si="259"/>
        <v>2025-10</v>
      </c>
      <c r="AB1489" t="str">
        <f t="shared" si="260"/>
        <v>2025-12</v>
      </c>
      <c r="AC1489" t="str">
        <f t="shared" si="261"/>
        <v>Q4-2025</v>
      </c>
      <c r="AD1489" s="5">
        <f t="shared" si="262"/>
        <v>63</v>
      </c>
      <c r="AE1489" t="str">
        <f t="shared" si="263"/>
        <v>Lost</v>
      </c>
    </row>
    <row r="1490" spans="1:31">
      <c r="A1490" t="s">
        <v>1592</v>
      </c>
      <c r="B1490" s="1">
        <v>45914</v>
      </c>
      <c r="C1490" t="s">
        <v>50</v>
      </c>
      <c r="D1490" t="s">
        <v>43</v>
      </c>
      <c r="E1490" t="s">
        <v>138</v>
      </c>
      <c r="F1490" t="s">
        <v>45</v>
      </c>
      <c r="G1490" t="s">
        <v>99</v>
      </c>
      <c r="H1490" t="s">
        <v>53</v>
      </c>
      <c r="I1490" t="s">
        <v>61</v>
      </c>
      <c r="J1490" s="1">
        <v>45956</v>
      </c>
      <c r="K1490" s="1">
        <v>45956</v>
      </c>
      <c r="L1490" s="3">
        <v>33100</v>
      </c>
      <c r="M1490" s="4">
        <v>0</v>
      </c>
      <c r="N1490" s="4">
        <v>0</v>
      </c>
      <c r="O1490" t="s">
        <v>110</v>
      </c>
      <c r="P1490">
        <v>4</v>
      </c>
      <c r="Q1490" t="str">
        <f>IFERROR(VLOOKUP(E1490,Lookups!$A$5:$B$24,2,FALSE),"Other")</f>
        <v>Organic Search</v>
      </c>
      <c r="R1490" t="str">
        <f>IFERROR(VLOOKUP(F1490,Lookups!$D$5:$F$10,2,FALSE),"Unknown Product")</f>
        <v>Service Cloud</v>
      </c>
      <c r="S1490" t="str">
        <f>IFERROR(VLOOKUP(F1490,Lookups!$D$5:$F$10,3,FALSE),"Unknown")</f>
        <v>Customer Service</v>
      </c>
      <c r="T1490" t="str">
        <f t="shared" si="253"/>
        <v>Mid-Market</v>
      </c>
      <c r="U1490" t="str">
        <f t="shared" si="254"/>
        <v>Lost</v>
      </c>
      <c r="V1490" s="3">
        <f t="shared" si="255"/>
        <v>0</v>
      </c>
      <c r="W1490" s="3">
        <f t="shared" si="256"/>
        <v>0</v>
      </c>
      <c r="X1490" s="5">
        <f t="shared" si="257"/>
        <v>42</v>
      </c>
      <c r="Y1490" s="5">
        <f>IF(U1490="Open",Lookups!$B$2-B1490,X1490)</f>
        <v>42</v>
      </c>
      <c r="Z1490" t="str">
        <f t="shared" si="258"/>
        <v>OK</v>
      </c>
      <c r="AA1490" t="str">
        <f t="shared" si="259"/>
        <v>2025-09</v>
      </c>
      <c r="AB1490" t="str">
        <f t="shared" si="260"/>
        <v>2025-10</v>
      </c>
      <c r="AC1490" t="str">
        <f t="shared" si="261"/>
        <v>Q3-2025</v>
      </c>
      <c r="AD1490" s="5">
        <f t="shared" si="262"/>
        <v>65</v>
      </c>
      <c r="AE1490" t="str">
        <f t="shared" si="263"/>
        <v>Lost</v>
      </c>
    </row>
    <row r="1491" spans="1:31">
      <c r="A1491" t="s">
        <v>1593</v>
      </c>
      <c r="B1491" s="1">
        <v>45741</v>
      </c>
      <c r="C1491" t="s">
        <v>148</v>
      </c>
      <c r="D1491" t="s">
        <v>43</v>
      </c>
      <c r="E1491" t="s">
        <v>65</v>
      </c>
      <c r="F1491" t="s">
        <v>67</v>
      </c>
      <c r="G1491" t="s">
        <v>72</v>
      </c>
      <c r="H1491" t="s">
        <v>53</v>
      </c>
      <c r="I1491" t="s">
        <v>61</v>
      </c>
      <c r="J1491" s="1">
        <v>45779</v>
      </c>
      <c r="K1491" s="1">
        <v>45779</v>
      </c>
      <c r="L1491" s="3">
        <v>46900</v>
      </c>
      <c r="M1491" s="4">
        <v>0</v>
      </c>
      <c r="N1491" s="4">
        <v>0</v>
      </c>
      <c r="O1491" t="s">
        <v>116</v>
      </c>
      <c r="P1491">
        <v>2</v>
      </c>
      <c r="Q1491" t="str">
        <f>IFERROR(VLOOKUP(E1491,Lookups!$A$5:$B$24,2,FALSE),"Other")</f>
        <v>Paid Search</v>
      </c>
      <c r="R1491" t="str">
        <f>IFERROR(VLOOKUP(F1491,Lookups!$D$5:$F$10,2,FALSE),"Unknown Product")</f>
        <v>Revenue Operations Suite</v>
      </c>
      <c r="S1491" t="str">
        <f>IFERROR(VLOOKUP(F1491,Lookups!$D$5:$F$10,3,FALSE),"Unknown")</f>
        <v>Revenue Ops</v>
      </c>
      <c r="T1491" t="str">
        <f t="shared" si="253"/>
        <v>Mid-Market</v>
      </c>
      <c r="U1491" t="str">
        <f t="shared" si="254"/>
        <v>Lost</v>
      </c>
      <c r="V1491" s="3">
        <f t="shared" si="255"/>
        <v>0</v>
      </c>
      <c r="W1491" s="3">
        <f t="shared" si="256"/>
        <v>0</v>
      </c>
      <c r="X1491" s="5">
        <f t="shared" si="257"/>
        <v>38</v>
      </c>
      <c r="Y1491" s="5">
        <f>IF(U1491="Open",Lookups!$B$2-B1491,X1491)</f>
        <v>38</v>
      </c>
      <c r="Z1491" t="str">
        <f t="shared" si="258"/>
        <v>OK</v>
      </c>
      <c r="AA1491" t="str">
        <f t="shared" si="259"/>
        <v>2025-03</v>
      </c>
      <c r="AB1491" t="str">
        <f t="shared" si="260"/>
        <v>2025-05</v>
      </c>
      <c r="AC1491" t="str">
        <f t="shared" si="261"/>
        <v>Q1-2025</v>
      </c>
      <c r="AD1491" s="5">
        <f t="shared" si="262"/>
        <v>59</v>
      </c>
      <c r="AE1491" t="str">
        <f t="shared" si="263"/>
        <v>Lost</v>
      </c>
    </row>
    <row r="1492" spans="1:31">
      <c r="A1492" t="s">
        <v>1594</v>
      </c>
      <c r="B1492" s="1">
        <v>45962</v>
      </c>
      <c r="C1492" t="s">
        <v>56</v>
      </c>
      <c r="D1492" t="s">
        <v>57</v>
      </c>
      <c r="E1492" t="s">
        <v>65</v>
      </c>
      <c r="F1492" t="s">
        <v>71</v>
      </c>
      <c r="G1492" t="s">
        <v>72</v>
      </c>
      <c r="H1492" t="s">
        <v>84</v>
      </c>
      <c r="I1492" t="s">
        <v>48</v>
      </c>
      <c r="J1492" s="1">
        <v>46101</v>
      </c>
      <c r="K1492" s="1"/>
      <c r="L1492" s="3">
        <v>49900</v>
      </c>
      <c r="M1492" s="4">
        <v>0</v>
      </c>
      <c r="N1492" s="4">
        <v>0.85</v>
      </c>
      <c r="P1492">
        <v>5</v>
      </c>
      <c r="Q1492" t="str">
        <f>IFERROR(VLOOKUP(E1492,Lookups!$A$5:$B$24,2,FALSE),"Other")</f>
        <v>Paid Search</v>
      </c>
      <c r="R1492" t="str">
        <f>IFERROR(VLOOKUP(F1492,Lookups!$D$5:$F$10,2,FALSE),"Unknown Product")</f>
        <v>Marketing Automation</v>
      </c>
      <c r="S1492" t="str">
        <f>IFERROR(VLOOKUP(F1492,Lookups!$D$5:$F$10,3,FALSE),"Unknown")</f>
        <v>Marketing</v>
      </c>
      <c r="T1492" t="str">
        <f t="shared" si="253"/>
        <v>Mid-Market</v>
      </c>
      <c r="U1492" t="str">
        <f t="shared" si="254"/>
        <v>Open</v>
      </c>
      <c r="V1492" s="3">
        <f t="shared" si="255"/>
        <v>0</v>
      </c>
      <c r="W1492" s="3">
        <f t="shared" si="256"/>
        <v>42415</v>
      </c>
      <c r="X1492" s="5" t="str">
        <f t="shared" si="257"/>
        <v/>
      </c>
      <c r="Y1492" s="5">
        <f>IF(U1492="Open",Lookups!$B$2-B1492,X1492)</f>
        <v>304</v>
      </c>
      <c r="Z1492" t="str">
        <f t="shared" si="258"/>
        <v>STALE</v>
      </c>
      <c r="AA1492" t="str">
        <f t="shared" si="259"/>
        <v>2025-11</v>
      </c>
      <c r="AB1492" t="str">
        <f t="shared" si="260"/>
        <v/>
      </c>
      <c r="AC1492" t="str">
        <f t="shared" si="261"/>
        <v>Q4-2025</v>
      </c>
      <c r="AD1492" s="5">
        <f t="shared" si="262"/>
        <v>67</v>
      </c>
      <c r="AE1492" t="str">
        <f t="shared" si="263"/>
        <v>Commit</v>
      </c>
    </row>
    <row r="1493" spans="1:31">
      <c r="A1493" t="s">
        <v>1595</v>
      </c>
      <c r="B1493" s="1">
        <v>45841</v>
      </c>
      <c r="C1493" t="s">
        <v>90</v>
      </c>
      <c r="D1493" t="s">
        <v>57</v>
      </c>
      <c r="E1493" t="s">
        <v>92</v>
      </c>
      <c r="F1493" t="s">
        <v>133</v>
      </c>
      <c r="G1493" t="s">
        <v>94</v>
      </c>
      <c r="H1493" t="s">
        <v>47</v>
      </c>
      <c r="I1493" t="s">
        <v>77</v>
      </c>
      <c r="J1493" s="1">
        <v>45905</v>
      </c>
      <c r="K1493" s="1">
        <v>45905</v>
      </c>
      <c r="L1493" s="3">
        <v>16600</v>
      </c>
      <c r="M1493" s="4">
        <v>0</v>
      </c>
      <c r="N1493" s="4">
        <v>1</v>
      </c>
      <c r="P1493">
        <v>6</v>
      </c>
      <c r="Q1493" t="str">
        <f>IFERROR(VLOOKUP(E1493,Lookups!$A$5:$B$24,2,FALSE),"Other")</f>
        <v>Webinar</v>
      </c>
      <c r="R1493" t="str">
        <f>IFERROR(VLOOKUP(F1493,Lookups!$D$5:$F$10,2,FALSE),"Unknown Product")</f>
        <v>Analytics Plus</v>
      </c>
      <c r="S1493" t="str">
        <f>IFERROR(VLOOKUP(F1493,Lookups!$D$5:$F$10,3,FALSE),"Unknown")</f>
        <v>Analytics</v>
      </c>
      <c r="T1493" t="str">
        <f t="shared" si="253"/>
        <v>SMB</v>
      </c>
      <c r="U1493" t="str">
        <f t="shared" si="254"/>
        <v>Won</v>
      </c>
      <c r="V1493" s="3">
        <f t="shared" si="255"/>
        <v>16600</v>
      </c>
      <c r="W1493" s="3">
        <f t="shared" si="256"/>
        <v>0</v>
      </c>
      <c r="X1493" s="5">
        <f t="shared" si="257"/>
        <v>64</v>
      </c>
      <c r="Y1493" s="5">
        <f>IF(U1493="Open",Lookups!$B$2-B1493,X1493)</f>
        <v>64</v>
      </c>
      <c r="Z1493" t="str">
        <f t="shared" si="258"/>
        <v>OK</v>
      </c>
      <c r="AA1493" t="str">
        <f t="shared" si="259"/>
        <v>2025-07</v>
      </c>
      <c r="AB1493" t="str">
        <f t="shared" si="260"/>
        <v>2025-09</v>
      </c>
      <c r="AC1493" t="str">
        <f t="shared" si="261"/>
        <v>Q3-2025</v>
      </c>
      <c r="AD1493" s="5">
        <f t="shared" si="262"/>
        <v>43</v>
      </c>
      <c r="AE1493" t="str">
        <f t="shared" si="263"/>
        <v>Won</v>
      </c>
    </row>
    <row r="1494" spans="1:31">
      <c r="A1494" t="s">
        <v>1596</v>
      </c>
      <c r="B1494" s="1">
        <v>46149</v>
      </c>
      <c r="C1494" t="s">
        <v>50</v>
      </c>
      <c r="D1494" t="s">
        <v>43</v>
      </c>
      <c r="E1494" t="s">
        <v>138</v>
      </c>
      <c r="F1494" t="s">
        <v>71</v>
      </c>
      <c r="G1494" t="s">
        <v>76</v>
      </c>
      <c r="H1494" t="s">
        <v>47</v>
      </c>
      <c r="I1494" t="s">
        <v>77</v>
      </c>
      <c r="J1494" s="1">
        <v>46202</v>
      </c>
      <c r="K1494" s="1">
        <v>46202</v>
      </c>
      <c r="L1494" s="3">
        <v>17200</v>
      </c>
      <c r="M1494" s="4">
        <v>0</v>
      </c>
      <c r="N1494" s="4">
        <v>1</v>
      </c>
      <c r="P1494">
        <v>6</v>
      </c>
      <c r="Q1494" t="str">
        <f>IFERROR(VLOOKUP(E1494,Lookups!$A$5:$B$24,2,FALSE),"Other")</f>
        <v>Organic Search</v>
      </c>
      <c r="R1494" t="str">
        <f>IFERROR(VLOOKUP(F1494,Lookups!$D$5:$F$10,2,FALSE),"Unknown Product")</f>
        <v>Marketing Automation</v>
      </c>
      <c r="S1494" t="str">
        <f>IFERROR(VLOOKUP(F1494,Lookups!$D$5:$F$10,3,FALSE),"Unknown")</f>
        <v>Marketing</v>
      </c>
      <c r="T1494" t="str">
        <f t="shared" si="253"/>
        <v>SMB</v>
      </c>
      <c r="U1494" t="str">
        <f t="shared" si="254"/>
        <v>Won</v>
      </c>
      <c r="V1494" s="3">
        <f t="shared" si="255"/>
        <v>17200</v>
      </c>
      <c r="W1494" s="3">
        <f t="shared" si="256"/>
        <v>0</v>
      </c>
      <c r="X1494" s="5">
        <f t="shared" si="257"/>
        <v>53</v>
      </c>
      <c r="Y1494" s="5">
        <f>IF(U1494="Open",Lookups!$B$2-B1494,X1494)</f>
        <v>53</v>
      </c>
      <c r="Z1494" t="str">
        <f t="shared" si="258"/>
        <v>OK</v>
      </c>
      <c r="AA1494" t="str">
        <f t="shared" si="259"/>
        <v>2026-05</v>
      </c>
      <c r="AB1494" t="str">
        <f t="shared" si="260"/>
        <v>2026-06</v>
      </c>
      <c r="AC1494" t="str">
        <f t="shared" si="261"/>
        <v>Q2-2026</v>
      </c>
      <c r="AD1494" s="5">
        <f t="shared" si="262"/>
        <v>49</v>
      </c>
      <c r="AE1494" t="str">
        <f t="shared" si="263"/>
        <v>Won</v>
      </c>
    </row>
    <row r="1495" spans="1:31">
      <c r="A1495" t="s">
        <v>1597</v>
      </c>
      <c r="B1495" s="1">
        <v>46257</v>
      </c>
      <c r="C1495" t="s">
        <v>90</v>
      </c>
      <c r="D1495" t="s">
        <v>57</v>
      </c>
      <c r="E1495" t="s">
        <v>92</v>
      </c>
      <c r="F1495" t="s">
        <v>133</v>
      </c>
      <c r="G1495" t="s">
        <v>112</v>
      </c>
      <c r="H1495" t="s">
        <v>47</v>
      </c>
      <c r="I1495" t="s">
        <v>73</v>
      </c>
      <c r="J1495" s="1">
        <v>46260</v>
      </c>
      <c r="K1495" s="1"/>
      <c r="L1495" s="3">
        <v>26500</v>
      </c>
      <c r="M1495" s="4">
        <v>0</v>
      </c>
      <c r="N1495" s="4">
        <v>0.2</v>
      </c>
      <c r="P1495">
        <v>2</v>
      </c>
      <c r="Q1495" t="str">
        <f>IFERROR(VLOOKUP(E1495,Lookups!$A$5:$B$24,2,FALSE),"Other")</f>
        <v>Webinar</v>
      </c>
      <c r="R1495" t="str">
        <f>IFERROR(VLOOKUP(F1495,Lookups!$D$5:$F$10,2,FALSE),"Unknown Product")</f>
        <v>Analytics Plus</v>
      </c>
      <c r="S1495" t="str">
        <f>IFERROR(VLOOKUP(F1495,Lookups!$D$5:$F$10,3,FALSE),"Unknown")</f>
        <v>Analytics</v>
      </c>
      <c r="T1495" t="str">
        <f t="shared" si="253"/>
        <v>Mid-Market</v>
      </c>
      <c r="U1495" t="str">
        <f t="shared" si="254"/>
        <v>Open</v>
      </c>
      <c r="V1495" s="3">
        <f t="shared" si="255"/>
        <v>0</v>
      </c>
      <c r="W1495" s="3">
        <f t="shared" si="256"/>
        <v>5300</v>
      </c>
      <c r="X1495" s="5" t="str">
        <f t="shared" si="257"/>
        <v/>
      </c>
      <c r="Y1495" s="5">
        <f>IF(U1495="Open",Lookups!$B$2-B1495,X1495)</f>
        <v>9</v>
      </c>
      <c r="Z1495" t="str">
        <f t="shared" si="258"/>
        <v>OK</v>
      </c>
      <c r="AA1495" t="str">
        <f t="shared" si="259"/>
        <v>2026-08</v>
      </c>
      <c r="AB1495" t="str">
        <f t="shared" si="260"/>
        <v/>
      </c>
      <c r="AC1495" t="str">
        <f t="shared" si="261"/>
        <v>Q3-2026</v>
      </c>
      <c r="AD1495" s="5">
        <f t="shared" si="262"/>
        <v>56</v>
      </c>
      <c r="AE1495" t="str">
        <f t="shared" si="263"/>
        <v>Pipeline</v>
      </c>
    </row>
    <row r="1496" spans="1:31">
      <c r="A1496" t="s">
        <v>1598</v>
      </c>
      <c r="B1496" s="1">
        <v>46241</v>
      </c>
      <c r="C1496" t="s">
        <v>56</v>
      </c>
      <c r="D1496" t="s">
        <v>57</v>
      </c>
      <c r="E1496" t="s">
        <v>44</v>
      </c>
      <c r="F1496" t="s">
        <v>67</v>
      </c>
      <c r="G1496" t="s">
        <v>112</v>
      </c>
      <c r="H1496" t="s">
        <v>47</v>
      </c>
      <c r="I1496" t="s">
        <v>73</v>
      </c>
      <c r="J1496" s="1">
        <v>46252</v>
      </c>
      <c r="K1496" s="1"/>
      <c r="L1496" s="3">
        <v>47600</v>
      </c>
      <c r="M1496" s="4">
        <v>0.05</v>
      </c>
      <c r="N1496" s="4">
        <v>0.2</v>
      </c>
      <c r="P1496">
        <v>2</v>
      </c>
      <c r="Q1496" t="str">
        <f>IFERROR(VLOOKUP(E1496,Lookups!$A$5:$B$24,2,FALSE),"Other")</f>
        <v>Organic Search</v>
      </c>
      <c r="R1496" t="str">
        <f>IFERROR(VLOOKUP(F1496,Lookups!$D$5:$F$10,2,FALSE),"Unknown Product")</f>
        <v>Revenue Operations Suite</v>
      </c>
      <c r="S1496" t="str">
        <f>IFERROR(VLOOKUP(F1496,Lookups!$D$5:$F$10,3,FALSE),"Unknown")</f>
        <v>Revenue Ops</v>
      </c>
      <c r="T1496" t="str">
        <f t="shared" si="253"/>
        <v>Mid-Market</v>
      </c>
      <c r="U1496" t="str">
        <f t="shared" si="254"/>
        <v>Open</v>
      </c>
      <c r="V1496" s="3">
        <f t="shared" si="255"/>
        <v>0</v>
      </c>
      <c r="W1496" s="3">
        <f t="shared" si="256"/>
        <v>9520</v>
      </c>
      <c r="X1496" s="5" t="str">
        <f t="shared" si="257"/>
        <v/>
      </c>
      <c r="Y1496" s="5">
        <f>IF(U1496="Open",Lookups!$B$2-B1496,X1496)</f>
        <v>25</v>
      </c>
      <c r="Z1496" t="str">
        <f t="shared" si="258"/>
        <v>OK</v>
      </c>
      <c r="AA1496" t="str">
        <f t="shared" si="259"/>
        <v>2026-08</v>
      </c>
      <c r="AB1496" t="str">
        <f t="shared" si="260"/>
        <v/>
      </c>
      <c r="AC1496" t="str">
        <f t="shared" si="261"/>
        <v>Q3-2026</v>
      </c>
      <c r="AD1496" s="5">
        <f t="shared" si="262"/>
        <v>62</v>
      </c>
      <c r="AE1496" t="str">
        <f t="shared" si="263"/>
        <v>Pipeline</v>
      </c>
    </row>
    <row r="1497" spans="1:31">
      <c r="A1497" t="s">
        <v>1599</v>
      </c>
      <c r="B1497" s="1">
        <v>45740</v>
      </c>
      <c r="C1497" t="s">
        <v>56</v>
      </c>
      <c r="D1497" t="s">
        <v>57</v>
      </c>
      <c r="E1497" t="s">
        <v>127</v>
      </c>
      <c r="F1497" t="s">
        <v>71</v>
      </c>
      <c r="G1497" t="s">
        <v>60</v>
      </c>
      <c r="H1497" t="s">
        <v>47</v>
      </c>
      <c r="I1497" t="s">
        <v>48</v>
      </c>
      <c r="J1497" s="1">
        <v>46183</v>
      </c>
      <c r="K1497" s="1"/>
      <c r="L1497" s="3">
        <v>9100</v>
      </c>
      <c r="M1497" s="4">
        <v>0.05</v>
      </c>
      <c r="N1497" s="4">
        <v>0.85</v>
      </c>
      <c r="P1497">
        <v>5</v>
      </c>
      <c r="Q1497" t="str">
        <f>IFERROR(VLOOKUP(E1497,Lookups!$A$5:$B$24,2,FALSE),"Other")</f>
        <v>Paid Search</v>
      </c>
      <c r="R1497" t="str">
        <f>IFERROR(VLOOKUP(F1497,Lookups!$D$5:$F$10,2,FALSE),"Unknown Product")</f>
        <v>Marketing Automation</v>
      </c>
      <c r="S1497" t="str">
        <f>IFERROR(VLOOKUP(F1497,Lookups!$D$5:$F$10,3,FALSE),"Unknown")</f>
        <v>Marketing</v>
      </c>
      <c r="T1497" t="str">
        <f t="shared" si="253"/>
        <v>SMB</v>
      </c>
      <c r="U1497" t="str">
        <f t="shared" si="254"/>
        <v>Open</v>
      </c>
      <c r="V1497" s="3">
        <f t="shared" si="255"/>
        <v>0</v>
      </c>
      <c r="W1497" s="3">
        <f t="shared" si="256"/>
        <v>7735</v>
      </c>
      <c r="X1497" s="5" t="str">
        <f t="shared" si="257"/>
        <v/>
      </c>
      <c r="Y1497" s="5">
        <f>IF(U1497="Open",Lookups!$B$2-B1497,X1497)</f>
        <v>526</v>
      </c>
      <c r="Z1497" t="str">
        <f t="shared" si="258"/>
        <v>STALE</v>
      </c>
      <c r="AA1497" t="str">
        <f t="shared" si="259"/>
        <v>2025-03</v>
      </c>
      <c r="AB1497" t="str">
        <f t="shared" si="260"/>
        <v/>
      </c>
      <c r="AC1497" t="str">
        <f t="shared" si="261"/>
        <v>Q1-2025</v>
      </c>
      <c r="AD1497" s="5">
        <f t="shared" si="262"/>
        <v>43</v>
      </c>
      <c r="AE1497" t="str">
        <f t="shared" si="263"/>
        <v>Commit</v>
      </c>
    </row>
    <row r="1498" spans="1:31">
      <c r="A1498" t="s">
        <v>1600</v>
      </c>
      <c r="B1498" s="1">
        <v>45879</v>
      </c>
      <c r="C1498" t="s">
        <v>50</v>
      </c>
      <c r="D1498" t="s">
        <v>43</v>
      </c>
      <c r="E1498" t="s">
        <v>123</v>
      </c>
      <c r="F1498" t="s">
        <v>59</v>
      </c>
      <c r="G1498" t="s">
        <v>46</v>
      </c>
      <c r="H1498" t="s">
        <v>84</v>
      </c>
      <c r="I1498" t="s">
        <v>61</v>
      </c>
      <c r="J1498" s="1">
        <v>45938</v>
      </c>
      <c r="K1498" s="1">
        <v>45938</v>
      </c>
      <c r="L1498" s="3">
        <v>60500</v>
      </c>
      <c r="M1498" s="4">
        <v>0</v>
      </c>
      <c r="N1498" s="4">
        <v>0</v>
      </c>
      <c r="O1498" t="s">
        <v>116</v>
      </c>
      <c r="P1498">
        <v>3</v>
      </c>
      <c r="Q1498" t="str">
        <f>IFERROR(VLOOKUP(E1498,Lookups!$A$5:$B$24,2,FALSE),"Other")</f>
        <v>Email</v>
      </c>
      <c r="R1498" t="str">
        <f>IFERROR(VLOOKUP(F1498,Lookups!$D$5:$F$10,2,FALSE),"Unknown Product")</f>
        <v>NexaCRM Pro</v>
      </c>
      <c r="S1498" t="str">
        <f>IFERROR(VLOOKUP(F1498,Lookups!$D$5:$F$10,3,FALSE),"Unknown")</f>
        <v>CRM</v>
      </c>
      <c r="T1498" t="str">
        <f t="shared" si="253"/>
        <v>Enterprise</v>
      </c>
      <c r="U1498" t="str">
        <f t="shared" si="254"/>
        <v>Lost</v>
      </c>
      <c r="V1498" s="3">
        <f t="shared" si="255"/>
        <v>0</v>
      </c>
      <c r="W1498" s="3">
        <f t="shared" si="256"/>
        <v>0</v>
      </c>
      <c r="X1498" s="5">
        <f t="shared" si="257"/>
        <v>59</v>
      </c>
      <c r="Y1498" s="5">
        <f>IF(U1498="Open",Lookups!$B$2-B1498,X1498)</f>
        <v>59</v>
      </c>
      <c r="Z1498" t="str">
        <f t="shared" si="258"/>
        <v>OK</v>
      </c>
      <c r="AA1498" t="str">
        <f t="shared" si="259"/>
        <v>2025-08</v>
      </c>
      <c r="AB1498" t="str">
        <f t="shared" si="260"/>
        <v>2025-10</v>
      </c>
      <c r="AC1498" t="str">
        <f t="shared" si="261"/>
        <v>Q3-2025</v>
      </c>
      <c r="AD1498" s="5">
        <f t="shared" si="262"/>
        <v>78</v>
      </c>
      <c r="AE1498" t="str">
        <f t="shared" si="263"/>
        <v>Lost</v>
      </c>
    </row>
    <row r="1499" spans="1:31">
      <c r="A1499" t="s">
        <v>1601</v>
      </c>
      <c r="B1499" s="1">
        <v>46025</v>
      </c>
      <c r="C1499" t="s">
        <v>90</v>
      </c>
      <c r="D1499" t="s">
        <v>57</v>
      </c>
      <c r="E1499" t="s">
        <v>65</v>
      </c>
      <c r="F1499" t="s">
        <v>59</v>
      </c>
      <c r="G1499" t="s">
        <v>46</v>
      </c>
      <c r="H1499" t="s">
        <v>47</v>
      </c>
      <c r="I1499" t="s">
        <v>61</v>
      </c>
      <c r="J1499" s="1">
        <v>46065</v>
      </c>
      <c r="K1499" s="1">
        <v>46065</v>
      </c>
      <c r="L1499" s="3">
        <v>23400</v>
      </c>
      <c r="M1499" s="4">
        <v>0</v>
      </c>
      <c r="N1499" s="4">
        <v>0</v>
      </c>
      <c r="O1499" t="s">
        <v>81</v>
      </c>
      <c r="P1499">
        <v>4</v>
      </c>
      <c r="Q1499" t="str">
        <f>IFERROR(VLOOKUP(E1499,Lookups!$A$5:$B$24,2,FALSE),"Other")</f>
        <v>Paid Search</v>
      </c>
      <c r="R1499" t="str">
        <f>IFERROR(VLOOKUP(F1499,Lookups!$D$5:$F$10,2,FALSE),"Unknown Product")</f>
        <v>NexaCRM Pro</v>
      </c>
      <c r="S1499" t="str">
        <f>IFERROR(VLOOKUP(F1499,Lookups!$D$5:$F$10,3,FALSE),"Unknown")</f>
        <v>CRM</v>
      </c>
      <c r="T1499" t="str">
        <f t="shared" si="253"/>
        <v>Mid-Market</v>
      </c>
      <c r="U1499" t="str">
        <f t="shared" si="254"/>
        <v>Lost</v>
      </c>
      <c r="V1499" s="3">
        <f t="shared" si="255"/>
        <v>0</v>
      </c>
      <c r="W1499" s="3">
        <f t="shared" si="256"/>
        <v>0</v>
      </c>
      <c r="X1499" s="5">
        <f t="shared" si="257"/>
        <v>40</v>
      </c>
      <c r="Y1499" s="5">
        <f>IF(U1499="Open",Lookups!$B$2-B1499,X1499)</f>
        <v>40</v>
      </c>
      <c r="Z1499" t="str">
        <f t="shared" si="258"/>
        <v>OK</v>
      </c>
      <c r="AA1499" t="str">
        <f t="shared" si="259"/>
        <v>2026-01</v>
      </c>
      <c r="AB1499" t="str">
        <f t="shared" si="260"/>
        <v>2026-02</v>
      </c>
      <c r="AC1499" t="str">
        <f t="shared" si="261"/>
        <v>Q1-2026</v>
      </c>
      <c r="AD1499" s="5">
        <f t="shared" si="262"/>
        <v>51</v>
      </c>
      <c r="AE1499" t="str">
        <f t="shared" si="263"/>
        <v>Lost</v>
      </c>
    </row>
    <row r="1500" spans="1:31">
      <c r="A1500" t="s">
        <v>1602</v>
      </c>
      <c r="B1500" s="1">
        <v>46014</v>
      </c>
      <c r="C1500" t="s">
        <v>90</v>
      </c>
      <c r="D1500" t="s">
        <v>57</v>
      </c>
      <c r="E1500" t="s">
        <v>115</v>
      </c>
      <c r="F1500" t="s">
        <v>71</v>
      </c>
      <c r="G1500" t="s">
        <v>76</v>
      </c>
      <c r="H1500" t="s">
        <v>47</v>
      </c>
      <c r="I1500" t="s">
        <v>48</v>
      </c>
      <c r="J1500" s="1">
        <v>46130</v>
      </c>
      <c r="K1500" s="1"/>
      <c r="L1500" s="3">
        <v>19300</v>
      </c>
      <c r="M1500" s="4">
        <v>0</v>
      </c>
      <c r="N1500" s="4">
        <v>0.85</v>
      </c>
      <c r="P1500">
        <v>5</v>
      </c>
      <c r="Q1500" t="str">
        <f>IFERROR(VLOOKUP(E1500,Lookups!$A$5:$B$24,2,FALSE),"Other")</f>
        <v>Outbound</v>
      </c>
      <c r="R1500" t="str">
        <f>IFERROR(VLOOKUP(F1500,Lookups!$D$5:$F$10,2,FALSE),"Unknown Product")</f>
        <v>Marketing Automation</v>
      </c>
      <c r="S1500" t="str">
        <f>IFERROR(VLOOKUP(F1500,Lookups!$D$5:$F$10,3,FALSE),"Unknown")</f>
        <v>Marketing</v>
      </c>
      <c r="T1500" t="str">
        <f t="shared" si="253"/>
        <v>SMB</v>
      </c>
      <c r="U1500" t="str">
        <f t="shared" si="254"/>
        <v>Open</v>
      </c>
      <c r="V1500" s="3">
        <f t="shared" si="255"/>
        <v>0</v>
      </c>
      <c r="W1500" s="3">
        <f t="shared" si="256"/>
        <v>16405</v>
      </c>
      <c r="X1500" s="5" t="str">
        <f t="shared" si="257"/>
        <v/>
      </c>
      <c r="Y1500" s="5">
        <f>IF(U1500="Open",Lookups!$B$2-B1500,X1500)</f>
        <v>252</v>
      </c>
      <c r="Z1500" t="str">
        <f t="shared" si="258"/>
        <v>STALE</v>
      </c>
      <c r="AA1500" t="str">
        <f t="shared" si="259"/>
        <v>2025-12</v>
      </c>
      <c r="AB1500" t="str">
        <f t="shared" si="260"/>
        <v/>
      </c>
      <c r="AC1500" t="str">
        <f t="shared" si="261"/>
        <v>Q4-2025</v>
      </c>
      <c r="AD1500" s="5">
        <f t="shared" si="262"/>
        <v>43</v>
      </c>
      <c r="AE1500" t="str">
        <f t="shared" si="263"/>
        <v>Commit</v>
      </c>
    </row>
    <row r="1501" spans="1:31">
      <c r="A1501" t="s">
        <v>1603</v>
      </c>
      <c r="B1501" s="1">
        <v>45928</v>
      </c>
      <c r="C1501" t="s">
        <v>148</v>
      </c>
      <c r="D1501" t="s">
        <v>43</v>
      </c>
      <c r="E1501" t="s">
        <v>160</v>
      </c>
      <c r="F1501" t="s">
        <v>133</v>
      </c>
      <c r="G1501" t="s">
        <v>60</v>
      </c>
      <c r="H1501" t="s">
        <v>47</v>
      </c>
      <c r="I1501" t="s">
        <v>61</v>
      </c>
      <c r="J1501" s="1">
        <v>45964</v>
      </c>
      <c r="K1501" s="1">
        <v>45964</v>
      </c>
      <c r="L1501" s="3">
        <v>28200</v>
      </c>
      <c r="M1501" s="4">
        <v>0</v>
      </c>
      <c r="N1501" s="4">
        <v>0</v>
      </c>
      <c r="O1501" t="s">
        <v>102</v>
      </c>
      <c r="P1501">
        <v>2</v>
      </c>
      <c r="Q1501" t="str">
        <f>IFERROR(VLOOKUP(E1501,Lookups!$A$5:$B$24,2,FALSE),"Other")</f>
        <v>Email</v>
      </c>
      <c r="R1501" t="str">
        <f>IFERROR(VLOOKUP(F1501,Lookups!$D$5:$F$10,2,FALSE),"Unknown Product")</f>
        <v>Analytics Plus</v>
      </c>
      <c r="S1501" t="str">
        <f>IFERROR(VLOOKUP(F1501,Lookups!$D$5:$F$10,3,FALSE),"Unknown")</f>
        <v>Analytics</v>
      </c>
      <c r="T1501" t="str">
        <f t="shared" si="253"/>
        <v>Mid-Market</v>
      </c>
      <c r="U1501" t="str">
        <f t="shared" si="254"/>
        <v>Lost</v>
      </c>
      <c r="V1501" s="3">
        <f t="shared" si="255"/>
        <v>0</v>
      </c>
      <c r="W1501" s="3">
        <f t="shared" si="256"/>
        <v>0</v>
      </c>
      <c r="X1501" s="5">
        <f t="shared" si="257"/>
        <v>36</v>
      </c>
      <c r="Y1501" s="5">
        <f>IF(U1501="Open",Lookups!$B$2-B1501,X1501)</f>
        <v>36</v>
      </c>
      <c r="Z1501" t="str">
        <f t="shared" si="258"/>
        <v>OK</v>
      </c>
      <c r="AA1501" t="str">
        <f t="shared" si="259"/>
        <v>2025-09</v>
      </c>
      <c r="AB1501" t="str">
        <f t="shared" si="260"/>
        <v>2025-11</v>
      </c>
      <c r="AC1501" t="str">
        <f t="shared" si="261"/>
        <v>Q3-2025</v>
      </c>
      <c r="AD1501" s="5">
        <f t="shared" si="262"/>
        <v>55</v>
      </c>
      <c r="AE1501" t="str">
        <f t="shared" si="263"/>
        <v>Lost</v>
      </c>
    </row>
    <row r="1502" spans="1:31">
      <c r="A1502" t="s">
        <v>1604</v>
      </c>
      <c r="B1502" s="1">
        <v>46193</v>
      </c>
      <c r="C1502" t="s">
        <v>86</v>
      </c>
      <c r="D1502" t="s">
        <v>87</v>
      </c>
      <c r="E1502" t="s">
        <v>75</v>
      </c>
      <c r="F1502" t="s">
        <v>67</v>
      </c>
      <c r="G1502" t="s">
        <v>112</v>
      </c>
      <c r="H1502" t="s">
        <v>53</v>
      </c>
      <c r="I1502" t="s">
        <v>61</v>
      </c>
      <c r="J1502" s="1">
        <v>46265</v>
      </c>
      <c r="K1502" s="1">
        <v>46265</v>
      </c>
      <c r="L1502" s="3">
        <v>46700</v>
      </c>
      <c r="M1502" s="4">
        <v>0</v>
      </c>
      <c r="N1502" s="4">
        <v>0</v>
      </c>
      <c r="O1502" t="s">
        <v>81</v>
      </c>
      <c r="P1502">
        <v>2</v>
      </c>
      <c r="Q1502" t="str">
        <f>IFERROR(VLOOKUP(E1502,Lookups!$A$5:$B$24,2,FALSE),"Other")</f>
        <v>Webinar</v>
      </c>
      <c r="R1502" t="str">
        <f>IFERROR(VLOOKUP(F1502,Lookups!$D$5:$F$10,2,FALSE),"Unknown Product")</f>
        <v>Revenue Operations Suite</v>
      </c>
      <c r="S1502" t="str">
        <f>IFERROR(VLOOKUP(F1502,Lookups!$D$5:$F$10,3,FALSE),"Unknown")</f>
        <v>Revenue Ops</v>
      </c>
      <c r="T1502" t="str">
        <f t="shared" si="253"/>
        <v>Mid-Market</v>
      </c>
      <c r="U1502" t="str">
        <f t="shared" si="254"/>
        <v>Lost</v>
      </c>
      <c r="V1502" s="3">
        <f t="shared" si="255"/>
        <v>0</v>
      </c>
      <c r="W1502" s="3">
        <f t="shared" si="256"/>
        <v>0</v>
      </c>
      <c r="X1502" s="5">
        <f t="shared" si="257"/>
        <v>72</v>
      </c>
      <c r="Y1502" s="5">
        <f>IF(U1502="Open",Lookups!$B$2-B1502,X1502)</f>
        <v>72</v>
      </c>
      <c r="Z1502" t="str">
        <f t="shared" si="258"/>
        <v>OK</v>
      </c>
      <c r="AA1502" t="str">
        <f t="shared" si="259"/>
        <v>2026-06</v>
      </c>
      <c r="AB1502" t="str">
        <f t="shared" si="260"/>
        <v>2026-08</v>
      </c>
      <c r="AC1502" t="str">
        <f t="shared" si="261"/>
        <v>Q2-2026</v>
      </c>
      <c r="AD1502" s="5">
        <f t="shared" si="262"/>
        <v>64</v>
      </c>
      <c r="AE1502" t="str">
        <f t="shared" si="263"/>
        <v>Lost</v>
      </c>
    </row>
    <row r="1503" spans="1:31">
      <c r="A1503" t="s">
        <v>1605</v>
      </c>
      <c r="B1503" s="1">
        <v>46143</v>
      </c>
      <c r="C1503" t="s">
        <v>64</v>
      </c>
      <c r="D1503" t="s">
        <v>57</v>
      </c>
      <c r="E1503" t="s">
        <v>146</v>
      </c>
      <c r="F1503" t="s">
        <v>59</v>
      </c>
      <c r="G1503" t="s">
        <v>94</v>
      </c>
      <c r="H1503" t="s">
        <v>84</v>
      </c>
      <c r="I1503" t="s">
        <v>61</v>
      </c>
      <c r="J1503" s="1">
        <v>46209</v>
      </c>
      <c r="K1503" s="1">
        <v>46209</v>
      </c>
      <c r="L1503" s="3">
        <v>59800</v>
      </c>
      <c r="M1503" s="4">
        <v>0</v>
      </c>
      <c r="N1503" s="4">
        <v>0</v>
      </c>
      <c r="O1503" t="s">
        <v>79</v>
      </c>
      <c r="P1503">
        <v>3</v>
      </c>
      <c r="Q1503" t="str">
        <f>IFERROR(VLOOKUP(E1503,Lookups!$A$5:$B$24,2,FALSE),"Other")</f>
        <v>LinkedIn</v>
      </c>
      <c r="R1503" t="str">
        <f>IFERROR(VLOOKUP(F1503,Lookups!$D$5:$F$10,2,FALSE),"Unknown Product")</f>
        <v>NexaCRM Pro</v>
      </c>
      <c r="S1503" t="str">
        <f>IFERROR(VLOOKUP(F1503,Lookups!$D$5:$F$10,3,FALSE),"Unknown")</f>
        <v>CRM</v>
      </c>
      <c r="T1503" t="str">
        <f t="shared" si="253"/>
        <v>Enterprise</v>
      </c>
      <c r="U1503" t="str">
        <f t="shared" si="254"/>
        <v>Lost</v>
      </c>
      <c r="V1503" s="3">
        <f t="shared" si="255"/>
        <v>0</v>
      </c>
      <c r="W1503" s="3">
        <f t="shared" si="256"/>
        <v>0</v>
      </c>
      <c r="X1503" s="5">
        <f t="shared" si="257"/>
        <v>66</v>
      </c>
      <c r="Y1503" s="5">
        <f>IF(U1503="Open",Lookups!$B$2-B1503,X1503)</f>
        <v>66</v>
      </c>
      <c r="Z1503" t="str">
        <f t="shared" si="258"/>
        <v>OK</v>
      </c>
      <c r="AA1503" t="str">
        <f t="shared" si="259"/>
        <v>2026-05</v>
      </c>
      <c r="AB1503" t="str">
        <f t="shared" si="260"/>
        <v>2026-07</v>
      </c>
      <c r="AC1503" t="str">
        <f t="shared" si="261"/>
        <v>Q2-2026</v>
      </c>
      <c r="AD1503" s="5">
        <f t="shared" si="262"/>
        <v>74</v>
      </c>
      <c r="AE1503" t="str">
        <f t="shared" si="263"/>
        <v>Lost</v>
      </c>
    </row>
    <row r="1504" spans="1:31">
      <c r="A1504" t="s">
        <v>1606</v>
      </c>
      <c r="B1504" s="1">
        <v>45823</v>
      </c>
      <c r="C1504" t="s">
        <v>148</v>
      </c>
      <c r="D1504" t="s">
        <v>43</v>
      </c>
      <c r="E1504" t="s">
        <v>123</v>
      </c>
      <c r="F1504" t="s">
        <v>71</v>
      </c>
      <c r="G1504" t="s">
        <v>46</v>
      </c>
      <c r="H1504" t="s">
        <v>47</v>
      </c>
      <c r="I1504" t="s">
        <v>61</v>
      </c>
      <c r="J1504" s="1">
        <v>45888</v>
      </c>
      <c r="K1504" s="1">
        <v>45888</v>
      </c>
      <c r="L1504" s="3">
        <v>13100</v>
      </c>
      <c r="M1504" s="4">
        <v>0</v>
      </c>
      <c r="N1504" s="4">
        <v>0</v>
      </c>
      <c r="O1504" t="s">
        <v>79</v>
      </c>
      <c r="P1504">
        <v>3</v>
      </c>
      <c r="Q1504" t="str">
        <f>IFERROR(VLOOKUP(E1504,Lookups!$A$5:$B$24,2,FALSE),"Other")</f>
        <v>Email</v>
      </c>
      <c r="R1504" t="str">
        <f>IFERROR(VLOOKUP(F1504,Lookups!$D$5:$F$10,2,FALSE),"Unknown Product")</f>
        <v>Marketing Automation</v>
      </c>
      <c r="S1504" t="str">
        <f>IFERROR(VLOOKUP(F1504,Lookups!$D$5:$F$10,3,FALSE),"Unknown")</f>
        <v>Marketing</v>
      </c>
      <c r="T1504" t="str">
        <f t="shared" si="253"/>
        <v>SMB</v>
      </c>
      <c r="U1504" t="str">
        <f t="shared" si="254"/>
        <v>Lost</v>
      </c>
      <c r="V1504" s="3">
        <f t="shared" si="255"/>
        <v>0</v>
      </c>
      <c r="W1504" s="3">
        <f t="shared" si="256"/>
        <v>0</v>
      </c>
      <c r="X1504" s="5">
        <f t="shared" si="257"/>
        <v>65</v>
      </c>
      <c r="Y1504" s="5">
        <f>IF(U1504="Open",Lookups!$B$2-B1504,X1504)</f>
        <v>65</v>
      </c>
      <c r="Z1504" t="str">
        <f t="shared" si="258"/>
        <v>OK</v>
      </c>
      <c r="AA1504" t="str">
        <f t="shared" si="259"/>
        <v>2025-06</v>
      </c>
      <c r="AB1504" t="str">
        <f t="shared" si="260"/>
        <v>2025-08</v>
      </c>
      <c r="AC1504" t="str">
        <f t="shared" si="261"/>
        <v>Q2-2025</v>
      </c>
      <c r="AD1504" s="5">
        <f t="shared" si="262"/>
        <v>47</v>
      </c>
      <c r="AE1504" t="str">
        <f t="shared" si="263"/>
        <v>Lost</v>
      </c>
    </row>
    <row r="1505" spans="1:31">
      <c r="A1505" t="s">
        <v>1607</v>
      </c>
      <c r="B1505" s="1">
        <v>45961</v>
      </c>
      <c r="C1505" t="s">
        <v>148</v>
      </c>
      <c r="D1505" t="s">
        <v>43</v>
      </c>
      <c r="E1505" t="s">
        <v>107</v>
      </c>
      <c r="F1505" t="s">
        <v>52</v>
      </c>
      <c r="G1505" t="s">
        <v>94</v>
      </c>
      <c r="H1505" t="s">
        <v>47</v>
      </c>
      <c r="I1505" t="s">
        <v>77</v>
      </c>
      <c r="J1505" s="1">
        <v>46029</v>
      </c>
      <c r="K1505" s="1">
        <v>46029</v>
      </c>
      <c r="L1505" s="3">
        <v>6200</v>
      </c>
      <c r="M1505" s="4">
        <v>0</v>
      </c>
      <c r="N1505" s="4">
        <v>1</v>
      </c>
      <c r="P1505">
        <v>6</v>
      </c>
      <c r="Q1505" t="str">
        <f>IFERROR(VLOOKUP(E1505,Lookups!$A$5:$B$24,2,FALSE),"Other")</f>
        <v>Referral</v>
      </c>
      <c r="R1505" t="str">
        <f>IFERROR(VLOOKUP(F1505,Lookups!$D$5:$F$10,2,FALSE),"Unknown Product")</f>
        <v>NexaCRM Core</v>
      </c>
      <c r="S1505" t="str">
        <f>IFERROR(VLOOKUP(F1505,Lookups!$D$5:$F$10,3,FALSE),"Unknown")</f>
        <v>CRM</v>
      </c>
      <c r="T1505" t="str">
        <f t="shared" si="253"/>
        <v>SMB</v>
      </c>
      <c r="U1505" t="str">
        <f t="shared" si="254"/>
        <v>Won</v>
      </c>
      <c r="V1505" s="3">
        <f t="shared" si="255"/>
        <v>6200</v>
      </c>
      <c r="W1505" s="3">
        <f t="shared" si="256"/>
        <v>0</v>
      </c>
      <c r="X1505" s="5">
        <f t="shared" si="257"/>
        <v>68</v>
      </c>
      <c r="Y1505" s="5">
        <f>IF(U1505="Open",Lookups!$B$2-B1505,X1505)</f>
        <v>68</v>
      </c>
      <c r="Z1505" t="str">
        <f t="shared" si="258"/>
        <v>OK</v>
      </c>
      <c r="AA1505" t="str">
        <f t="shared" si="259"/>
        <v>2025-10</v>
      </c>
      <c r="AB1505" t="str">
        <f t="shared" si="260"/>
        <v>2026-01</v>
      </c>
      <c r="AC1505" t="str">
        <f t="shared" si="261"/>
        <v>Q4-2025</v>
      </c>
      <c r="AD1505" s="5">
        <f t="shared" si="262"/>
        <v>54</v>
      </c>
      <c r="AE1505" t="str">
        <f t="shared" si="263"/>
        <v>Won</v>
      </c>
    </row>
    <row r="1506" spans="1:31">
      <c r="A1506" t="s">
        <v>1608</v>
      </c>
      <c r="B1506" s="1">
        <v>45732</v>
      </c>
      <c r="C1506" t="s">
        <v>69</v>
      </c>
      <c r="D1506" t="s">
        <v>57</v>
      </c>
      <c r="E1506" t="s">
        <v>127</v>
      </c>
      <c r="F1506" t="s">
        <v>133</v>
      </c>
      <c r="G1506" t="s">
        <v>46</v>
      </c>
      <c r="H1506" t="s">
        <v>47</v>
      </c>
      <c r="I1506" t="s">
        <v>61</v>
      </c>
      <c r="J1506" s="1">
        <v>45850</v>
      </c>
      <c r="K1506" s="1">
        <v>45850</v>
      </c>
      <c r="L1506" s="3">
        <v>24000</v>
      </c>
      <c r="M1506" s="4">
        <v>0</v>
      </c>
      <c r="N1506" s="4">
        <v>0</v>
      </c>
      <c r="O1506" t="s">
        <v>62</v>
      </c>
      <c r="P1506">
        <v>4</v>
      </c>
      <c r="Q1506" t="str">
        <f>IFERROR(VLOOKUP(E1506,Lookups!$A$5:$B$24,2,FALSE),"Other")</f>
        <v>Paid Search</v>
      </c>
      <c r="R1506" t="str">
        <f>IFERROR(VLOOKUP(F1506,Lookups!$D$5:$F$10,2,FALSE),"Unknown Product")</f>
        <v>Analytics Plus</v>
      </c>
      <c r="S1506" t="str">
        <f>IFERROR(VLOOKUP(F1506,Lookups!$D$5:$F$10,3,FALSE),"Unknown")</f>
        <v>Analytics</v>
      </c>
      <c r="T1506" t="str">
        <f t="shared" si="253"/>
        <v>Mid-Market</v>
      </c>
      <c r="U1506" t="str">
        <f t="shared" si="254"/>
        <v>Lost</v>
      </c>
      <c r="V1506" s="3">
        <f t="shared" si="255"/>
        <v>0</v>
      </c>
      <c r="W1506" s="3">
        <f t="shared" si="256"/>
        <v>0</v>
      </c>
      <c r="X1506" s="5">
        <f t="shared" si="257"/>
        <v>118</v>
      </c>
      <c r="Y1506" s="5">
        <f>IF(U1506="Open",Lookups!$B$2-B1506,X1506)</f>
        <v>118</v>
      </c>
      <c r="Z1506" t="str">
        <f t="shared" si="258"/>
        <v>OK</v>
      </c>
      <c r="AA1506" t="str">
        <f t="shared" si="259"/>
        <v>2025-03</v>
      </c>
      <c r="AB1506" t="str">
        <f t="shared" si="260"/>
        <v>2025-07</v>
      </c>
      <c r="AC1506" t="str">
        <f t="shared" si="261"/>
        <v>Q1-2025</v>
      </c>
      <c r="AD1506" s="5">
        <f t="shared" si="262"/>
        <v>51</v>
      </c>
      <c r="AE1506" t="str">
        <f t="shared" si="263"/>
        <v>Lost</v>
      </c>
    </row>
    <row r="1507" spans="1:31">
      <c r="A1507" t="s">
        <v>1609</v>
      </c>
      <c r="B1507" s="1">
        <v>45714</v>
      </c>
      <c r="C1507" t="s">
        <v>56</v>
      </c>
      <c r="D1507" t="s">
        <v>57</v>
      </c>
      <c r="E1507" t="s">
        <v>123</v>
      </c>
      <c r="F1507" t="s">
        <v>52</v>
      </c>
      <c r="G1507" t="s">
        <v>94</v>
      </c>
      <c r="H1507" t="s">
        <v>47</v>
      </c>
      <c r="I1507" t="s">
        <v>61</v>
      </c>
      <c r="J1507" s="1">
        <v>45747</v>
      </c>
      <c r="K1507" s="1">
        <v>45747</v>
      </c>
      <c r="L1507" s="3">
        <v>5100</v>
      </c>
      <c r="M1507" s="4">
        <v>0</v>
      </c>
      <c r="N1507" s="4">
        <v>0</v>
      </c>
      <c r="O1507" t="s">
        <v>62</v>
      </c>
      <c r="P1507">
        <v>3</v>
      </c>
      <c r="Q1507" t="str">
        <f>IFERROR(VLOOKUP(E1507,Lookups!$A$5:$B$24,2,FALSE),"Other")</f>
        <v>Email</v>
      </c>
      <c r="R1507" t="str">
        <f>IFERROR(VLOOKUP(F1507,Lookups!$D$5:$F$10,2,FALSE),"Unknown Product")</f>
        <v>NexaCRM Core</v>
      </c>
      <c r="S1507" t="str">
        <f>IFERROR(VLOOKUP(F1507,Lookups!$D$5:$F$10,3,FALSE),"Unknown")</f>
        <v>CRM</v>
      </c>
      <c r="T1507" t="str">
        <f t="shared" si="253"/>
        <v>SMB</v>
      </c>
      <c r="U1507" t="str">
        <f t="shared" si="254"/>
        <v>Lost</v>
      </c>
      <c r="V1507" s="3">
        <f t="shared" si="255"/>
        <v>0</v>
      </c>
      <c r="W1507" s="3">
        <f t="shared" si="256"/>
        <v>0</v>
      </c>
      <c r="X1507" s="5">
        <f t="shared" si="257"/>
        <v>33</v>
      </c>
      <c r="Y1507" s="5">
        <f>IF(U1507="Open",Lookups!$B$2-B1507,X1507)</f>
        <v>33</v>
      </c>
      <c r="Z1507" t="str">
        <f t="shared" si="258"/>
        <v>OK</v>
      </c>
      <c r="AA1507" t="str">
        <f t="shared" si="259"/>
        <v>2025-02</v>
      </c>
      <c r="AB1507" t="str">
        <f t="shared" si="260"/>
        <v>2025-03</v>
      </c>
      <c r="AC1507" t="str">
        <f t="shared" si="261"/>
        <v>Q1-2025</v>
      </c>
      <c r="AD1507" s="5">
        <f t="shared" si="262"/>
        <v>47</v>
      </c>
      <c r="AE1507" t="str">
        <f t="shared" si="263"/>
        <v>Lost</v>
      </c>
    </row>
    <row r="1508" spans="1:31">
      <c r="A1508" t="s">
        <v>1610</v>
      </c>
      <c r="B1508" s="1">
        <v>45721</v>
      </c>
      <c r="C1508" t="s">
        <v>90</v>
      </c>
      <c r="D1508" t="s">
        <v>57</v>
      </c>
      <c r="E1508" t="s">
        <v>75</v>
      </c>
      <c r="F1508" t="s">
        <v>133</v>
      </c>
      <c r="G1508" t="s">
        <v>46</v>
      </c>
      <c r="H1508" t="s">
        <v>47</v>
      </c>
      <c r="I1508" t="s">
        <v>48</v>
      </c>
      <c r="J1508" s="1">
        <v>45977</v>
      </c>
      <c r="K1508" s="1"/>
      <c r="L1508" s="3">
        <v>17600</v>
      </c>
      <c r="M1508" s="4">
        <v>0</v>
      </c>
      <c r="N1508" s="4">
        <v>0.85</v>
      </c>
      <c r="P1508">
        <v>5</v>
      </c>
      <c r="Q1508" t="str">
        <f>IFERROR(VLOOKUP(E1508,Lookups!$A$5:$B$24,2,FALSE),"Other")</f>
        <v>Webinar</v>
      </c>
      <c r="R1508" t="str">
        <f>IFERROR(VLOOKUP(F1508,Lookups!$D$5:$F$10,2,FALSE),"Unknown Product")</f>
        <v>Analytics Plus</v>
      </c>
      <c r="S1508" t="str">
        <f>IFERROR(VLOOKUP(F1508,Lookups!$D$5:$F$10,3,FALSE),"Unknown")</f>
        <v>Analytics</v>
      </c>
      <c r="T1508" t="str">
        <f t="shared" si="253"/>
        <v>SMB</v>
      </c>
      <c r="U1508" t="str">
        <f t="shared" si="254"/>
        <v>Open</v>
      </c>
      <c r="V1508" s="3">
        <f t="shared" si="255"/>
        <v>0</v>
      </c>
      <c r="W1508" s="3">
        <f t="shared" si="256"/>
        <v>14960</v>
      </c>
      <c r="X1508" s="5" t="str">
        <f t="shared" si="257"/>
        <v/>
      </c>
      <c r="Y1508" s="5">
        <f>IF(U1508="Open",Lookups!$B$2-B1508,X1508)</f>
        <v>545</v>
      </c>
      <c r="Z1508" t="str">
        <f t="shared" si="258"/>
        <v>STALE</v>
      </c>
      <c r="AA1508" t="str">
        <f t="shared" si="259"/>
        <v>2025-03</v>
      </c>
      <c r="AB1508" t="str">
        <f t="shared" si="260"/>
        <v/>
      </c>
      <c r="AC1508" t="str">
        <f t="shared" si="261"/>
        <v>Q1-2025</v>
      </c>
      <c r="AD1508" s="5">
        <f t="shared" si="262"/>
        <v>43</v>
      </c>
      <c r="AE1508" t="str">
        <f t="shared" si="263"/>
        <v>Commit</v>
      </c>
    </row>
    <row r="1509" spans="1:31">
      <c r="A1509" t="s">
        <v>1611</v>
      </c>
      <c r="B1509" s="1">
        <v>45892</v>
      </c>
      <c r="C1509" t="s">
        <v>86</v>
      </c>
      <c r="D1509" t="s">
        <v>87</v>
      </c>
      <c r="E1509" t="s">
        <v>166</v>
      </c>
      <c r="F1509" t="s">
        <v>59</v>
      </c>
      <c r="G1509" t="s">
        <v>76</v>
      </c>
      <c r="H1509" t="s">
        <v>84</v>
      </c>
      <c r="I1509" t="s">
        <v>61</v>
      </c>
      <c r="J1509" s="1">
        <v>45933</v>
      </c>
      <c r="K1509" s="1">
        <v>45933</v>
      </c>
      <c r="L1509" s="3">
        <v>86600</v>
      </c>
      <c r="M1509" s="4">
        <v>0</v>
      </c>
      <c r="N1509" s="4">
        <v>0</v>
      </c>
      <c r="O1509" t="s">
        <v>62</v>
      </c>
      <c r="P1509">
        <v>2</v>
      </c>
      <c r="Q1509" t="str">
        <f>IFERROR(VLOOKUP(E1509,Lookups!$A$5:$B$24,2,FALSE),"Other")</f>
        <v>Referral</v>
      </c>
      <c r="R1509" t="str">
        <f>IFERROR(VLOOKUP(F1509,Lookups!$D$5:$F$10,2,FALSE),"Unknown Product")</f>
        <v>NexaCRM Pro</v>
      </c>
      <c r="S1509" t="str">
        <f>IFERROR(VLOOKUP(F1509,Lookups!$D$5:$F$10,3,FALSE),"Unknown")</f>
        <v>CRM</v>
      </c>
      <c r="T1509" t="str">
        <f t="shared" si="253"/>
        <v>Enterprise</v>
      </c>
      <c r="U1509" t="str">
        <f t="shared" si="254"/>
        <v>Lost</v>
      </c>
      <c r="V1509" s="3">
        <f t="shared" si="255"/>
        <v>0</v>
      </c>
      <c r="W1509" s="3">
        <f t="shared" si="256"/>
        <v>0</v>
      </c>
      <c r="X1509" s="5">
        <f t="shared" si="257"/>
        <v>41</v>
      </c>
      <c r="Y1509" s="5">
        <f>IF(U1509="Open",Lookups!$B$2-B1509,X1509)</f>
        <v>41</v>
      </c>
      <c r="Z1509" t="str">
        <f t="shared" si="258"/>
        <v>OK</v>
      </c>
      <c r="AA1509" t="str">
        <f t="shared" si="259"/>
        <v>2025-08</v>
      </c>
      <c r="AB1509" t="str">
        <f t="shared" si="260"/>
        <v>2025-10</v>
      </c>
      <c r="AC1509" t="str">
        <f t="shared" si="261"/>
        <v>Q3-2025</v>
      </c>
      <c r="AD1509" s="5">
        <f t="shared" si="262"/>
        <v>85</v>
      </c>
      <c r="AE1509" t="str">
        <f t="shared" si="263"/>
        <v>Lost</v>
      </c>
    </row>
    <row r="1510" spans="1:31">
      <c r="A1510" t="s">
        <v>1612</v>
      </c>
      <c r="B1510" s="1">
        <v>45934</v>
      </c>
      <c r="C1510" t="s">
        <v>86</v>
      </c>
      <c r="D1510" t="s">
        <v>87</v>
      </c>
      <c r="E1510" t="s">
        <v>146</v>
      </c>
      <c r="F1510" t="s">
        <v>59</v>
      </c>
      <c r="G1510" t="s">
        <v>46</v>
      </c>
      <c r="H1510" t="s">
        <v>47</v>
      </c>
      <c r="I1510" t="s">
        <v>48</v>
      </c>
      <c r="J1510" s="1">
        <v>46093</v>
      </c>
      <c r="K1510" s="1"/>
      <c r="L1510" s="3">
        <v>18200</v>
      </c>
      <c r="M1510" s="4">
        <v>0</v>
      </c>
      <c r="N1510" s="4">
        <v>0.85</v>
      </c>
      <c r="P1510">
        <v>5</v>
      </c>
      <c r="Q1510" t="str">
        <f>IFERROR(VLOOKUP(E1510,Lookups!$A$5:$B$24,2,FALSE),"Other")</f>
        <v>LinkedIn</v>
      </c>
      <c r="R1510" t="str">
        <f>IFERROR(VLOOKUP(F1510,Lookups!$D$5:$F$10,2,FALSE),"Unknown Product")</f>
        <v>NexaCRM Pro</v>
      </c>
      <c r="S1510" t="str">
        <f>IFERROR(VLOOKUP(F1510,Lookups!$D$5:$F$10,3,FALSE),"Unknown")</f>
        <v>CRM</v>
      </c>
      <c r="T1510" t="str">
        <f t="shared" si="253"/>
        <v>SMB</v>
      </c>
      <c r="U1510" t="str">
        <f t="shared" si="254"/>
        <v>Open</v>
      </c>
      <c r="V1510" s="3">
        <f t="shared" si="255"/>
        <v>0</v>
      </c>
      <c r="W1510" s="3">
        <f t="shared" si="256"/>
        <v>15470</v>
      </c>
      <c r="X1510" s="5" t="str">
        <f t="shared" si="257"/>
        <v/>
      </c>
      <c r="Y1510" s="5">
        <f>IF(U1510="Open",Lookups!$B$2-B1510,X1510)</f>
        <v>332</v>
      </c>
      <c r="Z1510" t="str">
        <f t="shared" si="258"/>
        <v>STALE</v>
      </c>
      <c r="AA1510" t="str">
        <f t="shared" si="259"/>
        <v>2025-10</v>
      </c>
      <c r="AB1510" t="str">
        <f t="shared" si="260"/>
        <v/>
      </c>
      <c r="AC1510" t="str">
        <f t="shared" si="261"/>
        <v>Q4-2025</v>
      </c>
      <c r="AD1510" s="5">
        <f t="shared" si="262"/>
        <v>43</v>
      </c>
      <c r="AE1510" t="str">
        <f t="shared" si="263"/>
        <v>Commit</v>
      </c>
    </row>
    <row r="1511" spans="1:31">
      <c r="A1511" t="s">
        <v>1613</v>
      </c>
      <c r="B1511" s="1">
        <v>45789</v>
      </c>
      <c r="C1511" t="s">
        <v>42</v>
      </c>
      <c r="D1511" t="s">
        <v>43</v>
      </c>
      <c r="E1511" t="s">
        <v>123</v>
      </c>
      <c r="F1511" t="s">
        <v>71</v>
      </c>
      <c r="G1511" t="s">
        <v>60</v>
      </c>
      <c r="H1511" t="s">
        <v>84</v>
      </c>
      <c r="I1511" t="s">
        <v>48</v>
      </c>
      <c r="J1511" s="1">
        <v>46072</v>
      </c>
      <c r="K1511" s="1"/>
      <c r="L1511" s="3">
        <v>31800</v>
      </c>
      <c r="M1511" s="4">
        <v>0</v>
      </c>
      <c r="N1511" s="4">
        <v>0.85</v>
      </c>
      <c r="P1511">
        <v>5</v>
      </c>
      <c r="Q1511" t="str">
        <f>IFERROR(VLOOKUP(E1511,Lookups!$A$5:$B$24,2,FALSE),"Other")</f>
        <v>Email</v>
      </c>
      <c r="R1511" t="str">
        <f>IFERROR(VLOOKUP(F1511,Lookups!$D$5:$F$10,2,FALSE),"Unknown Product")</f>
        <v>Marketing Automation</v>
      </c>
      <c r="S1511" t="str">
        <f>IFERROR(VLOOKUP(F1511,Lookups!$D$5:$F$10,3,FALSE),"Unknown")</f>
        <v>Marketing</v>
      </c>
      <c r="T1511" t="str">
        <f t="shared" si="253"/>
        <v>Mid-Market</v>
      </c>
      <c r="U1511" t="str">
        <f t="shared" si="254"/>
        <v>Open</v>
      </c>
      <c r="V1511" s="3">
        <f t="shared" si="255"/>
        <v>0</v>
      </c>
      <c r="W1511" s="3">
        <f t="shared" si="256"/>
        <v>27030</v>
      </c>
      <c r="X1511" s="5" t="str">
        <f t="shared" si="257"/>
        <v/>
      </c>
      <c r="Y1511" s="5">
        <f>IF(U1511="Open",Lookups!$B$2-B1511,X1511)</f>
        <v>477</v>
      </c>
      <c r="Z1511" t="str">
        <f t="shared" si="258"/>
        <v>STALE</v>
      </c>
      <c r="AA1511" t="str">
        <f t="shared" si="259"/>
        <v>2025-05</v>
      </c>
      <c r="AB1511" t="str">
        <f t="shared" si="260"/>
        <v/>
      </c>
      <c r="AC1511" t="str">
        <f t="shared" si="261"/>
        <v>Q2-2025</v>
      </c>
      <c r="AD1511" s="5">
        <f t="shared" si="262"/>
        <v>71</v>
      </c>
      <c r="AE1511" t="str">
        <f t="shared" si="263"/>
        <v>Commit</v>
      </c>
    </row>
    <row r="1512" spans="1:31">
      <c r="A1512" t="s">
        <v>1614</v>
      </c>
      <c r="B1512" s="1">
        <v>45732</v>
      </c>
      <c r="C1512" t="s">
        <v>69</v>
      </c>
      <c r="D1512" t="s">
        <v>57</v>
      </c>
      <c r="E1512" t="s">
        <v>83</v>
      </c>
      <c r="F1512" t="s">
        <v>133</v>
      </c>
      <c r="G1512" t="s">
        <v>94</v>
      </c>
      <c r="H1512" t="s">
        <v>53</v>
      </c>
      <c r="I1512" t="s">
        <v>77</v>
      </c>
      <c r="J1512" s="1">
        <v>45777</v>
      </c>
      <c r="K1512" s="1">
        <v>45777</v>
      </c>
      <c r="L1512" s="3">
        <v>53800</v>
      </c>
      <c r="M1512" s="4">
        <v>0.12</v>
      </c>
      <c r="N1512" s="4">
        <v>1</v>
      </c>
      <c r="P1512">
        <v>6</v>
      </c>
      <c r="Q1512" t="str">
        <f>IFERROR(VLOOKUP(E1512,Lookups!$A$5:$B$24,2,FALSE),"Other")</f>
        <v>Organic Search</v>
      </c>
      <c r="R1512" t="str">
        <f>IFERROR(VLOOKUP(F1512,Lookups!$D$5:$F$10,2,FALSE),"Unknown Product")</f>
        <v>Analytics Plus</v>
      </c>
      <c r="S1512" t="str">
        <f>IFERROR(VLOOKUP(F1512,Lookups!$D$5:$F$10,3,FALSE),"Unknown")</f>
        <v>Analytics</v>
      </c>
      <c r="T1512" t="str">
        <f t="shared" si="253"/>
        <v>Enterprise</v>
      </c>
      <c r="U1512" t="str">
        <f t="shared" si="254"/>
        <v>Won</v>
      </c>
      <c r="V1512" s="3">
        <f t="shared" si="255"/>
        <v>47344</v>
      </c>
      <c r="W1512" s="3">
        <f t="shared" si="256"/>
        <v>0</v>
      </c>
      <c r="X1512" s="5">
        <f t="shared" si="257"/>
        <v>45</v>
      </c>
      <c r="Y1512" s="5">
        <f>IF(U1512="Open",Lookups!$B$2-B1512,X1512)</f>
        <v>45</v>
      </c>
      <c r="Z1512" t="str">
        <f t="shared" si="258"/>
        <v>OK</v>
      </c>
      <c r="AA1512" t="str">
        <f t="shared" si="259"/>
        <v>2025-03</v>
      </c>
      <c r="AB1512" t="str">
        <f t="shared" si="260"/>
        <v>2025-04</v>
      </c>
      <c r="AC1512" t="str">
        <f t="shared" si="261"/>
        <v>Q1-2025</v>
      </c>
      <c r="AD1512" s="5">
        <f t="shared" si="262"/>
        <v>72</v>
      </c>
      <c r="AE1512" t="str">
        <f t="shared" si="263"/>
        <v>Won</v>
      </c>
    </row>
    <row r="1513" spans="1:31">
      <c r="A1513" t="s">
        <v>1615</v>
      </c>
      <c r="B1513" s="1">
        <v>45924</v>
      </c>
      <c r="C1513" t="s">
        <v>90</v>
      </c>
      <c r="D1513" t="s">
        <v>57</v>
      </c>
      <c r="E1513" t="s">
        <v>166</v>
      </c>
      <c r="F1513" t="s">
        <v>67</v>
      </c>
      <c r="G1513" t="s">
        <v>112</v>
      </c>
      <c r="H1513" t="s">
        <v>84</v>
      </c>
      <c r="I1513" t="s">
        <v>48</v>
      </c>
      <c r="J1513" s="1">
        <v>46156</v>
      </c>
      <c r="K1513" s="1"/>
      <c r="L1513" s="3">
        <v>133800</v>
      </c>
      <c r="M1513" s="4">
        <v>0.03</v>
      </c>
      <c r="N1513" s="4">
        <v>0.85</v>
      </c>
      <c r="P1513">
        <v>5</v>
      </c>
      <c r="Q1513" t="str">
        <f>IFERROR(VLOOKUP(E1513,Lookups!$A$5:$B$24,2,FALSE),"Other")</f>
        <v>Referral</v>
      </c>
      <c r="R1513" t="str">
        <f>IFERROR(VLOOKUP(F1513,Lookups!$D$5:$F$10,2,FALSE),"Unknown Product")</f>
        <v>Revenue Operations Suite</v>
      </c>
      <c r="S1513" t="str">
        <f>IFERROR(VLOOKUP(F1513,Lookups!$D$5:$F$10,3,FALSE),"Unknown")</f>
        <v>Revenue Ops</v>
      </c>
      <c r="T1513" t="str">
        <f t="shared" si="253"/>
        <v>Enterprise</v>
      </c>
      <c r="U1513" t="str">
        <f t="shared" si="254"/>
        <v>Open</v>
      </c>
      <c r="V1513" s="3">
        <f t="shared" si="255"/>
        <v>0</v>
      </c>
      <c r="W1513" s="3">
        <f t="shared" si="256"/>
        <v>113730</v>
      </c>
      <c r="X1513" s="5" t="str">
        <f t="shared" si="257"/>
        <v/>
      </c>
      <c r="Y1513" s="5">
        <f>IF(U1513="Open",Lookups!$B$2-B1513,X1513)</f>
        <v>342</v>
      </c>
      <c r="Z1513" t="str">
        <f t="shared" si="258"/>
        <v>STALE</v>
      </c>
      <c r="AA1513" t="str">
        <f t="shared" si="259"/>
        <v>2025-09</v>
      </c>
      <c r="AB1513" t="str">
        <f t="shared" si="260"/>
        <v/>
      </c>
      <c r="AC1513" t="str">
        <f t="shared" si="261"/>
        <v>Q3-2025</v>
      </c>
      <c r="AD1513" s="5">
        <f t="shared" si="262"/>
        <v>90</v>
      </c>
      <c r="AE1513" t="str">
        <f t="shared" si="263"/>
        <v>Commit</v>
      </c>
    </row>
    <row r="1514" spans="1:31">
      <c r="A1514" t="s">
        <v>1616</v>
      </c>
      <c r="B1514" s="1">
        <v>45867</v>
      </c>
      <c r="C1514" t="s">
        <v>86</v>
      </c>
      <c r="D1514" t="s">
        <v>87</v>
      </c>
      <c r="E1514" t="s">
        <v>109</v>
      </c>
      <c r="F1514" t="s">
        <v>71</v>
      </c>
      <c r="G1514" t="s">
        <v>99</v>
      </c>
      <c r="H1514" t="s">
        <v>47</v>
      </c>
      <c r="I1514" t="s">
        <v>61</v>
      </c>
      <c r="J1514" s="1">
        <v>45936</v>
      </c>
      <c r="K1514" s="1">
        <v>45936</v>
      </c>
      <c r="L1514" s="3">
        <v>10900</v>
      </c>
      <c r="M1514" s="4">
        <v>0</v>
      </c>
      <c r="N1514" s="4">
        <v>0</v>
      </c>
      <c r="O1514" t="s">
        <v>79</v>
      </c>
      <c r="P1514">
        <v>5</v>
      </c>
      <c r="Q1514" t="str">
        <f>IFERROR(VLOOKUP(E1514,Lookups!$A$5:$B$24,2,FALSE),"Other")</f>
        <v>Outbound</v>
      </c>
      <c r="R1514" t="str">
        <f>IFERROR(VLOOKUP(F1514,Lookups!$D$5:$F$10,2,FALSE),"Unknown Product")</f>
        <v>Marketing Automation</v>
      </c>
      <c r="S1514" t="str">
        <f>IFERROR(VLOOKUP(F1514,Lookups!$D$5:$F$10,3,FALSE),"Unknown")</f>
        <v>Marketing</v>
      </c>
      <c r="T1514" t="str">
        <f t="shared" si="253"/>
        <v>SMB</v>
      </c>
      <c r="U1514" t="str">
        <f t="shared" si="254"/>
        <v>Lost</v>
      </c>
      <c r="V1514" s="3">
        <f t="shared" si="255"/>
        <v>0</v>
      </c>
      <c r="W1514" s="3">
        <f t="shared" si="256"/>
        <v>0</v>
      </c>
      <c r="X1514" s="5">
        <f t="shared" si="257"/>
        <v>69</v>
      </c>
      <c r="Y1514" s="5">
        <f>IF(U1514="Open",Lookups!$B$2-B1514,X1514)</f>
        <v>69</v>
      </c>
      <c r="Z1514" t="str">
        <f t="shared" si="258"/>
        <v>OK</v>
      </c>
      <c r="AA1514" t="str">
        <f t="shared" si="259"/>
        <v>2025-07</v>
      </c>
      <c r="AB1514" t="str">
        <f t="shared" si="260"/>
        <v>2025-10</v>
      </c>
      <c r="AC1514" t="str">
        <f t="shared" si="261"/>
        <v>Q3-2025</v>
      </c>
      <c r="AD1514" s="5">
        <f t="shared" si="262"/>
        <v>43</v>
      </c>
      <c r="AE1514" t="str">
        <f t="shared" si="263"/>
        <v>Lost</v>
      </c>
    </row>
    <row r="1515" spans="1:31">
      <c r="A1515" t="s">
        <v>1617</v>
      </c>
      <c r="B1515" s="1">
        <v>45747</v>
      </c>
      <c r="C1515" t="s">
        <v>56</v>
      </c>
      <c r="D1515" t="s">
        <v>57</v>
      </c>
      <c r="E1515" t="s">
        <v>127</v>
      </c>
      <c r="F1515" t="s">
        <v>71</v>
      </c>
      <c r="G1515" t="s">
        <v>94</v>
      </c>
      <c r="H1515" t="s">
        <v>53</v>
      </c>
      <c r="I1515" t="s">
        <v>61</v>
      </c>
      <c r="J1515" s="1">
        <v>45790</v>
      </c>
      <c r="K1515" s="1">
        <v>45790</v>
      </c>
      <c r="L1515" s="3">
        <v>23200</v>
      </c>
      <c r="M1515" s="4">
        <v>0</v>
      </c>
      <c r="N1515" s="4">
        <v>0</v>
      </c>
      <c r="O1515" t="s">
        <v>116</v>
      </c>
      <c r="P1515">
        <v>5</v>
      </c>
      <c r="Q1515" t="str">
        <f>IFERROR(VLOOKUP(E1515,Lookups!$A$5:$B$24,2,FALSE),"Other")</f>
        <v>Paid Search</v>
      </c>
      <c r="R1515" t="str">
        <f>IFERROR(VLOOKUP(F1515,Lookups!$D$5:$F$10,2,FALSE),"Unknown Product")</f>
        <v>Marketing Automation</v>
      </c>
      <c r="S1515" t="str">
        <f>IFERROR(VLOOKUP(F1515,Lookups!$D$5:$F$10,3,FALSE),"Unknown")</f>
        <v>Marketing</v>
      </c>
      <c r="T1515" t="str">
        <f t="shared" si="253"/>
        <v>Mid-Market</v>
      </c>
      <c r="U1515" t="str">
        <f t="shared" si="254"/>
        <v>Lost</v>
      </c>
      <c r="V1515" s="3">
        <f t="shared" si="255"/>
        <v>0</v>
      </c>
      <c r="W1515" s="3">
        <f t="shared" si="256"/>
        <v>0</v>
      </c>
      <c r="X1515" s="5">
        <f t="shared" si="257"/>
        <v>43</v>
      </c>
      <c r="Y1515" s="5">
        <f>IF(U1515="Open",Lookups!$B$2-B1515,X1515)</f>
        <v>43</v>
      </c>
      <c r="Z1515" t="str">
        <f t="shared" si="258"/>
        <v>OK</v>
      </c>
      <c r="AA1515" t="str">
        <f t="shared" si="259"/>
        <v>2025-03</v>
      </c>
      <c r="AB1515" t="str">
        <f t="shared" si="260"/>
        <v>2025-05</v>
      </c>
      <c r="AC1515" t="str">
        <f t="shared" si="261"/>
        <v>Q1-2025</v>
      </c>
      <c r="AD1515" s="5">
        <f t="shared" si="262"/>
        <v>59</v>
      </c>
      <c r="AE1515" t="str">
        <f t="shared" si="263"/>
        <v>Lost</v>
      </c>
    </row>
    <row r="1516" spans="1:31">
      <c r="A1516" t="s">
        <v>1618</v>
      </c>
      <c r="B1516" s="1">
        <v>45795</v>
      </c>
      <c r="C1516" t="s">
        <v>64</v>
      </c>
      <c r="D1516" t="s">
        <v>57</v>
      </c>
      <c r="E1516" t="s">
        <v>70</v>
      </c>
      <c r="F1516" t="s">
        <v>45</v>
      </c>
      <c r="G1516" t="s">
        <v>60</v>
      </c>
      <c r="H1516" t="s">
        <v>53</v>
      </c>
      <c r="I1516" t="s">
        <v>77</v>
      </c>
      <c r="J1516" s="1">
        <v>45881</v>
      </c>
      <c r="K1516" s="1">
        <v>45881</v>
      </c>
      <c r="L1516" s="3">
        <v>30500</v>
      </c>
      <c r="M1516" s="4">
        <v>0</v>
      </c>
      <c r="N1516" s="4">
        <v>1</v>
      </c>
      <c r="P1516">
        <v>6</v>
      </c>
      <c r="Q1516" t="str">
        <f>IFERROR(VLOOKUP(E1516,Lookups!$A$5:$B$24,2,FALSE),"Other")</f>
        <v>LinkedIn</v>
      </c>
      <c r="R1516" t="str">
        <f>IFERROR(VLOOKUP(F1516,Lookups!$D$5:$F$10,2,FALSE),"Unknown Product")</f>
        <v>Service Cloud</v>
      </c>
      <c r="S1516" t="str">
        <f>IFERROR(VLOOKUP(F1516,Lookups!$D$5:$F$10,3,FALSE),"Unknown")</f>
        <v>Customer Service</v>
      </c>
      <c r="T1516" t="str">
        <f t="shared" si="253"/>
        <v>Mid-Market</v>
      </c>
      <c r="U1516" t="str">
        <f t="shared" si="254"/>
        <v>Won</v>
      </c>
      <c r="V1516" s="3">
        <f t="shared" si="255"/>
        <v>30500</v>
      </c>
      <c r="W1516" s="3">
        <f t="shared" si="256"/>
        <v>0</v>
      </c>
      <c r="X1516" s="5">
        <f t="shared" si="257"/>
        <v>86</v>
      </c>
      <c r="Y1516" s="5">
        <f>IF(U1516="Open",Lookups!$B$2-B1516,X1516)</f>
        <v>86</v>
      </c>
      <c r="Z1516" t="str">
        <f t="shared" si="258"/>
        <v>OK</v>
      </c>
      <c r="AA1516" t="str">
        <f t="shared" si="259"/>
        <v>2025-05</v>
      </c>
      <c r="AB1516" t="str">
        <f t="shared" si="260"/>
        <v>2025-08</v>
      </c>
      <c r="AC1516" t="str">
        <f t="shared" si="261"/>
        <v>Q2-2025</v>
      </c>
      <c r="AD1516" s="5">
        <f t="shared" si="262"/>
        <v>59</v>
      </c>
      <c r="AE1516" t="str">
        <f t="shared" si="263"/>
        <v>Won</v>
      </c>
    </row>
    <row r="1517" spans="1:31">
      <c r="A1517" t="s">
        <v>1619</v>
      </c>
      <c r="B1517" s="1">
        <v>45777</v>
      </c>
      <c r="C1517" t="s">
        <v>148</v>
      </c>
      <c r="D1517" t="s">
        <v>43</v>
      </c>
      <c r="E1517" t="s">
        <v>146</v>
      </c>
      <c r="F1517" t="s">
        <v>133</v>
      </c>
      <c r="G1517" t="s">
        <v>72</v>
      </c>
      <c r="H1517" t="s">
        <v>47</v>
      </c>
      <c r="I1517" t="s">
        <v>77</v>
      </c>
      <c r="J1517" s="1">
        <v>45829</v>
      </c>
      <c r="K1517" s="1">
        <v>45829</v>
      </c>
      <c r="L1517" s="3">
        <v>27900</v>
      </c>
      <c r="M1517" s="4">
        <v>0.1</v>
      </c>
      <c r="N1517" s="4">
        <v>1</v>
      </c>
      <c r="P1517">
        <v>6</v>
      </c>
      <c r="Q1517" t="str">
        <f>IFERROR(VLOOKUP(E1517,Lookups!$A$5:$B$24,2,FALSE),"Other")</f>
        <v>LinkedIn</v>
      </c>
      <c r="R1517" t="str">
        <f>IFERROR(VLOOKUP(F1517,Lookups!$D$5:$F$10,2,FALSE),"Unknown Product")</f>
        <v>Analytics Plus</v>
      </c>
      <c r="S1517" t="str">
        <f>IFERROR(VLOOKUP(F1517,Lookups!$D$5:$F$10,3,FALSE),"Unknown")</f>
        <v>Analytics</v>
      </c>
      <c r="T1517" t="str">
        <f t="shared" si="253"/>
        <v>Mid-Market</v>
      </c>
      <c r="U1517" t="str">
        <f t="shared" si="254"/>
        <v>Won</v>
      </c>
      <c r="V1517" s="3">
        <f t="shared" si="255"/>
        <v>25110</v>
      </c>
      <c r="W1517" s="3">
        <f t="shared" si="256"/>
        <v>0</v>
      </c>
      <c r="X1517" s="5">
        <f t="shared" si="257"/>
        <v>52</v>
      </c>
      <c r="Y1517" s="5">
        <f>IF(U1517="Open",Lookups!$B$2-B1517,X1517)</f>
        <v>52</v>
      </c>
      <c r="Z1517" t="str">
        <f t="shared" si="258"/>
        <v>OK</v>
      </c>
      <c r="AA1517" t="str">
        <f t="shared" si="259"/>
        <v>2025-04</v>
      </c>
      <c r="AB1517" t="str">
        <f t="shared" si="260"/>
        <v>2025-06</v>
      </c>
      <c r="AC1517" t="str">
        <f t="shared" si="261"/>
        <v>Q2-2025</v>
      </c>
      <c r="AD1517" s="5">
        <f t="shared" si="262"/>
        <v>51</v>
      </c>
      <c r="AE1517" t="str">
        <f t="shared" si="263"/>
        <v>Won</v>
      </c>
    </row>
    <row r="1518" spans="1:31">
      <c r="A1518" t="s">
        <v>1620</v>
      </c>
      <c r="B1518" s="1">
        <v>46022</v>
      </c>
      <c r="C1518" t="s">
        <v>86</v>
      </c>
      <c r="D1518" t="s">
        <v>87</v>
      </c>
      <c r="E1518" t="s">
        <v>127</v>
      </c>
      <c r="F1518" t="s">
        <v>71</v>
      </c>
      <c r="G1518" t="s">
        <v>99</v>
      </c>
      <c r="H1518" t="s">
        <v>84</v>
      </c>
      <c r="I1518" t="s">
        <v>48</v>
      </c>
      <c r="J1518" s="1">
        <v>46229</v>
      </c>
      <c r="K1518" s="1"/>
      <c r="L1518" s="3">
        <v>42500</v>
      </c>
      <c r="M1518" s="4">
        <v>0</v>
      </c>
      <c r="N1518" s="4">
        <v>0.85</v>
      </c>
      <c r="P1518">
        <v>5</v>
      </c>
      <c r="Q1518" t="str">
        <f>IFERROR(VLOOKUP(E1518,Lookups!$A$5:$B$24,2,FALSE),"Other")</f>
        <v>Paid Search</v>
      </c>
      <c r="R1518" t="str">
        <f>IFERROR(VLOOKUP(F1518,Lookups!$D$5:$F$10,2,FALSE),"Unknown Product")</f>
        <v>Marketing Automation</v>
      </c>
      <c r="S1518" t="str">
        <f>IFERROR(VLOOKUP(F1518,Lookups!$D$5:$F$10,3,FALSE),"Unknown")</f>
        <v>Marketing</v>
      </c>
      <c r="T1518" t="str">
        <f t="shared" si="253"/>
        <v>Mid-Market</v>
      </c>
      <c r="U1518" t="str">
        <f t="shared" si="254"/>
        <v>Open</v>
      </c>
      <c r="V1518" s="3">
        <f t="shared" si="255"/>
        <v>0</v>
      </c>
      <c r="W1518" s="3">
        <f t="shared" si="256"/>
        <v>36125</v>
      </c>
      <c r="X1518" s="5" t="str">
        <f t="shared" si="257"/>
        <v/>
      </c>
      <c r="Y1518" s="5">
        <f>IF(U1518="Open",Lookups!$B$2-B1518,X1518)</f>
        <v>244</v>
      </c>
      <c r="Z1518" t="str">
        <f t="shared" si="258"/>
        <v>STALE</v>
      </c>
      <c r="AA1518" t="str">
        <f t="shared" si="259"/>
        <v>2025-12</v>
      </c>
      <c r="AB1518" t="str">
        <f t="shared" si="260"/>
        <v/>
      </c>
      <c r="AC1518" t="str">
        <f t="shared" si="261"/>
        <v>Q4-2025</v>
      </c>
      <c r="AD1518" s="5">
        <f t="shared" si="262"/>
        <v>67</v>
      </c>
      <c r="AE1518" t="str">
        <f t="shared" si="263"/>
        <v>Commit</v>
      </c>
    </row>
    <row r="1519" spans="1:31">
      <c r="A1519" t="s">
        <v>1621</v>
      </c>
      <c r="B1519" s="1">
        <v>45749</v>
      </c>
      <c r="C1519" t="s">
        <v>90</v>
      </c>
      <c r="D1519" t="s">
        <v>57</v>
      </c>
      <c r="E1519" t="s">
        <v>119</v>
      </c>
      <c r="F1519" t="s">
        <v>52</v>
      </c>
      <c r="G1519" t="s">
        <v>99</v>
      </c>
      <c r="H1519" t="s">
        <v>53</v>
      </c>
      <c r="I1519" t="s">
        <v>77</v>
      </c>
      <c r="J1519" s="1">
        <v>45835</v>
      </c>
      <c r="K1519" s="1">
        <v>45835</v>
      </c>
      <c r="L1519" s="3">
        <v>17600</v>
      </c>
      <c r="M1519" s="4">
        <v>0</v>
      </c>
      <c r="N1519" s="4">
        <v>1</v>
      </c>
      <c r="P1519">
        <v>6</v>
      </c>
      <c r="Q1519" t="str">
        <f>IFERROR(VLOOKUP(E1519,Lookups!$A$5:$B$24,2,FALSE),"Other")</f>
        <v>Referral</v>
      </c>
      <c r="R1519" t="str">
        <f>IFERROR(VLOOKUP(F1519,Lookups!$D$5:$F$10,2,FALSE),"Unknown Product")</f>
        <v>NexaCRM Core</v>
      </c>
      <c r="S1519" t="str">
        <f>IFERROR(VLOOKUP(F1519,Lookups!$D$5:$F$10,3,FALSE),"Unknown")</f>
        <v>CRM</v>
      </c>
      <c r="T1519" t="str">
        <f t="shared" si="253"/>
        <v>SMB</v>
      </c>
      <c r="U1519" t="str">
        <f t="shared" si="254"/>
        <v>Won</v>
      </c>
      <c r="V1519" s="3">
        <f t="shared" si="255"/>
        <v>17600</v>
      </c>
      <c r="W1519" s="3">
        <f t="shared" si="256"/>
        <v>0</v>
      </c>
      <c r="X1519" s="5">
        <f t="shared" si="257"/>
        <v>86</v>
      </c>
      <c r="Y1519" s="5">
        <f>IF(U1519="Open",Lookups!$B$2-B1519,X1519)</f>
        <v>86</v>
      </c>
      <c r="Z1519" t="str">
        <f t="shared" si="258"/>
        <v>OK</v>
      </c>
      <c r="AA1519" t="str">
        <f t="shared" si="259"/>
        <v>2025-04</v>
      </c>
      <c r="AB1519" t="str">
        <f t="shared" si="260"/>
        <v>2025-06</v>
      </c>
      <c r="AC1519" t="str">
        <f t="shared" si="261"/>
        <v>Q2-2025</v>
      </c>
      <c r="AD1519" s="5">
        <f t="shared" si="262"/>
        <v>62</v>
      </c>
      <c r="AE1519" t="str">
        <f t="shared" si="263"/>
        <v>Won</v>
      </c>
    </row>
    <row r="1520" spans="1:31">
      <c r="A1520" t="s">
        <v>1622</v>
      </c>
      <c r="B1520" s="1">
        <v>45768</v>
      </c>
      <c r="C1520" t="s">
        <v>56</v>
      </c>
      <c r="D1520" t="s">
        <v>57</v>
      </c>
      <c r="E1520" t="s">
        <v>107</v>
      </c>
      <c r="F1520" t="s">
        <v>133</v>
      </c>
      <c r="G1520" t="s">
        <v>112</v>
      </c>
      <c r="H1520" t="s">
        <v>84</v>
      </c>
      <c r="I1520" t="s">
        <v>48</v>
      </c>
      <c r="J1520" s="1">
        <v>46171</v>
      </c>
      <c r="K1520" s="1"/>
      <c r="L1520" s="3">
        <v>97800</v>
      </c>
      <c r="M1520" s="4">
        <v>0</v>
      </c>
      <c r="N1520" s="4">
        <v>0.85</v>
      </c>
      <c r="P1520">
        <v>5</v>
      </c>
      <c r="Q1520" t="str">
        <f>IFERROR(VLOOKUP(E1520,Lookups!$A$5:$B$24,2,FALSE),"Other")</f>
        <v>Referral</v>
      </c>
      <c r="R1520" t="str">
        <f>IFERROR(VLOOKUP(F1520,Lookups!$D$5:$F$10,2,FALSE),"Unknown Product")</f>
        <v>Analytics Plus</v>
      </c>
      <c r="S1520" t="str">
        <f>IFERROR(VLOOKUP(F1520,Lookups!$D$5:$F$10,3,FALSE),"Unknown")</f>
        <v>Analytics</v>
      </c>
      <c r="T1520" t="str">
        <f t="shared" si="253"/>
        <v>Enterprise</v>
      </c>
      <c r="U1520" t="str">
        <f t="shared" si="254"/>
        <v>Open</v>
      </c>
      <c r="V1520" s="3">
        <f t="shared" si="255"/>
        <v>0</v>
      </c>
      <c r="W1520" s="3">
        <f t="shared" si="256"/>
        <v>83130</v>
      </c>
      <c r="X1520" s="5" t="str">
        <f t="shared" si="257"/>
        <v/>
      </c>
      <c r="Y1520" s="5">
        <f>IF(U1520="Open",Lookups!$B$2-B1520,X1520)</f>
        <v>498</v>
      </c>
      <c r="Z1520" t="str">
        <f t="shared" si="258"/>
        <v>STALE</v>
      </c>
      <c r="AA1520" t="str">
        <f t="shared" si="259"/>
        <v>2025-04</v>
      </c>
      <c r="AB1520" t="str">
        <f t="shared" si="260"/>
        <v/>
      </c>
      <c r="AC1520" t="str">
        <f t="shared" si="261"/>
        <v>Q2-2025</v>
      </c>
      <c r="AD1520" s="5">
        <f t="shared" si="262"/>
        <v>90</v>
      </c>
      <c r="AE1520" t="str">
        <f t="shared" si="263"/>
        <v>Commit</v>
      </c>
    </row>
    <row r="1521" spans="1:31">
      <c r="A1521" t="s">
        <v>1623</v>
      </c>
      <c r="B1521" s="1">
        <v>45785</v>
      </c>
      <c r="C1521" t="s">
        <v>90</v>
      </c>
      <c r="D1521" t="s">
        <v>57</v>
      </c>
      <c r="E1521" t="s">
        <v>92</v>
      </c>
      <c r="F1521" t="s">
        <v>133</v>
      </c>
      <c r="G1521" t="s">
        <v>60</v>
      </c>
      <c r="H1521" t="s">
        <v>47</v>
      </c>
      <c r="I1521" t="s">
        <v>61</v>
      </c>
      <c r="J1521" s="1">
        <v>45871</v>
      </c>
      <c r="K1521" s="1">
        <v>45871</v>
      </c>
      <c r="L1521" s="3">
        <v>28400</v>
      </c>
      <c r="M1521" s="4">
        <v>0</v>
      </c>
      <c r="N1521" s="4">
        <v>0</v>
      </c>
      <c r="O1521" t="s">
        <v>116</v>
      </c>
      <c r="P1521">
        <v>5</v>
      </c>
      <c r="Q1521" t="str">
        <f>IFERROR(VLOOKUP(E1521,Lookups!$A$5:$B$24,2,FALSE),"Other")</f>
        <v>Webinar</v>
      </c>
      <c r="R1521" t="str">
        <f>IFERROR(VLOOKUP(F1521,Lookups!$D$5:$F$10,2,FALSE),"Unknown Product")</f>
        <v>Analytics Plus</v>
      </c>
      <c r="S1521" t="str">
        <f>IFERROR(VLOOKUP(F1521,Lookups!$D$5:$F$10,3,FALSE),"Unknown")</f>
        <v>Analytics</v>
      </c>
      <c r="T1521" t="str">
        <f t="shared" si="253"/>
        <v>Mid-Market</v>
      </c>
      <c r="U1521" t="str">
        <f t="shared" si="254"/>
        <v>Lost</v>
      </c>
      <c r="V1521" s="3">
        <f t="shared" si="255"/>
        <v>0</v>
      </c>
      <c r="W1521" s="3">
        <f t="shared" si="256"/>
        <v>0</v>
      </c>
      <c r="X1521" s="5">
        <f t="shared" si="257"/>
        <v>86</v>
      </c>
      <c r="Y1521" s="5">
        <f>IF(U1521="Open",Lookups!$B$2-B1521,X1521)</f>
        <v>86</v>
      </c>
      <c r="Z1521" t="str">
        <f t="shared" si="258"/>
        <v>OK</v>
      </c>
      <c r="AA1521" t="str">
        <f t="shared" si="259"/>
        <v>2025-05</v>
      </c>
      <c r="AB1521" t="str">
        <f t="shared" si="260"/>
        <v>2025-08</v>
      </c>
      <c r="AC1521" t="str">
        <f t="shared" si="261"/>
        <v>Q2-2025</v>
      </c>
      <c r="AD1521" s="5">
        <f t="shared" si="262"/>
        <v>51</v>
      </c>
      <c r="AE1521" t="str">
        <f t="shared" si="263"/>
        <v>Lost</v>
      </c>
    </row>
    <row r="1522" spans="1:31">
      <c r="A1522" t="s">
        <v>1624</v>
      </c>
      <c r="B1522" s="1">
        <v>46058</v>
      </c>
      <c r="C1522" t="s">
        <v>86</v>
      </c>
      <c r="D1522" t="s">
        <v>87</v>
      </c>
      <c r="E1522" t="s">
        <v>92</v>
      </c>
      <c r="F1522" t="s">
        <v>71</v>
      </c>
      <c r="G1522" t="s">
        <v>94</v>
      </c>
      <c r="H1522" t="s">
        <v>47</v>
      </c>
      <c r="I1522" t="s">
        <v>48</v>
      </c>
      <c r="J1522" s="1">
        <v>46157</v>
      </c>
      <c r="K1522" s="1"/>
      <c r="L1522" s="3">
        <v>11100</v>
      </c>
      <c r="M1522" s="4">
        <v>0.03</v>
      </c>
      <c r="N1522" s="4">
        <v>0.85</v>
      </c>
      <c r="P1522">
        <v>5</v>
      </c>
      <c r="Q1522" t="str">
        <f>IFERROR(VLOOKUP(E1522,Lookups!$A$5:$B$24,2,FALSE),"Other")</f>
        <v>Webinar</v>
      </c>
      <c r="R1522" t="str">
        <f>IFERROR(VLOOKUP(F1522,Lookups!$D$5:$F$10,2,FALSE),"Unknown Product")</f>
        <v>Marketing Automation</v>
      </c>
      <c r="S1522" t="str">
        <f>IFERROR(VLOOKUP(F1522,Lookups!$D$5:$F$10,3,FALSE),"Unknown")</f>
        <v>Marketing</v>
      </c>
      <c r="T1522" t="str">
        <f t="shared" si="253"/>
        <v>SMB</v>
      </c>
      <c r="U1522" t="str">
        <f t="shared" si="254"/>
        <v>Open</v>
      </c>
      <c r="V1522" s="3">
        <f t="shared" si="255"/>
        <v>0</v>
      </c>
      <c r="W1522" s="3">
        <f t="shared" si="256"/>
        <v>9435</v>
      </c>
      <c r="X1522" s="5" t="str">
        <f t="shared" si="257"/>
        <v/>
      </c>
      <c r="Y1522" s="5">
        <f>IF(U1522="Open",Lookups!$B$2-B1522,X1522)</f>
        <v>208</v>
      </c>
      <c r="Z1522" t="str">
        <f t="shared" si="258"/>
        <v>STALE</v>
      </c>
      <c r="AA1522" t="str">
        <f t="shared" si="259"/>
        <v>2026-02</v>
      </c>
      <c r="AB1522" t="str">
        <f t="shared" si="260"/>
        <v/>
      </c>
      <c r="AC1522" t="str">
        <f t="shared" si="261"/>
        <v>Q1-2026</v>
      </c>
      <c r="AD1522" s="5">
        <f t="shared" si="262"/>
        <v>43</v>
      </c>
      <c r="AE1522" t="str">
        <f t="shared" si="263"/>
        <v>Commit</v>
      </c>
    </row>
    <row r="1523" spans="1:31">
      <c r="A1523" t="s">
        <v>1625</v>
      </c>
      <c r="B1523" s="1">
        <v>45795</v>
      </c>
      <c r="C1523" t="s">
        <v>69</v>
      </c>
      <c r="D1523" t="s">
        <v>57</v>
      </c>
      <c r="E1523" t="s">
        <v>138</v>
      </c>
      <c r="F1523" t="s">
        <v>45</v>
      </c>
      <c r="G1523" t="s">
        <v>46</v>
      </c>
      <c r="H1523" t="s">
        <v>53</v>
      </c>
      <c r="I1523" t="s">
        <v>61</v>
      </c>
      <c r="J1523" s="1">
        <v>45861</v>
      </c>
      <c r="K1523" s="1">
        <v>45861</v>
      </c>
      <c r="L1523" s="3">
        <v>22400</v>
      </c>
      <c r="M1523" s="4">
        <v>0</v>
      </c>
      <c r="N1523" s="4">
        <v>0</v>
      </c>
      <c r="O1523" t="s">
        <v>79</v>
      </c>
      <c r="P1523">
        <v>3</v>
      </c>
      <c r="Q1523" t="str">
        <f>IFERROR(VLOOKUP(E1523,Lookups!$A$5:$B$24,2,FALSE),"Other")</f>
        <v>Organic Search</v>
      </c>
      <c r="R1523" t="str">
        <f>IFERROR(VLOOKUP(F1523,Lookups!$D$5:$F$10,2,FALSE),"Unknown Product")</f>
        <v>Service Cloud</v>
      </c>
      <c r="S1523" t="str">
        <f>IFERROR(VLOOKUP(F1523,Lookups!$D$5:$F$10,3,FALSE),"Unknown")</f>
        <v>Customer Service</v>
      </c>
      <c r="T1523" t="str">
        <f t="shared" si="253"/>
        <v>Mid-Market</v>
      </c>
      <c r="U1523" t="str">
        <f t="shared" si="254"/>
        <v>Lost</v>
      </c>
      <c r="V1523" s="3">
        <f t="shared" si="255"/>
        <v>0</v>
      </c>
      <c r="W1523" s="3">
        <f t="shared" si="256"/>
        <v>0</v>
      </c>
      <c r="X1523" s="5">
        <f t="shared" si="257"/>
        <v>66</v>
      </c>
      <c r="Y1523" s="5">
        <f>IF(U1523="Open",Lookups!$B$2-B1523,X1523)</f>
        <v>66</v>
      </c>
      <c r="Z1523" t="str">
        <f t="shared" si="258"/>
        <v>OK</v>
      </c>
      <c r="AA1523" t="str">
        <f t="shared" si="259"/>
        <v>2025-05</v>
      </c>
      <c r="AB1523" t="str">
        <f t="shared" si="260"/>
        <v>2025-07</v>
      </c>
      <c r="AC1523" t="str">
        <f t="shared" si="261"/>
        <v>Q2-2025</v>
      </c>
      <c r="AD1523" s="5">
        <f t="shared" si="262"/>
        <v>65</v>
      </c>
      <c r="AE1523" t="str">
        <f t="shared" si="263"/>
        <v>Lost</v>
      </c>
    </row>
    <row r="1524" spans="1:31">
      <c r="A1524" t="s">
        <v>1626</v>
      </c>
      <c r="B1524" s="1">
        <v>45892</v>
      </c>
      <c r="C1524" t="s">
        <v>148</v>
      </c>
      <c r="D1524" t="s">
        <v>43</v>
      </c>
      <c r="E1524" t="s">
        <v>127</v>
      </c>
      <c r="F1524" t="s">
        <v>52</v>
      </c>
      <c r="G1524" t="s">
        <v>72</v>
      </c>
      <c r="H1524" t="s">
        <v>84</v>
      </c>
      <c r="I1524" t="s">
        <v>48</v>
      </c>
      <c r="J1524" s="1">
        <v>46118</v>
      </c>
      <c r="K1524" s="1"/>
      <c r="L1524" s="3">
        <v>22200</v>
      </c>
      <c r="M1524" s="4">
        <v>0</v>
      </c>
      <c r="N1524" s="4">
        <v>0.85</v>
      </c>
      <c r="P1524">
        <v>5</v>
      </c>
      <c r="Q1524" t="str">
        <f>IFERROR(VLOOKUP(E1524,Lookups!$A$5:$B$24,2,FALSE),"Other")</f>
        <v>Paid Search</v>
      </c>
      <c r="R1524" t="str">
        <f>IFERROR(VLOOKUP(F1524,Lookups!$D$5:$F$10,2,FALSE),"Unknown Product")</f>
        <v>NexaCRM Core</v>
      </c>
      <c r="S1524" t="str">
        <f>IFERROR(VLOOKUP(F1524,Lookups!$D$5:$F$10,3,FALSE),"Unknown")</f>
        <v>CRM</v>
      </c>
      <c r="T1524" t="str">
        <f t="shared" si="253"/>
        <v>Mid-Market</v>
      </c>
      <c r="U1524" t="str">
        <f t="shared" si="254"/>
        <v>Open</v>
      </c>
      <c r="V1524" s="3">
        <f t="shared" si="255"/>
        <v>0</v>
      </c>
      <c r="W1524" s="3">
        <f t="shared" si="256"/>
        <v>18870</v>
      </c>
      <c r="X1524" s="5" t="str">
        <f t="shared" si="257"/>
        <v/>
      </c>
      <c r="Y1524" s="5">
        <f>IF(U1524="Open",Lookups!$B$2-B1524,X1524)</f>
        <v>374</v>
      </c>
      <c r="Z1524" t="str">
        <f t="shared" si="258"/>
        <v>STALE</v>
      </c>
      <c r="AA1524" t="str">
        <f t="shared" si="259"/>
        <v>2025-08</v>
      </c>
      <c r="AB1524" t="str">
        <f t="shared" si="260"/>
        <v/>
      </c>
      <c r="AC1524" t="str">
        <f t="shared" si="261"/>
        <v>Q3-2025</v>
      </c>
      <c r="AD1524" s="5">
        <f t="shared" si="262"/>
        <v>67</v>
      </c>
      <c r="AE1524" t="str">
        <f t="shared" si="263"/>
        <v>Commit</v>
      </c>
    </row>
    <row r="1525" spans="1:31">
      <c r="A1525" t="s">
        <v>1627</v>
      </c>
      <c r="B1525" s="1">
        <v>46104</v>
      </c>
      <c r="C1525" t="s">
        <v>86</v>
      </c>
      <c r="D1525" t="s">
        <v>87</v>
      </c>
      <c r="E1525" t="s">
        <v>44</v>
      </c>
      <c r="F1525" t="s">
        <v>71</v>
      </c>
      <c r="G1525" t="s">
        <v>46</v>
      </c>
      <c r="H1525" t="s">
        <v>53</v>
      </c>
      <c r="I1525" t="s">
        <v>61</v>
      </c>
      <c r="J1525" s="1">
        <v>46159</v>
      </c>
      <c r="K1525" s="1">
        <v>46159</v>
      </c>
      <c r="L1525" s="3">
        <v>18100</v>
      </c>
      <c r="M1525" s="4">
        <v>0</v>
      </c>
      <c r="N1525" s="4">
        <v>0</v>
      </c>
      <c r="O1525" t="s">
        <v>81</v>
      </c>
      <c r="P1525">
        <v>5</v>
      </c>
      <c r="Q1525" t="str">
        <f>IFERROR(VLOOKUP(E1525,Lookups!$A$5:$B$24,2,FALSE),"Other")</f>
        <v>Organic Search</v>
      </c>
      <c r="R1525" t="str">
        <f>IFERROR(VLOOKUP(F1525,Lookups!$D$5:$F$10,2,FALSE),"Unknown Product")</f>
        <v>Marketing Automation</v>
      </c>
      <c r="S1525" t="str">
        <f>IFERROR(VLOOKUP(F1525,Lookups!$D$5:$F$10,3,FALSE),"Unknown")</f>
        <v>Marketing</v>
      </c>
      <c r="T1525" t="str">
        <f t="shared" si="253"/>
        <v>SMB</v>
      </c>
      <c r="U1525" t="str">
        <f t="shared" si="254"/>
        <v>Lost</v>
      </c>
      <c r="V1525" s="3">
        <f t="shared" si="255"/>
        <v>0</v>
      </c>
      <c r="W1525" s="3">
        <f t="shared" si="256"/>
        <v>0</v>
      </c>
      <c r="X1525" s="5">
        <f t="shared" si="257"/>
        <v>55</v>
      </c>
      <c r="Y1525" s="5">
        <f>IF(U1525="Open",Lookups!$B$2-B1525,X1525)</f>
        <v>55</v>
      </c>
      <c r="Z1525" t="str">
        <f t="shared" si="258"/>
        <v>OK</v>
      </c>
      <c r="AA1525" t="str">
        <f t="shared" si="259"/>
        <v>2026-03</v>
      </c>
      <c r="AB1525" t="str">
        <f t="shared" si="260"/>
        <v>2026-05</v>
      </c>
      <c r="AC1525" t="str">
        <f t="shared" si="261"/>
        <v>Q1-2026</v>
      </c>
      <c r="AD1525" s="5">
        <f t="shared" si="262"/>
        <v>57</v>
      </c>
      <c r="AE1525" t="str">
        <f t="shared" si="263"/>
        <v>Lost</v>
      </c>
    </row>
    <row r="1526" spans="1:31">
      <c r="A1526" t="s">
        <v>1628</v>
      </c>
      <c r="B1526" s="1">
        <v>45671</v>
      </c>
      <c r="C1526" t="s">
        <v>90</v>
      </c>
      <c r="D1526" t="s">
        <v>57</v>
      </c>
      <c r="E1526" t="s">
        <v>83</v>
      </c>
      <c r="F1526" t="s">
        <v>52</v>
      </c>
      <c r="G1526" t="s">
        <v>94</v>
      </c>
      <c r="H1526" t="s">
        <v>53</v>
      </c>
      <c r="I1526" t="s">
        <v>61</v>
      </c>
      <c r="J1526" s="1">
        <v>45738</v>
      </c>
      <c r="K1526" s="1">
        <v>45738</v>
      </c>
      <c r="L1526" s="3">
        <v>11000</v>
      </c>
      <c r="M1526" s="4">
        <v>0</v>
      </c>
      <c r="N1526" s="4">
        <v>0</v>
      </c>
      <c r="O1526" t="s">
        <v>116</v>
      </c>
      <c r="P1526">
        <v>4</v>
      </c>
      <c r="Q1526" t="str">
        <f>IFERROR(VLOOKUP(E1526,Lookups!$A$5:$B$24,2,FALSE),"Other")</f>
        <v>Organic Search</v>
      </c>
      <c r="R1526" t="str">
        <f>IFERROR(VLOOKUP(F1526,Lookups!$D$5:$F$10,2,FALSE),"Unknown Product")</f>
        <v>NexaCRM Core</v>
      </c>
      <c r="S1526" t="str">
        <f>IFERROR(VLOOKUP(F1526,Lookups!$D$5:$F$10,3,FALSE),"Unknown")</f>
        <v>CRM</v>
      </c>
      <c r="T1526" t="str">
        <f t="shared" si="253"/>
        <v>SMB</v>
      </c>
      <c r="U1526" t="str">
        <f t="shared" si="254"/>
        <v>Lost</v>
      </c>
      <c r="V1526" s="3">
        <f t="shared" si="255"/>
        <v>0</v>
      </c>
      <c r="W1526" s="3">
        <f t="shared" si="256"/>
        <v>0</v>
      </c>
      <c r="X1526" s="5">
        <f t="shared" si="257"/>
        <v>67</v>
      </c>
      <c r="Y1526" s="5">
        <f>IF(U1526="Open",Lookups!$B$2-B1526,X1526)</f>
        <v>67</v>
      </c>
      <c r="Z1526" t="str">
        <f t="shared" si="258"/>
        <v>OK</v>
      </c>
      <c r="AA1526" t="str">
        <f t="shared" si="259"/>
        <v>2025-01</v>
      </c>
      <c r="AB1526" t="str">
        <f t="shared" si="260"/>
        <v>2025-03</v>
      </c>
      <c r="AC1526" t="str">
        <f t="shared" si="261"/>
        <v>Q1-2025</v>
      </c>
      <c r="AD1526" s="5">
        <f t="shared" si="262"/>
        <v>57</v>
      </c>
      <c r="AE1526" t="str">
        <f t="shared" si="263"/>
        <v>Lost</v>
      </c>
    </row>
    <row r="1527" spans="1:31">
      <c r="A1527" t="s">
        <v>1629</v>
      </c>
      <c r="B1527" s="1">
        <v>45698</v>
      </c>
      <c r="C1527" t="s">
        <v>56</v>
      </c>
      <c r="D1527" t="s">
        <v>57</v>
      </c>
      <c r="E1527" t="s">
        <v>65</v>
      </c>
      <c r="F1527" t="s">
        <v>45</v>
      </c>
      <c r="G1527" t="s">
        <v>94</v>
      </c>
      <c r="H1527" t="s">
        <v>47</v>
      </c>
      <c r="I1527" t="s">
        <v>61</v>
      </c>
      <c r="J1527" s="1">
        <v>45729</v>
      </c>
      <c r="K1527" s="1">
        <v>45729</v>
      </c>
      <c r="L1527" s="3">
        <v>27100</v>
      </c>
      <c r="M1527" s="4">
        <v>0</v>
      </c>
      <c r="N1527" s="4">
        <v>0</v>
      </c>
      <c r="O1527" t="s">
        <v>79</v>
      </c>
      <c r="P1527">
        <v>5</v>
      </c>
      <c r="Q1527" t="str">
        <f>IFERROR(VLOOKUP(E1527,Lookups!$A$5:$B$24,2,FALSE),"Other")</f>
        <v>Paid Search</v>
      </c>
      <c r="R1527" t="str">
        <f>IFERROR(VLOOKUP(F1527,Lookups!$D$5:$F$10,2,FALSE),"Unknown Product")</f>
        <v>Service Cloud</v>
      </c>
      <c r="S1527" t="str">
        <f>IFERROR(VLOOKUP(F1527,Lookups!$D$5:$F$10,3,FALSE),"Unknown")</f>
        <v>Customer Service</v>
      </c>
      <c r="T1527" t="str">
        <f t="shared" si="253"/>
        <v>Mid-Market</v>
      </c>
      <c r="U1527" t="str">
        <f t="shared" si="254"/>
        <v>Lost</v>
      </c>
      <c r="V1527" s="3">
        <f t="shared" si="255"/>
        <v>0</v>
      </c>
      <c r="W1527" s="3">
        <f t="shared" si="256"/>
        <v>0</v>
      </c>
      <c r="X1527" s="5">
        <f t="shared" si="257"/>
        <v>31</v>
      </c>
      <c r="Y1527" s="5">
        <f>IF(U1527="Open",Lookups!$B$2-B1527,X1527)</f>
        <v>31</v>
      </c>
      <c r="Z1527" t="str">
        <f t="shared" si="258"/>
        <v>OK</v>
      </c>
      <c r="AA1527" t="str">
        <f t="shared" si="259"/>
        <v>2025-02</v>
      </c>
      <c r="AB1527" t="str">
        <f t="shared" si="260"/>
        <v>2025-03</v>
      </c>
      <c r="AC1527" t="str">
        <f t="shared" si="261"/>
        <v>Q1-2025</v>
      </c>
      <c r="AD1527" s="5">
        <f t="shared" si="262"/>
        <v>51</v>
      </c>
      <c r="AE1527" t="str">
        <f t="shared" si="263"/>
        <v>Lost</v>
      </c>
    </row>
    <row r="1528" spans="1:31">
      <c r="A1528" t="s">
        <v>1630</v>
      </c>
      <c r="B1528" s="1">
        <v>45692</v>
      </c>
      <c r="C1528" t="s">
        <v>64</v>
      </c>
      <c r="D1528" t="s">
        <v>57</v>
      </c>
      <c r="E1528" t="s">
        <v>160</v>
      </c>
      <c r="F1528" t="s">
        <v>71</v>
      </c>
      <c r="G1528" t="s">
        <v>112</v>
      </c>
      <c r="H1528" t="s">
        <v>47</v>
      </c>
      <c r="I1528" t="s">
        <v>48</v>
      </c>
      <c r="J1528" s="1">
        <v>46037</v>
      </c>
      <c r="K1528" s="1"/>
      <c r="L1528" s="3">
        <v>17900</v>
      </c>
      <c r="M1528" s="4">
        <v>0.05</v>
      </c>
      <c r="N1528" s="4">
        <v>0.85</v>
      </c>
      <c r="P1528">
        <v>5</v>
      </c>
      <c r="Q1528" t="str">
        <f>IFERROR(VLOOKUP(E1528,Lookups!$A$5:$B$24,2,FALSE),"Other")</f>
        <v>Email</v>
      </c>
      <c r="R1528" t="str">
        <f>IFERROR(VLOOKUP(F1528,Lookups!$D$5:$F$10,2,FALSE),"Unknown Product")</f>
        <v>Marketing Automation</v>
      </c>
      <c r="S1528" t="str">
        <f>IFERROR(VLOOKUP(F1528,Lookups!$D$5:$F$10,3,FALSE),"Unknown")</f>
        <v>Marketing</v>
      </c>
      <c r="T1528" t="str">
        <f t="shared" si="253"/>
        <v>SMB</v>
      </c>
      <c r="U1528" t="str">
        <f t="shared" si="254"/>
        <v>Open</v>
      </c>
      <c r="V1528" s="3">
        <f t="shared" si="255"/>
        <v>0</v>
      </c>
      <c r="W1528" s="3">
        <f t="shared" si="256"/>
        <v>15215</v>
      </c>
      <c r="X1528" s="5" t="str">
        <f t="shared" si="257"/>
        <v/>
      </c>
      <c r="Y1528" s="5">
        <f>IF(U1528="Open",Lookups!$B$2-B1528,X1528)</f>
        <v>574</v>
      </c>
      <c r="Z1528" t="str">
        <f t="shared" si="258"/>
        <v>STALE</v>
      </c>
      <c r="AA1528" t="str">
        <f t="shared" si="259"/>
        <v>2025-02</v>
      </c>
      <c r="AB1528" t="str">
        <f t="shared" si="260"/>
        <v/>
      </c>
      <c r="AC1528" t="str">
        <f t="shared" si="261"/>
        <v>Q1-2025</v>
      </c>
      <c r="AD1528" s="5">
        <f t="shared" si="262"/>
        <v>52</v>
      </c>
      <c r="AE1528" t="str">
        <f t="shared" si="263"/>
        <v>Commit</v>
      </c>
    </row>
    <row r="1529" spans="1:31">
      <c r="A1529" t="s">
        <v>1631</v>
      </c>
      <c r="B1529" s="1">
        <v>45848</v>
      </c>
      <c r="C1529" t="s">
        <v>69</v>
      </c>
      <c r="D1529" t="s">
        <v>57</v>
      </c>
      <c r="E1529" t="s">
        <v>75</v>
      </c>
      <c r="F1529" t="s">
        <v>45</v>
      </c>
      <c r="G1529" t="s">
        <v>112</v>
      </c>
      <c r="H1529" t="s">
        <v>47</v>
      </c>
      <c r="I1529" t="s">
        <v>61</v>
      </c>
      <c r="J1529" s="1">
        <v>45895</v>
      </c>
      <c r="K1529" s="1">
        <v>45895</v>
      </c>
      <c r="L1529" s="3">
        <v>13500</v>
      </c>
      <c r="M1529" s="4">
        <v>0</v>
      </c>
      <c r="N1529" s="4">
        <v>0</v>
      </c>
      <c r="O1529" t="s">
        <v>102</v>
      </c>
      <c r="P1529">
        <v>2</v>
      </c>
      <c r="Q1529" t="str">
        <f>IFERROR(VLOOKUP(E1529,Lookups!$A$5:$B$24,2,FALSE),"Other")</f>
        <v>Webinar</v>
      </c>
      <c r="R1529" t="str">
        <f>IFERROR(VLOOKUP(F1529,Lookups!$D$5:$F$10,2,FALSE),"Unknown Product")</f>
        <v>Service Cloud</v>
      </c>
      <c r="S1529" t="str">
        <f>IFERROR(VLOOKUP(F1529,Lookups!$D$5:$F$10,3,FALSE),"Unknown")</f>
        <v>Customer Service</v>
      </c>
      <c r="T1529" t="str">
        <f t="shared" si="253"/>
        <v>SMB</v>
      </c>
      <c r="U1529" t="str">
        <f t="shared" si="254"/>
        <v>Lost</v>
      </c>
      <c r="V1529" s="3">
        <f t="shared" si="255"/>
        <v>0</v>
      </c>
      <c r="W1529" s="3">
        <f t="shared" si="256"/>
        <v>0</v>
      </c>
      <c r="X1529" s="5">
        <f t="shared" si="257"/>
        <v>47</v>
      </c>
      <c r="Y1529" s="5">
        <f>IF(U1529="Open",Lookups!$B$2-B1529,X1529)</f>
        <v>47</v>
      </c>
      <c r="Z1529" t="str">
        <f t="shared" si="258"/>
        <v>OK</v>
      </c>
      <c r="AA1529" t="str">
        <f t="shared" si="259"/>
        <v>2025-07</v>
      </c>
      <c r="AB1529" t="str">
        <f t="shared" si="260"/>
        <v>2025-08</v>
      </c>
      <c r="AC1529" t="str">
        <f t="shared" si="261"/>
        <v>Q3-2025</v>
      </c>
      <c r="AD1529" s="5">
        <f t="shared" si="262"/>
        <v>48</v>
      </c>
      <c r="AE1529" t="str">
        <f t="shared" si="263"/>
        <v>Lost</v>
      </c>
    </row>
    <row r="1530" spans="1:31">
      <c r="A1530" t="s">
        <v>1632</v>
      </c>
      <c r="B1530" s="1">
        <v>46081</v>
      </c>
      <c r="C1530" t="s">
        <v>42</v>
      </c>
      <c r="D1530" t="s">
        <v>43</v>
      </c>
      <c r="E1530" t="s">
        <v>138</v>
      </c>
      <c r="F1530" t="s">
        <v>67</v>
      </c>
      <c r="G1530" t="s">
        <v>46</v>
      </c>
      <c r="H1530" t="s">
        <v>47</v>
      </c>
      <c r="I1530" t="s">
        <v>61</v>
      </c>
      <c r="J1530" s="1">
        <v>46108</v>
      </c>
      <c r="K1530" s="1">
        <v>46108</v>
      </c>
      <c r="L1530" s="3">
        <v>37400</v>
      </c>
      <c r="M1530" s="4">
        <v>0</v>
      </c>
      <c r="N1530" s="4">
        <v>0</v>
      </c>
      <c r="O1530" t="s">
        <v>102</v>
      </c>
      <c r="P1530">
        <v>5</v>
      </c>
      <c r="Q1530" t="str">
        <f>IFERROR(VLOOKUP(E1530,Lookups!$A$5:$B$24,2,FALSE),"Other")</f>
        <v>Organic Search</v>
      </c>
      <c r="R1530" t="str">
        <f>IFERROR(VLOOKUP(F1530,Lookups!$D$5:$F$10,2,FALSE),"Unknown Product")</f>
        <v>Revenue Operations Suite</v>
      </c>
      <c r="S1530" t="str">
        <f>IFERROR(VLOOKUP(F1530,Lookups!$D$5:$F$10,3,FALSE),"Unknown")</f>
        <v>Revenue Ops</v>
      </c>
      <c r="T1530" t="str">
        <f t="shared" si="253"/>
        <v>Mid-Market</v>
      </c>
      <c r="U1530" t="str">
        <f t="shared" si="254"/>
        <v>Lost</v>
      </c>
      <c r="V1530" s="3">
        <f t="shared" si="255"/>
        <v>0</v>
      </c>
      <c r="W1530" s="3">
        <f t="shared" si="256"/>
        <v>0</v>
      </c>
      <c r="X1530" s="5">
        <f t="shared" si="257"/>
        <v>27</v>
      </c>
      <c r="Y1530" s="5">
        <f>IF(U1530="Open",Lookups!$B$2-B1530,X1530)</f>
        <v>27</v>
      </c>
      <c r="Z1530" t="str">
        <f t="shared" si="258"/>
        <v>OK</v>
      </c>
      <c r="AA1530" t="str">
        <f t="shared" si="259"/>
        <v>2026-02</v>
      </c>
      <c r="AB1530" t="str">
        <f t="shared" si="260"/>
        <v>2026-03</v>
      </c>
      <c r="AC1530" t="str">
        <f t="shared" si="261"/>
        <v>Q1-2026</v>
      </c>
      <c r="AD1530" s="5">
        <f t="shared" si="262"/>
        <v>57</v>
      </c>
      <c r="AE1530" t="str">
        <f t="shared" si="263"/>
        <v>Lost</v>
      </c>
    </row>
    <row r="1531" spans="1:31">
      <c r="A1531" t="s">
        <v>1633</v>
      </c>
      <c r="B1531" s="1">
        <v>46051</v>
      </c>
      <c r="C1531" t="s">
        <v>50</v>
      </c>
      <c r="D1531" t="s">
        <v>43</v>
      </c>
      <c r="E1531" t="s">
        <v>119</v>
      </c>
      <c r="F1531" t="s">
        <v>45</v>
      </c>
      <c r="G1531" t="s">
        <v>99</v>
      </c>
      <c r="H1531" t="s">
        <v>53</v>
      </c>
      <c r="I1531" t="s">
        <v>77</v>
      </c>
      <c r="J1531" s="1">
        <v>46152</v>
      </c>
      <c r="K1531" s="1">
        <v>46152</v>
      </c>
      <c r="L1531" s="3">
        <v>29600</v>
      </c>
      <c r="M1531" s="4">
        <v>0.03</v>
      </c>
      <c r="N1531" s="4">
        <v>1</v>
      </c>
      <c r="P1531">
        <v>6</v>
      </c>
      <c r="Q1531" t="str">
        <f>IFERROR(VLOOKUP(E1531,Lookups!$A$5:$B$24,2,FALSE),"Other")</f>
        <v>Referral</v>
      </c>
      <c r="R1531" t="str">
        <f>IFERROR(VLOOKUP(F1531,Lookups!$D$5:$F$10,2,FALSE),"Unknown Product")</f>
        <v>Service Cloud</v>
      </c>
      <c r="S1531" t="str">
        <f>IFERROR(VLOOKUP(F1531,Lookups!$D$5:$F$10,3,FALSE),"Unknown")</f>
        <v>Customer Service</v>
      </c>
      <c r="T1531" t="str">
        <f t="shared" si="253"/>
        <v>Mid-Market</v>
      </c>
      <c r="U1531" t="str">
        <f t="shared" si="254"/>
        <v>Won</v>
      </c>
      <c r="V1531" s="3">
        <f t="shared" si="255"/>
        <v>28712</v>
      </c>
      <c r="W1531" s="3">
        <f t="shared" si="256"/>
        <v>0</v>
      </c>
      <c r="X1531" s="5">
        <f t="shared" si="257"/>
        <v>101</v>
      </c>
      <c r="Y1531" s="5">
        <f>IF(U1531="Open",Lookups!$B$2-B1531,X1531)</f>
        <v>101</v>
      </c>
      <c r="Z1531" t="str">
        <f t="shared" si="258"/>
        <v>OK</v>
      </c>
      <c r="AA1531" t="str">
        <f t="shared" si="259"/>
        <v>2026-01</v>
      </c>
      <c r="AB1531" t="str">
        <f t="shared" si="260"/>
        <v>2026-05</v>
      </c>
      <c r="AC1531" t="str">
        <f t="shared" si="261"/>
        <v>Q1-2026</v>
      </c>
      <c r="AD1531" s="5">
        <f t="shared" si="262"/>
        <v>70</v>
      </c>
      <c r="AE1531" t="str">
        <f t="shared" si="263"/>
        <v>Won</v>
      </c>
    </row>
    <row r="1532" spans="1:31">
      <c r="A1532" t="s">
        <v>1634</v>
      </c>
      <c r="B1532" s="1">
        <v>46199</v>
      </c>
      <c r="C1532" t="s">
        <v>56</v>
      </c>
      <c r="D1532" t="s">
        <v>57</v>
      </c>
      <c r="E1532" t="s">
        <v>44</v>
      </c>
      <c r="F1532" t="s">
        <v>133</v>
      </c>
      <c r="G1532" t="s">
        <v>99</v>
      </c>
      <c r="H1532" t="s">
        <v>47</v>
      </c>
      <c r="I1532" t="s">
        <v>73</v>
      </c>
      <c r="J1532" s="1">
        <v>46228</v>
      </c>
      <c r="K1532" s="1"/>
      <c r="L1532" s="3">
        <v>20600</v>
      </c>
      <c r="M1532" s="4">
        <v>0.03</v>
      </c>
      <c r="N1532" s="4">
        <v>0.2</v>
      </c>
      <c r="P1532">
        <v>2</v>
      </c>
      <c r="Q1532" t="str">
        <f>IFERROR(VLOOKUP(E1532,Lookups!$A$5:$B$24,2,FALSE),"Other")</f>
        <v>Organic Search</v>
      </c>
      <c r="R1532" t="str">
        <f>IFERROR(VLOOKUP(F1532,Lookups!$D$5:$F$10,2,FALSE),"Unknown Product")</f>
        <v>Analytics Plus</v>
      </c>
      <c r="S1532" t="str">
        <f>IFERROR(VLOOKUP(F1532,Lookups!$D$5:$F$10,3,FALSE),"Unknown")</f>
        <v>Analytics</v>
      </c>
      <c r="T1532" t="str">
        <f t="shared" si="253"/>
        <v>Mid-Market</v>
      </c>
      <c r="U1532" t="str">
        <f t="shared" si="254"/>
        <v>Open</v>
      </c>
      <c r="V1532" s="3">
        <f t="shared" si="255"/>
        <v>0</v>
      </c>
      <c r="W1532" s="3">
        <f t="shared" si="256"/>
        <v>4120</v>
      </c>
      <c r="X1532" s="5" t="str">
        <f t="shared" si="257"/>
        <v/>
      </c>
      <c r="Y1532" s="5">
        <f>IF(U1532="Open",Lookups!$B$2-B1532,X1532)</f>
        <v>67</v>
      </c>
      <c r="Z1532" t="str">
        <f t="shared" si="258"/>
        <v>STALE</v>
      </c>
      <c r="AA1532" t="str">
        <f t="shared" si="259"/>
        <v>2026-06</v>
      </c>
      <c r="AB1532" t="str">
        <f t="shared" si="260"/>
        <v/>
      </c>
      <c r="AC1532" t="str">
        <f t="shared" si="261"/>
        <v>Q2-2026</v>
      </c>
      <c r="AD1532" s="5">
        <f t="shared" si="262"/>
        <v>57</v>
      </c>
      <c r="AE1532" t="str">
        <f t="shared" si="263"/>
        <v>Pipeline</v>
      </c>
    </row>
    <row r="1533" spans="1:31">
      <c r="A1533" t="s">
        <v>1635</v>
      </c>
      <c r="B1533" s="1">
        <v>46136</v>
      </c>
      <c r="C1533" t="s">
        <v>148</v>
      </c>
      <c r="D1533" t="s">
        <v>43</v>
      </c>
      <c r="E1533" t="s">
        <v>92</v>
      </c>
      <c r="F1533" t="s">
        <v>52</v>
      </c>
      <c r="G1533" t="s">
        <v>72</v>
      </c>
      <c r="H1533" t="s">
        <v>53</v>
      </c>
      <c r="I1533" t="s">
        <v>61</v>
      </c>
      <c r="J1533" s="1">
        <v>46170</v>
      </c>
      <c r="K1533" s="1">
        <v>46170</v>
      </c>
      <c r="L1533" s="3">
        <v>12700</v>
      </c>
      <c r="M1533" s="4">
        <v>0</v>
      </c>
      <c r="N1533" s="4">
        <v>0</v>
      </c>
      <c r="O1533" t="s">
        <v>116</v>
      </c>
      <c r="P1533">
        <v>5</v>
      </c>
      <c r="Q1533" t="str">
        <f>IFERROR(VLOOKUP(E1533,Lookups!$A$5:$B$24,2,FALSE),"Other")</f>
        <v>Webinar</v>
      </c>
      <c r="R1533" t="str">
        <f>IFERROR(VLOOKUP(F1533,Lookups!$D$5:$F$10,2,FALSE),"Unknown Product")</f>
        <v>NexaCRM Core</v>
      </c>
      <c r="S1533" t="str">
        <f>IFERROR(VLOOKUP(F1533,Lookups!$D$5:$F$10,3,FALSE),"Unknown")</f>
        <v>CRM</v>
      </c>
      <c r="T1533" t="str">
        <f t="shared" si="253"/>
        <v>SMB</v>
      </c>
      <c r="U1533" t="str">
        <f t="shared" si="254"/>
        <v>Lost</v>
      </c>
      <c r="V1533" s="3">
        <f t="shared" si="255"/>
        <v>0</v>
      </c>
      <c r="W1533" s="3">
        <f t="shared" si="256"/>
        <v>0</v>
      </c>
      <c r="X1533" s="5">
        <f t="shared" si="257"/>
        <v>34</v>
      </c>
      <c r="Y1533" s="5">
        <f>IF(U1533="Open",Lookups!$B$2-B1533,X1533)</f>
        <v>34</v>
      </c>
      <c r="Z1533" t="str">
        <f t="shared" si="258"/>
        <v>OK</v>
      </c>
      <c r="AA1533" t="str">
        <f t="shared" si="259"/>
        <v>2026-04</v>
      </c>
      <c r="AB1533" t="str">
        <f t="shared" si="260"/>
        <v>2026-05</v>
      </c>
      <c r="AC1533" t="str">
        <f t="shared" si="261"/>
        <v>Q2-2026</v>
      </c>
      <c r="AD1533" s="5">
        <f t="shared" si="262"/>
        <v>51</v>
      </c>
      <c r="AE1533" t="str">
        <f t="shared" si="263"/>
        <v>Lost</v>
      </c>
    </row>
    <row r="1534" spans="1:31">
      <c r="A1534" t="s">
        <v>1636</v>
      </c>
      <c r="B1534" s="1">
        <v>46063</v>
      </c>
      <c r="C1534" t="s">
        <v>86</v>
      </c>
      <c r="D1534" t="s">
        <v>87</v>
      </c>
      <c r="E1534" t="s">
        <v>75</v>
      </c>
      <c r="F1534" t="s">
        <v>45</v>
      </c>
      <c r="G1534" t="s">
        <v>72</v>
      </c>
      <c r="H1534" t="s">
        <v>53</v>
      </c>
      <c r="I1534" t="s">
        <v>61</v>
      </c>
      <c r="J1534" s="1">
        <v>46098</v>
      </c>
      <c r="K1534" s="1">
        <v>46098</v>
      </c>
      <c r="L1534" s="3">
        <v>47800</v>
      </c>
      <c r="M1534" s="4">
        <v>0</v>
      </c>
      <c r="N1534" s="4">
        <v>0</v>
      </c>
      <c r="O1534" t="s">
        <v>110</v>
      </c>
      <c r="P1534">
        <v>4</v>
      </c>
      <c r="Q1534" t="str">
        <f>IFERROR(VLOOKUP(E1534,Lookups!$A$5:$B$24,2,FALSE),"Other")</f>
        <v>Webinar</v>
      </c>
      <c r="R1534" t="str">
        <f>IFERROR(VLOOKUP(F1534,Lookups!$D$5:$F$10,2,FALSE),"Unknown Product")</f>
        <v>Service Cloud</v>
      </c>
      <c r="S1534" t="str">
        <f>IFERROR(VLOOKUP(F1534,Lookups!$D$5:$F$10,3,FALSE),"Unknown")</f>
        <v>Customer Service</v>
      </c>
      <c r="T1534" t="str">
        <f t="shared" si="253"/>
        <v>Mid-Market</v>
      </c>
      <c r="U1534" t="str">
        <f t="shared" si="254"/>
        <v>Lost</v>
      </c>
      <c r="V1534" s="3">
        <f t="shared" si="255"/>
        <v>0</v>
      </c>
      <c r="W1534" s="3">
        <f t="shared" si="256"/>
        <v>0</v>
      </c>
      <c r="X1534" s="5">
        <f t="shared" si="257"/>
        <v>35</v>
      </c>
      <c r="Y1534" s="5">
        <f>IF(U1534="Open",Lookups!$B$2-B1534,X1534)</f>
        <v>35</v>
      </c>
      <c r="Z1534" t="str">
        <f t="shared" si="258"/>
        <v>OK</v>
      </c>
      <c r="AA1534" t="str">
        <f t="shared" si="259"/>
        <v>2026-02</v>
      </c>
      <c r="AB1534" t="str">
        <f t="shared" si="260"/>
        <v>2026-03</v>
      </c>
      <c r="AC1534" t="str">
        <f t="shared" si="261"/>
        <v>Q1-2026</v>
      </c>
      <c r="AD1534" s="5">
        <f t="shared" si="262"/>
        <v>59</v>
      </c>
      <c r="AE1534" t="str">
        <f t="shared" si="263"/>
        <v>Lost</v>
      </c>
    </row>
    <row r="1535" spans="1:31">
      <c r="A1535" t="s">
        <v>1637</v>
      </c>
      <c r="B1535" s="1">
        <v>46242</v>
      </c>
      <c r="C1535" t="s">
        <v>90</v>
      </c>
      <c r="D1535" t="s">
        <v>57</v>
      </c>
      <c r="E1535" t="s">
        <v>123</v>
      </c>
      <c r="F1535" t="s">
        <v>52</v>
      </c>
      <c r="G1535" t="s">
        <v>99</v>
      </c>
      <c r="H1535" t="s">
        <v>53</v>
      </c>
      <c r="I1535" t="s">
        <v>73</v>
      </c>
      <c r="J1535" s="1">
        <v>46261</v>
      </c>
      <c r="K1535" s="1"/>
      <c r="L1535" s="3">
        <v>9300</v>
      </c>
      <c r="M1535" s="4">
        <v>0</v>
      </c>
      <c r="N1535" s="4">
        <v>0.2</v>
      </c>
      <c r="P1535">
        <v>2</v>
      </c>
      <c r="Q1535" t="str">
        <f>IFERROR(VLOOKUP(E1535,Lookups!$A$5:$B$24,2,FALSE),"Other")</f>
        <v>Email</v>
      </c>
      <c r="R1535" t="str">
        <f>IFERROR(VLOOKUP(F1535,Lookups!$D$5:$F$10,2,FALSE),"Unknown Product")</f>
        <v>NexaCRM Core</v>
      </c>
      <c r="S1535" t="str">
        <f>IFERROR(VLOOKUP(F1535,Lookups!$D$5:$F$10,3,FALSE),"Unknown")</f>
        <v>CRM</v>
      </c>
      <c r="T1535" t="str">
        <f t="shared" si="253"/>
        <v>SMB</v>
      </c>
      <c r="U1535" t="str">
        <f t="shared" si="254"/>
        <v>Open</v>
      </c>
      <c r="V1535" s="3">
        <f t="shared" si="255"/>
        <v>0</v>
      </c>
      <c r="W1535" s="3">
        <f t="shared" si="256"/>
        <v>1860</v>
      </c>
      <c r="X1535" s="5" t="str">
        <f t="shared" si="257"/>
        <v/>
      </c>
      <c r="Y1535" s="5">
        <f>IF(U1535="Open",Lookups!$B$2-B1535,X1535)</f>
        <v>24</v>
      </c>
      <c r="Z1535" t="str">
        <f t="shared" si="258"/>
        <v>OK</v>
      </c>
      <c r="AA1535" t="str">
        <f t="shared" si="259"/>
        <v>2026-08</v>
      </c>
      <c r="AB1535" t="str">
        <f t="shared" si="260"/>
        <v/>
      </c>
      <c r="AC1535" t="str">
        <f t="shared" si="261"/>
        <v>Q3-2026</v>
      </c>
      <c r="AD1535" s="5">
        <f t="shared" si="262"/>
        <v>55</v>
      </c>
      <c r="AE1535" t="str">
        <f t="shared" si="263"/>
        <v>Pipeline</v>
      </c>
    </row>
    <row r="1536" spans="1:31">
      <c r="A1536" t="s">
        <v>1638</v>
      </c>
      <c r="B1536" s="1">
        <v>46231</v>
      </c>
      <c r="C1536" t="s">
        <v>69</v>
      </c>
      <c r="D1536" t="s">
        <v>57</v>
      </c>
      <c r="E1536" t="s">
        <v>109</v>
      </c>
      <c r="F1536" t="s">
        <v>59</v>
      </c>
      <c r="G1536" t="s">
        <v>99</v>
      </c>
      <c r="H1536" t="s">
        <v>47</v>
      </c>
      <c r="I1536" t="s">
        <v>73</v>
      </c>
      <c r="J1536" s="1">
        <v>46246</v>
      </c>
      <c r="K1536" s="1"/>
      <c r="L1536" s="3">
        <v>13200</v>
      </c>
      <c r="M1536" s="4">
        <v>0.03</v>
      </c>
      <c r="N1536" s="4">
        <v>0.2</v>
      </c>
      <c r="P1536">
        <v>2</v>
      </c>
      <c r="Q1536" t="str">
        <f>IFERROR(VLOOKUP(E1536,Lookups!$A$5:$B$24,2,FALSE),"Other")</f>
        <v>Outbound</v>
      </c>
      <c r="R1536" t="str">
        <f>IFERROR(VLOOKUP(F1536,Lookups!$D$5:$F$10,2,FALSE),"Unknown Product")</f>
        <v>NexaCRM Pro</v>
      </c>
      <c r="S1536" t="str">
        <f>IFERROR(VLOOKUP(F1536,Lookups!$D$5:$F$10,3,FALSE),"Unknown")</f>
        <v>CRM</v>
      </c>
      <c r="T1536" t="str">
        <f t="shared" si="253"/>
        <v>SMB</v>
      </c>
      <c r="U1536" t="str">
        <f t="shared" si="254"/>
        <v>Open</v>
      </c>
      <c r="V1536" s="3">
        <f t="shared" si="255"/>
        <v>0</v>
      </c>
      <c r="W1536" s="3">
        <f t="shared" si="256"/>
        <v>2640</v>
      </c>
      <c r="X1536" s="5" t="str">
        <f t="shared" si="257"/>
        <v/>
      </c>
      <c r="Y1536" s="5">
        <f>IF(U1536="Open",Lookups!$B$2-B1536,X1536)</f>
        <v>35</v>
      </c>
      <c r="Z1536" t="str">
        <f t="shared" si="258"/>
        <v>STALE</v>
      </c>
      <c r="AA1536" t="str">
        <f t="shared" si="259"/>
        <v>2026-07</v>
      </c>
      <c r="AB1536" t="str">
        <f t="shared" si="260"/>
        <v/>
      </c>
      <c r="AC1536" t="str">
        <f t="shared" si="261"/>
        <v>Q3-2026</v>
      </c>
      <c r="AD1536" s="5">
        <f t="shared" si="262"/>
        <v>43</v>
      </c>
      <c r="AE1536" t="str">
        <f t="shared" si="263"/>
        <v>Pipeline</v>
      </c>
    </row>
    <row r="1537" spans="1:31">
      <c r="A1537" t="s">
        <v>1639</v>
      </c>
      <c r="B1537" s="1">
        <v>46232</v>
      </c>
      <c r="C1537" t="s">
        <v>64</v>
      </c>
      <c r="D1537" t="s">
        <v>57</v>
      </c>
      <c r="E1537" t="s">
        <v>138</v>
      </c>
      <c r="F1537" t="s">
        <v>52</v>
      </c>
      <c r="G1537" t="s">
        <v>76</v>
      </c>
      <c r="H1537" t="s">
        <v>47</v>
      </c>
      <c r="I1537" t="s">
        <v>187</v>
      </c>
      <c r="J1537" s="1">
        <v>46254</v>
      </c>
      <c r="K1537" s="1"/>
      <c r="L1537" s="3">
        <v>9600</v>
      </c>
      <c r="M1537" s="4">
        <v>0.03</v>
      </c>
      <c r="N1537" s="4">
        <v>0.05</v>
      </c>
      <c r="P1537">
        <v>1</v>
      </c>
      <c r="Q1537" t="str">
        <f>IFERROR(VLOOKUP(E1537,Lookups!$A$5:$B$24,2,FALSE),"Other")</f>
        <v>Organic Search</v>
      </c>
      <c r="R1537" t="str">
        <f>IFERROR(VLOOKUP(F1537,Lookups!$D$5:$F$10,2,FALSE),"Unknown Product")</f>
        <v>NexaCRM Core</v>
      </c>
      <c r="S1537" t="str">
        <f>IFERROR(VLOOKUP(F1537,Lookups!$D$5:$F$10,3,FALSE),"Unknown")</f>
        <v>CRM</v>
      </c>
      <c r="T1537" t="str">
        <f t="shared" si="253"/>
        <v>SMB</v>
      </c>
      <c r="U1537" t="str">
        <f t="shared" si="254"/>
        <v>Open</v>
      </c>
      <c r="V1537" s="3">
        <f t="shared" si="255"/>
        <v>0</v>
      </c>
      <c r="W1537" s="3">
        <f t="shared" si="256"/>
        <v>480</v>
      </c>
      <c r="X1537" s="5" t="str">
        <f t="shared" si="257"/>
        <v/>
      </c>
      <c r="Y1537" s="5">
        <f>IF(U1537="Open",Lookups!$B$2-B1537,X1537)</f>
        <v>34</v>
      </c>
      <c r="Z1537" t="str">
        <f t="shared" si="258"/>
        <v>STALE</v>
      </c>
      <c r="AA1537" t="str">
        <f t="shared" si="259"/>
        <v>2026-07</v>
      </c>
      <c r="AB1537" t="str">
        <f t="shared" si="260"/>
        <v/>
      </c>
      <c r="AC1537" t="str">
        <f t="shared" si="261"/>
        <v>Q3-2026</v>
      </c>
      <c r="AD1537" s="5">
        <f t="shared" si="262"/>
        <v>49</v>
      </c>
      <c r="AE1537" t="str">
        <f t="shared" si="263"/>
        <v>Pipeline</v>
      </c>
    </row>
    <row r="1538" spans="1:31">
      <c r="A1538" t="s">
        <v>1640</v>
      </c>
      <c r="B1538" s="1">
        <v>46255</v>
      </c>
      <c r="C1538" t="s">
        <v>56</v>
      </c>
      <c r="D1538" t="s">
        <v>57</v>
      </c>
      <c r="E1538" t="s">
        <v>98</v>
      </c>
      <c r="F1538" t="s">
        <v>71</v>
      </c>
      <c r="G1538" t="s">
        <v>46</v>
      </c>
      <c r="H1538" t="s">
        <v>53</v>
      </c>
      <c r="I1538" t="s">
        <v>61</v>
      </c>
      <c r="J1538" s="1">
        <v>46266</v>
      </c>
      <c r="K1538" s="1">
        <v>46266</v>
      </c>
      <c r="L1538" s="3">
        <v>25400</v>
      </c>
      <c r="M1538" s="4">
        <v>0</v>
      </c>
      <c r="N1538" s="4">
        <v>0</v>
      </c>
      <c r="O1538" t="s">
        <v>116</v>
      </c>
      <c r="P1538">
        <v>4</v>
      </c>
      <c r="Q1538" t="str">
        <f>IFERROR(VLOOKUP(E1538,Lookups!$A$5:$B$24,2,FALSE),"Other")</f>
        <v>Outbound</v>
      </c>
      <c r="R1538" t="str">
        <f>IFERROR(VLOOKUP(F1538,Lookups!$D$5:$F$10,2,FALSE),"Unknown Product")</f>
        <v>Marketing Automation</v>
      </c>
      <c r="S1538" t="str">
        <f>IFERROR(VLOOKUP(F1538,Lookups!$D$5:$F$10,3,FALSE),"Unknown")</f>
        <v>Marketing</v>
      </c>
      <c r="T1538" t="str">
        <f t="shared" ref="T1538:T1601" si="264">IF(L1538&gt;=50000,"Enterprise",IF(L1538&gt;=20000,"Mid-Market","SMB"))</f>
        <v>Mid-Market</v>
      </c>
      <c r="U1538" t="str">
        <f t="shared" ref="U1538:U1601" si="265">IF(I1538="Closed Won","Won",IF(I1538="Closed Lost","Lost","Open"))</f>
        <v>Lost</v>
      </c>
      <c r="V1538" s="3">
        <f t="shared" ref="V1538:V1601" si="266">IF(U1538="Won",L1538*(1-M1538),0)</f>
        <v>0</v>
      </c>
      <c r="W1538" s="3">
        <f t="shared" ref="W1538:W1601" si="267">IF(U1538="Open",L1538*N1538,0)</f>
        <v>0</v>
      </c>
      <c r="X1538" s="5">
        <f t="shared" ref="X1538:X1601" si="268">IF(U1538="Open","",IFERROR(K1538-B1538,""))</f>
        <v>11</v>
      </c>
      <c r="Y1538" s="5">
        <f>IF(U1538="Open",Lookups!$B$2-B1538,X1538)</f>
        <v>11</v>
      </c>
      <c r="Z1538" t="str">
        <f t="shared" ref="Z1538:Z1601" si="269">IF(AND(U1538="Open",Y1538&gt;30),"STALE","OK")</f>
        <v>OK</v>
      </c>
      <c r="AA1538" t="str">
        <f t="shared" ref="AA1538:AA1601" si="270">TEXT(B1538,"yyyy-mm")</f>
        <v>2026-08</v>
      </c>
      <c r="AB1538" t="str">
        <f t="shared" ref="AB1538:AB1601" si="271">IF(K1538="","",TEXT(K1538,"yyyy-mm"))</f>
        <v>2026-09</v>
      </c>
      <c r="AC1538" t="str">
        <f t="shared" ref="AC1538:AC1601" si="272">"Q"&amp;ROUNDUP(MONTH(B1538)/3,0)&amp;"-"&amp;YEAR(B1538)</f>
        <v>Q3-2026</v>
      </c>
      <c r="AD1538" s="5">
        <f t="shared" ref="AD1538:AD1601" si="273">MIN(100,IF(H1538="Enterprise",30,IF(H1538="Mid-Market",22,14))+IF(T1538="Enterprise",25,IF(T1538="Mid-Market",18,10))+IF(Q1538="Referral",25,IF(Q1538="Organic Search",20,IF(Q1538="Email",18,14)))+IF(G1538="Technology",10,5))</f>
        <v>59</v>
      </c>
      <c r="AE1538" t="str">
        <f t="shared" ref="AE1538:AE1601" si="274">IF(U1538&lt;&gt;"Open",U1538,IF(N1538&gt;=0.8,"Commit",IF(N1538&gt;=0.5,"Best Case","Pipeline")))</f>
        <v>Lost</v>
      </c>
    </row>
    <row r="1539" spans="1:31">
      <c r="A1539" t="s">
        <v>1641</v>
      </c>
      <c r="B1539" s="1">
        <v>45810</v>
      </c>
      <c r="C1539" t="s">
        <v>64</v>
      </c>
      <c r="D1539" t="s">
        <v>57</v>
      </c>
      <c r="E1539" t="s">
        <v>127</v>
      </c>
      <c r="F1539" t="s">
        <v>45</v>
      </c>
      <c r="G1539" t="s">
        <v>60</v>
      </c>
      <c r="H1539" t="s">
        <v>47</v>
      </c>
      <c r="I1539" t="s">
        <v>77</v>
      </c>
      <c r="J1539" s="1">
        <v>45837</v>
      </c>
      <c r="K1539" s="1">
        <v>45837</v>
      </c>
      <c r="L1539" s="3">
        <v>20600</v>
      </c>
      <c r="M1539" s="4">
        <v>0.1</v>
      </c>
      <c r="N1539" s="4">
        <v>1</v>
      </c>
      <c r="P1539">
        <v>6</v>
      </c>
      <c r="Q1539" t="str">
        <f>IFERROR(VLOOKUP(E1539,Lookups!$A$5:$B$24,2,FALSE),"Other")</f>
        <v>Paid Search</v>
      </c>
      <c r="R1539" t="str">
        <f>IFERROR(VLOOKUP(F1539,Lookups!$D$5:$F$10,2,FALSE),"Unknown Product")</f>
        <v>Service Cloud</v>
      </c>
      <c r="S1539" t="str">
        <f>IFERROR(VLOOKUP(F1539,Lookups!$D$5:$F$10,3,FALSE),"Unknown")</f>
        <v>Customer Service</v>
      </c>
      <c r="T1539" t="str">
        <f t="shared" si="264"/>
        <v>Mid-Market</v>
      </c>
      <c r="U1539" t="str">
        <f t="shared" si="265"/>
        <v>Won</v>
      </c>
      <c r="V1539" s="3">
        <f t="shared" si="266"/>
        <v>18540</v>
      </c>
      <c r="W1539" s="3">
        <f t="shared" si="267"/>
        <v>0</v>
      </c>
      <c r="X1539" s="5">
        <f t="shared" si="268"/>
        <v>27</v>
      </c>
      <c r="Y1539" s="5">
        <f>IF(U1539="Open",Lookups!$B$2-B1539,X1539)</f>
        <v>27</v>
      </c>
      <c r="Z1539" t="str">
        <f t="shared" si="269"/>
        <v>OK</v>
      </c>
      <c r="AA1539" t="str">
        <f t="shared" si="270"/>
        <v>2025-06</v>
      </c>
      <c r="AB1539" t="str">
        <f t="shared" si="271"/>
        <v>2025-06</v>
      </c>
      <c r="AC1539" t="str">
        <f t="shared" si="272"/>
        <v>Q2-2025</v>
      </c>
      <c r="AD1539" s="5">
        <f t="shared" si="273"/>
        <v>51</v>
      </c>
      <c r="AE1539" t="str">
        <f t="shared" si="274"/>
        <v>Won</v>
      </c>
    </row>
    <row r="1540" spans="1:31">
      <c r="A1540" t="s">
        <v>1642</v>
      </c>
      <c r="B1540" s="1">
        <v>45828</v>
      </c>
      <c r="C1540" t="s">
        <v>69</v>
      </c>
      <c r="D1540" t="s">
        <v>57</v>
      </c>
      <c r="E1540" t="s">
        <v>51</v>
      </c>
      <c r="F1540" t="s">
        <v>71</v>
      </c>
      <c r="G1540" t="s">
        <v>72</v>
      </c>
      <c r="H1540" t="s">
        <v>53</v>
      </c>
      <c r="I1540" t="s">
        <v>48</v>
      </c>
      <c r="J1540" s="1">
        <v>46064</v>
      </c>
      <c r="K1540" s="1"/>
      <c r="L1540" s="3">
        <v>35500</v>
      </c>
      <c r="M1540" s="4">
        <v>0</v>
      </c>
      <c r="N1540" s="4">
        <v>0.85</v>
      </c>
      <c r="P1540">
        <v>5</v>
      </c>
      <c r="Q1540" t="str">
        <f>IFERROR(VLOOKUP(E1540,Lookups!$A$5:$B$24,2,FALSE),"Other")</f>
        <v>Paid Search</v>
      </c>
      <c r="R1540" t="str">
        <f>IFERROR(VLOOKUP(F1540,Lookups!$D$5:$F$10,2,FALSE),"Unknown Product")</f>
        <v>Marketing Automation</v>
      </c>
      <c r="S1540" t="str">
        <f>IFERROR(VLOOKUP(F1540,Lookups!$D$5:$F$10,3,FALSE),"Unknown")</f>
        <v>Marketing</v>
      </c>
      <c r="T1540" t="str">
        <f t="shared" si="264"/>
        <v>Mid-Market</v>
      </c>
      <c r="U1540" t="str">
        <f t="shared" si="265"/>
        <v>Open</v>
      </c>
      <c r="V1540" s="3">
        <f t="shared" si="266"/>
        <v>0</v>
      </c>
      <c r="W1540" s="3">
        <f t="shared" si="267"/>
        <v>30175</v>
      </c>
      <c r="X1540" s="5" t="str">
        <f t="shared" si="268"/>
        <v/>
      </c>
      <c r="Y1540" s="5">
        <f>IF(U1540="Open",Lookups!$B$2-B1540,X1540)</f>
        <v>438</v>
      </c>
      <c r="Z1540" t="str">
        <f t="shared" si="269"/>
        <v>STALE</v>
      </c>
      <c r="AA1540" t="str">
        <f t="shared" si="270"/>
        <v>2025-06</v>
      </c>
      <c r="AB1540" t="str">
        <f t="shared" si="271"/>
        <v/>
      </c>
      <c r="AC1540" t="str">
        <f t="shared" si="272"/>
        <v>Q2-2025</v>
      </c>
      <c r="AD1540" s="5">
        <f t="shared" si="273"/>
        <v>59</v>
      </c>
      <c r="AE1540" t="str">
        <f t="shared" si="274"/>
        <v>Commit</v>
      </c>
    </row>
    <row r="1541" spans="1:31">
      <c r="A1541" t="s">
        <v>1643</v>
      </c>
      <c r="B1541" s="1">
        <v>46188</v>
      </c>
      <c r="C1541" t="s">
        <v>56</v>
      </c>
      <c r="D1541" t="s">
        <v>57</v>
      </c>
      <c r="E1541" t="s">
        <v>92</v>
      </c>
      <c r="F1541" t="s">
        <v>133</v>
      </c>
      <c r="G1541" t="s">
        <v>60</v>
      </c>
      <c r="H1541" t="s">
        <v>47</v>
      </c>
      <c r="I1541" t="s">
        <v>105</v>
      </c>
      <c r="J1541" s="1">
        <v>46221</v>
      </c>
      <c r="K1541" s="1"/>
      <c r="L1541" s="3">
        <v>18200</v>
      </c>
      <c r="M1541" s="4">
        <v>0.05</v>
      </c>
      <c r="N1541" s="4">
        <v>0.4</v>
      </c>
      <c r="P1541">
        <v>3</v>
      </c>
      <c r="Q1541" t="str">
        <f>IFERROR(VLOOKUP(E1541,Lookups!$A$5:$B$24,2,FALSE),"Other")</f>
        <v>Webinar</v>
      </c>
      <c r="R1541" t="str">
        <f>IFERROR(VLOOKUP(F1541,Lookups!$D$5:$F$10,2,FALSE),"Unknown Product")</f>
        <v>Analytics Plus</v>
      </c>
      <c r="S1541" t="str">
        <f>IFERROR(VLOOKUP(F1541,Lookups!$D$5:$F$10,3,FALSE),"Unknown")</f>
        <v>Analytics</v>
      </c>
      <c r="T1541" t="str">
        <f t="shared" si="264"/>
        <v>SMB</v>
      </c>
      <c r="U1541" t="str">
        <f t="shared" si="265"/>
        <v>Open</v>
      </c>
      <c r="V1541" s="3">
        <f t="shared" si="266"/>
        <v>0</v>
      </c>
      <c r="W1541" s="3">
        <f t="shared" si="267"/>
        <v>7280</v>
      </c>
      <c r="X1541" s="5" t="str">
        <f t="shared" si="268"/>
        <v/>
      </c>
      <c r="Y1541" s="5">
        <f>IF(U1541="Open",Lookups!$B$2-B1541,X1541)</f>
        <v>78</v>
      </c>
      <c r="Z1541" t="str">
        <f t="shared" si="269"/>
        <v>STALE</v>
      </c>
      <c r="AA1541" t="str">
        <f t="shared" si="270"/>
        <v>2026-06</v>
      </c>
      <c r="AB1541" t="str">
        <f t="shared" si="271"/>
        <v/>
      </c>
      <c r="AC1541" t="str">
        <f t="shared" si="272"/>
        <v>Q2-2026</v>
      </c>
      <c r="AD1541" s="5">
        <f t="shared" si="273"/>
        <v>43</v>
      </c>
      <c r="AE1541" t="str">
        <f t="shared" si="274"/>
        <v>Pipeline</v>
      </c>
    </row>
    <row r="1542" spans="1:31">
      <c r="A1542" t="s">
        <v>1644</v>
      </c>
      <c r="B1542" s="1">
        <v>46205</v>
      </c>
      <c r="C1542" t="s">
        <v>148</v>
      </c>
      <c r="D1542" t="s">
        <v>43</v>
      </c>
      <c r="E1542" t="s">
        <v>138</v>
      </c>
      <c r="F1542" t="s">
        <v>45</v>
      </c>
      <c r="G1542" t="s">
        <v>76</v>
      </c>
      <c r="H1542" t="s">
        <v>47</v>
      </c>
      <c r="I1542" t="s">
        <v>61</v>
      </c>
      <c r="J1542" s="1">
        <v>46213</v>
      </c>
      <c r="K1542" s="1">
        <v>46213</v>
      </c>
      <c r="L1542" s="3">
        <v>18500</v>
      </c>
      <c r="M1542" s="4">
        <v>0</v>
      </c>
      <c r="N1542" s="4">
        <v>0</v>
      </c>
      <c r="O1542" t="s">
        <v>79</v>
      </c>
      <c r="P1542">
        <v>2</v>
      </c>
      <c r="Q1542" t="str">
        <f>IFERROR(VLOOKUP(E1542,Lookups!$A$5:$B$24,2,FALSE),"Other")</f>
        <v>Organic Search</v>
      </c>
      <c r="R1542" t="str">
        <f>IFERROR(VLOOKUP(F1542,Lookups!$D$5:$F$10,2,FALSE),"Unknown Product")</f>
        <v>Service Cloud</v>
      </c>
      <c r="S1542" t="str">
        <f>IFERROR(VLOOKUP(F1542,Lookups!$D$5:$F$10,3,FALSE),"Unknown")</f>
        <v>Customer Service</v>
      </c>
      <c r="T1542" t="str">
        <f t="shared" si="264"/>
        <v>SMB</v>
      </c>
      <c r="U1542" t="str">
        <f t="shared" si="265"/>
        <v>Lost</v>
      </c>
      <c r="V1542" s="3">
        <f t="shared" si="266"/>
        <v>0</v>
      </c>
      <c r="W1542" s="3">
        <f t="shared" si="267"/>
        <v>0</v>
      </c>
      <c r="X1542" s="5">
        <f t="shared" si="268"/>
        <v>8</v>
      </c>
      <c r="Y1542" s="5">
        <f>IF(U1542="Open",Lookups!$B$2-B1542,X1542)</f>
        <v>8</v>
      </c>
      <c r="Z1542" t="str">
        <f t="shared" si="269"/>
        <v>OK</v>
      </c>
      <c r="AA1542" t="str">
        <f t="shared" si="270"/>
        <v>2026-07</v>
      </c>
      <c r="AB1542" t="str">
        <f t="shared" si="271"/>
        <v>2026-07</v>
      </c>
      <c r="AC1542" t="str">
        <f t="shared" si="272"/>
        <v>Q3-2026</v>
      </c>
      <c r="AD1542" s="5">
        <f t="shared" si="273"/>
        <v>49</v>
      </c>
      <c r="AE1542" t="str">
        <f t="shared" si="274"/>
        <v>Lost</v>
      </c>
    </row>
    <row r="1543" spans="1:31">
      <c r="A1543" t="s">
        <v>1645</v>
      </c>
      <c r="B1543" s="1">
        <v>45813</v>
      </c>
      <c r="C1543" t="s">
        <v>64</v>
      </c>
      <c r="D1543" t="s">
        <v>57</v>
      </c>
      <c r="E1543" t="s">
        <v>51</v>
      </c>
      <c r="F1543" t="s">
        <v>45</v>
      </c>
      <c r="G1543" t="s">
        <v>99</v>
      </c>
      <c r="H1543" t="s">
        <v>47</v>
      </c>
      <c r="I1543" t="s">
        <v>61</v>
      </c>
      <c r="J1543" s="1">
        <v>45853</v>
      </c>
      <c r="K1543" s="1">
        <v>45853</v>
      </c>
      <c r="L1543" s="3">
        <v>18200</v>
      </c>
      <c r="M1543" s="4">
        <v>0</v>
      </c>
      <c r="N1543" s="4">
        <v>0</v>
      </c>
      <c r="O1543" t="s">
        <v>116</v>
      </c>
      <c r="P1543">
        <v>5</v>
      </c>
      <c r="Q1543" t="str">
        <f>IFERROR(VLOOKUP(E1543,Lookups!$A$5:$B$24,2,FALSE),"Other")</f>
        <v>Paid Search</v>
      </c>
      <c r="R1543" t="str">
        <f>IFERROR(VLOOKUP(F1543,Lookups!$D$5:$F$10,2,FALSE),"Unknown Product")</f>
        <v>Service Cloud</v>
      </c>
      <c r="S1543" t="str">
        <f>IFERROR(VLOOKUP(F1543,Lookups!$D$5:$F$10,3,FALSE),"Unknown")</f>
        <v>Customer Service</v>
      </c>
      <c r="T1543" t="str">
        <f t="shared" si="264"/>
        <v>SMB</v>
      </c>
      <c r="U1543" t="str">
        <f t="shared" si="265"/>
        <v>Lost</v>
      </c>
      <c r="V1543" s="3">
        <f t="shared" si="266"/>
        <v>0</v>
      </c>
      <c r="W1543" s="3">
        <f t="shared" si="267"/>
        <v>0</v>
      </c>
      <c r="X1543" s="5">
        <f t="shared" si="268"/>
        <v>40</v>
      </c>
      <c r="Y1543" s="5">
        <f>IF(U1543="Open",Lookups!$B$2-B1543,X1543)</f>
        <v>40</v>
      </c>
      <c r="Z1543" t="str">
        <f t="shared" si="269"/>
        <v>OK</v>
      </c>
      <c r="AA1543" t="str">
        <f t="shared" si="270"/>
        <v>2025-06</v>
      </c>
      <c r="AB1543" t="str">
        <f t="shared" si="271"/>
        <v>2025-07</v>
      </c>
      <c r="AC1543" t="str">
        <f t="shared" si="272"/>
        <v>Q2-2025</v>
      </c>
      <c r="AD1543" s="5">
        <f t="shared" si="273"/>
        <v>43</v>
      </c>
      <c r="AE1543" t="str">
        <f t="shared" si="274"/>
        <v>Lost</v>
      </c>
    </row>
    <row r="1544" spans="1:31">
      <c r="A1544" t="s">
        <v>1646</v>
      </c>
      <c r="B1544" s="1">
        <v>46077</v>
      </c>
      <c r="C1544" t="s">
        <v>90</v>
      </c>
      <c r="D1544" t="s">
        <v>57</v>
      </c>
      <c r="E1544" t="s">
        <v>138</v>
      </c>
      <c r="F1544" t="s">
        <v>52</v>
      </c>
      <c r="G1544" t="s">
        <v>76</v>
      </c>
      <c r="H1544" t="s">
        <v>84</v>
      </c>
      <c r="I1544" t="s">
        <v>48</v>
      </c>
      <c r="J1544" s="1">
        <v>46174</v>
      </c>
      <c r="K1544" s="1"/>
      <c r="L1544" s="3">
        <v>21400</v>
      </c>
      <c r="M1544" s="4">
        <v>0.03</v>
      </c>
      <c r="N1544" s="4">
        <v>0.85</v>
      </c>
      <c r="P1544">
        <v>5</v>
      </c>
      <c r="Q1544" t="str">
        <f>IFERROR(VLOOKUP(E1544,Lookups!$A$5:$B$24,2,FALSE),"Other")</f>
        <v>Organic Search</v>
      </c>
      <c r="R1544" t="str">
        <f>IFERROR(VLOOKUP(F1544,Lookups!$D$5:$F$10,2,FALSE),"Unknown Product")</f>
        <v>NexaCRM Core</v>
      </c>
      <c r="S1544" t="str">
        <f>IFERROR(VLOOKUP(F1544,Lookups!$D$5:$F$10,3,FALSE),"Unknown")</f>
        <v>CRM</v>
      </c>
      <c r="T1544" t="str">
        <f t="shared" si="264"/>
        <v>Mid-Market</v>
      </c>
      <c r="U1544" t="str">
        <f t="shared" si="265"/>
        <v>Open</v>
      </c>
      <c r="V1544" s="3">
        <f t="shared" si="266"/>
        <v>0</v>
      </c>
      <c r="W1544" s="3">
        <f t="shared" si="267"/>
        <v>18190</v>
      </c>
      <c r="X1544" s="5" t="str">
        <f t="shared" si="268"/>
        <v/>
      </c>
      <c r="Y1544" s="5">
        <f>IF(U1544="Open",Lookups!$B$2-B1544,X1544)</f>
        <v>189</v>
      </c>
      <c r="Z1544" t="str">
        <f t="shared" si="269"/>
        <v>STALE</v>
      </c>
      <c r="AA1544" t="str">
        <f t="shared" si="270"/>
        <v>2026-02</v>
      </c>
      <c r="AB1544" t="str">
        <f t="shared" si="271"/>
        <v/>
      </c>
      <c r="AC1544" t="str">
        <f t="shared" si="272"/>
        <v>Q1-2026</v>
      </c>
      <c r="AD1544" s="5">
        <f t="shared" si="273"/>
        <v>73</v>
      </c>
      <c r="AE1544" t="str">
        <f t="shared" si="274"/>
        <v>Commit</v>
      </c>
    </row>
    <row r="1545" spans="1:31">
      <c r="A1545" t="s">
        <v>1647</v>
      </c>
      <c r="B1545" s="1">
        <v>45899</v>
      </c>
      <c r="C1545" t="s">
        <v>69</v>
      </c>
      <c r="D1545" t="s">
        <v>57</v>
      </c>
      <c r="E1545" t="s">
        <v>115</v>
      </c>
      <c r="F1545" t="s">
        <v>52</v>
      </c>
      <c r="G1545" t="s">
        <v>72</v>
      </c>
      <c r="H1545" t="s">
        <v>84</v>
      </c>
      <c r="I1545" t="s">
        <v>61</v>
      </c>
      <c r="J1545" s="1">
        <v>45963</v>
      </c>
      <c r="K1545" s="1">
        <v>45963</v>
      </c>
      <c r="L1545" s="3">
        <v>24600</v>
      </c>
      <c r="M1545" s="4">
        <v>0</v>
      </c>
      <c r="N1545" s="4">
        <v>0</v>
      </c>
      <c r="O1545" t="s">
        <v>79</v>
      </c>
      <c r="P1545">
        <v>2</v>
      </c>
      <c r="Q1545" t="str">
        <f>IFERROR(VLOOKUP(E1545,Lookups!$A$5:$B$24,2,FALSE),"Other")</f>
        <v>Outbound</v>
      </c>
      <c r="R1545" t="str">
        <f>IFERROR(VLOOKUP(F1545,Lookups!$D$5:$F$10,2,FALSE),"Unknown Product")</f>
        <v>NexaCRM Core</v>
      </c>
      <c r="S1545" t="str">
        <f>IFERROR(VLOOKUP(F1545,Lookups!$D$5:$F$10,3,FALSE),"Unknown")</f>
        <v>CRM</v>
      </c>
      <c r="T1545" t="str">
        <f t="shared" si="264"/>
        <v>Mid-Market</v>
      </c>
      <c r="U1545" t="str">
        <f t="shared" si="265"/>
        <v>Lost</v>
      </c>
      <c r="V1545" s="3">
        <f t="shared" si="266"/>
        <v>0</v>
      </c>
      <c r="W1545" s="3">
        <f t="shared" si="267"/>
        <v>0</v>
      </c>
      <c r="X1545" s="5">
        <f t="shared" si="268"/>
        <v>64</v>
      </c>
      <c r="Y1545" s="5">
        <f>IF(U1545="Open",Lookups!$B$2-B1545,X1545)</f>
        <v>64</v>
      </c>
      <c r="Z1545" t="str">
        <f t="shared" si="269"/>
        <v>OK</v>
      </c>
      <c r="AA1545" t="str">
        <f t="shared" si="270"/>
        <v>2025-08</v>
      </c>
      <c r="AB1545" t="str">
        <f t="shared" si="271"/>
        <v>2025-11</v>
      </c>
      <c r="AC1545" t="str">
        <f t="shared" si="272"/>
        <v>Q3-2025</v>
      </c>
      <c r="AD1545" s="5">
        <f t="shared" si="273"/>
        <v>67</v>
      </c>
      <c r="AE1545" t="str">
        <f t="shared" si="274"/>
        <v>Lost</v>
      </c>
    </row>
    <row r="1546" spans="1:31">
      <c r="A1546" t="s">
        <v>1648</v>
      </c>
      <c r="B1546" s="1">
        <v>46009</v>
      </c>
      <c r="C1546" t="s">
        <v>42</v>
      </c>
      <c r="D1546" t="s">
        <v>43</v>
      </c>
      <c r="E1546" t="s">
        <v>70</v>
      </c>
      <c r="F1546" t="s">
        <v>67</v>
      </c>
      <c r="G1546" t="s">
        <v>99</v>
      </c>
      <c r="H1546" t="s">
        <v>47</v>
      </c>
      <c r="I1546" t="s">
        <v>61</v>
      </c>
      <c r="J1546" s="1">
        <v>46017</v>
      </c>
      <c r="K1546" s="1">
        <v>46017</v>
      </c>
      <c r="L1546" s="3">
        <v>38100</v>
      </c>
      <c r="M1546" s="4">
        <v>0</v>
      </c>
      <c r="N1546" s="4">
        <v>0</v>
      </c>
      <c r="O1546" t="s">
        <v>62</v>
      </c>
      <c r="P1546">
        <v>2</v>
      </c>
      <c r="Q1546" t="str">
        <f>IFERROR(VLOOKUP(E1546,Lookups!$A$5:$B$24,2,FALSE),"Other")</f>
        <v>LinkedIn</v>
      </c>
      <c r="R1546" t="str">
        <f>IFERROR(VLOOKUP(F1546,Lookups!$D$5:$F$10,2,FALSE),"Unknown Product")</f>
        <v>Revenue Operations Suite</v>
      </c>
      <c r="S1546" t="str">
        <f>IFERROR(VLOOKUP(F1546,Lookups!$D$5:$F$10,3,FALSE),"Unknown")</f>
        <v>Revenue Ops</v>
      </c>
      <c r="T1546" t="str">
        <f t="shared" si="264"/>
        <v>Mid-Market</v>
      </c>
      <c r="U1546" t="str">
        <f t="shared" si="265"/>
        <v>Lost</v>
      </c>
      <c r="V1546" s="3">
        <f t="shared" si="266"/>
        <v>0</v>
      </c>
      <c r="W1546" s="3">
        <f t="shared" si="267"/>
        <v>0</v>
      </c>
      <c r="X1546" s="5">
        <f t="shared" si="268"/>
        <v>8</v>
      </c>
      <c r="Y1546" s="5">
        <f>IF(U1546="Open",Lookups!$B$2-B1546,X1546)</f>
        <v>8</v>
      </c>
      <c r="Z1546" t="str">
        <f t="shared" si="269"/>
        <v>OK</v>
      </c>
      <c r="AA1546" t="str">
        <f t="shared" si="270"/>
        <v>2025-12</v>
      </c>
      <c r="AB1546" t="str">
        <f t="shared" si="271"/>
        <v>2025-12</v>
      </c>
      <c r="AC1546" t="str">
        <f t="shared" si="272"/>
        <v>Q4-2025</v>
      </c>
      <c r="AD1546" s="5">
        <f t="shared" si="273"/>
        <v>51</v>
      </c>
      <c r="AE1546" t="str">
        <f t="shared" si="274"/>
        <v>Lost</v>
      </c>
    </row>
    <row r="1547" spans="1:31">
      <c r="A1547" t="s">
        <v>1649</v>
      </c>
      <c r="B1547" s="1">
        <v>45709</v>
      </c>
      <c r="C1547" t="s">
        <v>148</v>
      </c>
      <c r="D1547" t="s">
        <v>43</v>
      </c>
      <c r="E1547" t="s">
        <v>160</v>
      </c>
      <c r="F1547" t="s">
        <v>45</v>
      </c>
      <c r="G1547" t="s">
        <v>94</v>
      </c>
      <c r="H1547" t="s">
        <v>84</v>
      </c>
      <c r="I1547" t="s">
        <v>61</v>
      </c>
      <c r="J1547" s="1">
        <v>45742</v>
      </c>
      <c r="K1547" s="1">
        <v>45742</v>
      </c>
      <c r="L1547" s="3">
        <v>78900</v>
      </c>
      <c r="M1547" s="4">
        <v>0</v>
      </c>
      <c r="N1547" s="4">
        <v>0</v>
      </c>
      <c r="O1547" t="s">
        <v>116</v>
      </c>
      <c r="P1547">
        <v>3</v>
      </c>
      <c r="Q1547" t="str">
        <f>IFERROR(VLOOKUP(E1547,Lookups!$A$5:$B$24,2,FALSE),"Other")</f>
        <v>Email</v>
      </c>
      <c r="R1547" t="str">
        <f>IFERROR(VLOOKUP(F1547,Lookups!$D$5:$F$10,2,FALSE),"Unknown Product")</f>
        <v>Service Cloud</v>
      </c>
      <c r="S1547" t="str">
        <f>IFERROR(VLOOKUP(F1547,Lookups!$D$5:$F$10,3,FALSE),"Unknown")</f>
        <v>Customer Service</v>
      </c>
      <c r="T1547" t="str">
        <f t="shared" si="264"/>
        <v>Enterprise</v>
      </c>
      <c r="U1547" t="str">
        <f t="shared" si="265"/>
        <v>Lost</v>
      </c>
      <c r="V1547" s="3">
        <f t="shared" si="266"/>
        <v>0</v>
      </c>
      <c r="W1547" s="3">
        <f t="shared" si="267"/>
        <v>0</v>
      </c>
      <c r="X1547" s="5">
        <f t="shared" si="268"/>
        <v>33</v>
      </c>
      <c r="Y1547" s="5">
        <f>IF(U1547="Open",Lookups!$B$2-B1547,X1547)</f>
        <v>33</v>
      </c>
      <c r="Z1547" t="str">
        <f t="shared" si="269"/>
        <v>OK</v>
      </c>
      <c r="AA1547" t="str">
        <f t="shared" si="270"/>
        <v>2025-02</v>
      </c>
      <c r="AB1547" t="str">
        <f t="shared" si="271"/>
        <v>2025-03</v>
      </c>
      <c r="AC1547" t="str">
        <f t="shared" si="272"/>
        <v>Q1-2025</v>
      </c>
      <c r="AD1547" s="5">
        <f t="shared" si="273"/>
        <v>78</v>
      </c>
      <c r="AE1547" t="str">
        <f t="shared" si="274"/>
        <v>Lost</v>
      </c>
    </row>
    <row r="1548" spans="1:31">
      <c r="A1548" t="s">
        <v>1650</v>
      </c>
      <c r="B1548" s="1">
        <v>45836</v>
      </c>
      <c r="C1548" t="s">
        <v>50</v>
      </c>
      <c r="D1548" t="s">
        <v>43</v>
      </c>
      <c r="E1548" t="s">
        <v>166</v>
      </c>
      <c r="F1548" t="s">
        <v>67</v>
      </c>
      <c r="G1548" t="s">
        <v>60</v>
      </c>
      <c r="H1548" t="s">
        <v>47</v>
      </c>
      <c r="I1548" t="s">
        <v>61</v>
      </c>
      <c r="J1548" s="1">
        <v>45889</v>
      </c>
      <c r="K1548" s="1">
        <v>45889</v>
      </c>
      <c r="L1548" s="3">
        <v>42000</v>
      </c>
      <c r="M1548" s="4">
        <v>0</v>
      </c>
      <c r="N1548" s="4">
        <v>0</v>
      </c>
      <c r="O1548" t="s">
        <v>81</v>
      </c>
      <c r="P1548">
        <v>3</v>
      </c>
      <c r="Q1548" t="str">
        <f>IFERROR(VLOOKUP(E1548,Lookups!$A$5:$B$24,2,FALSE),"Other")</f>
        <v>Referral</v>
      </c>
      <c r="R1548" t="str">
        <f>IFERROR(VLOOKUP(F1548,Lookups!$D$5:$F$10,2,FALSE),"Unknown Product")</f>
        <v>Revenue Operations Suite</v>
      </c>
      <c r="S1548" t="str">
        <f>IFERROR(VLOOKUP(F1548,Lookups!$D$5:$F$10,3,FALSE),"Unknown")</f>
        <v>Revenue Ops</v>
      </c>
      <c r="T1548" t="str">
        <f t="shared" si="264"/>
        <v>Mid-Market</v>
      </c>
      <c r="U1548" t="str">
        <f t="shared" si="265"/>
        <v>Lost</v>
      </c>
      <c r="V1548" s="3">
        <f t="shared" si="266"/>
        <v>0</v>
      </c>
      <c r="W1548" s="3">
        <f t="shared" si="267"/>
        <v>0</v>
      </c>
      <c r="X1548" s="5">
        <f t="shared" si="268"/>
        <v>53</v>
      </c>
      <c r="Y1548" s="5">
        <f>IF(U1548="Open",Lookups!$B$2-B1548,X1548)</f>
        <v>53</v>
      </c>
      <c r="Z1548" t="str">
        <f t="shared" si="269"/>
        <v>OK</v>
      </c>
      <c r="AA1548" t="str">
        <f t="shared" si="270"/>
        <v>2025-06</v>
      </c>
      <c r="AB1548" t="str">
        <f t="shared" si="271"/>
        <v>2025-08</v>
      </c>
      <c r="AC1548" t="str">
        <f t="shared" si="272"/>
        <v>Q2-2025</v>
      </c>
      <c r="AD1548" s="5">
        <f t="shared" si="273"/>
        <v>62</v>
      </c>
      <c r="AE1548" t="str">
        <f t="shared" si="274"/>
        <v>Lost</v>
      </c>
    </row>
    <row r="1549" spans="1:31">
      <c r="A1549" t="s">
        <v>1651</v>
      </c>
      <c r="B1549" s="1">
        <v>45781</v>
      </c>
      <c r="C1549" t="s">
        <v>148</v>
      </c>
      <c r="D1549" t="s">
        <v>43</v>
      </c>
      <c r="E1549" t="s">
        <v>98</v>
      </c>
      <c r="F1549" t="s">
        <v>133</v>
      </c>
      <c r="G1549" t="s">
        <v>72</v>
      </c>
      <c r="H1549" t="s">
        <v>47</v>
      </c>
      <c r="I1549" t="s">
        <v>48</v>
      </c>
      <c r="J1549" s="1">
        <v>46097</v>
      </c>
      <c r="K1549" s="1"/>
      <c r="L1549" s="3">
        <v>30100</v>
      </c>
      <c r="M1549" s="4">
        <v>0</v>
      </c>
      <c r="N1549" s="4">
        <v>0.85</v>
      </c>
      <c r="P1549">
        <v>5</v>
      </c>
      <c r="Q1549" t="str">
        <f>IFERROR(VLOOKUP(E1549,Lookups!$A$5:$B$24,2,FALSE),"Other")</f>
        <v>Outbound</v>
      </c>
      <c r="R1549" t="str">
        <f>IFERROR(VLOOKUP(F1549,Lookups!$D$5:$F$10,2,FALSE),"Unknown Product")</f>
        <v>Analytics Plus</v>
      </c>
      <c r="S1549" t="str">
        <f>IFERROR(VLOOKUP(F1549,Lookups!$D$5:$F$10,3,FALSE),"Unknown")</f>
        <v>Analytics</v>
      </c>
      <c r="T1549" t="str">
        <f t="shared" si="264"/>
        <v>Mid-Market</v>
      </c>
      <c r="U1549" t="str">
        <f t="shared" si="265"/>
        <v>Open</v>
      </c>
      <c r="V1549" s="3">
        <f t="shared" si="266"/>
        <v>0</v>
      </c>
      <c r="W1549" s="3">
        <f t="shared" si="267"/>
        <v>25585</v>
      </c>
      <c r="X1549" s="5" t="str">
        <f t="shared" si="268"/>
        <v/>
      </c>
      <c r="Y1549" s="5">
        <f>IF(U1549="Open",Lookups!$B$2-B1549,X1549)</f>
        <v>485</v>
      </c>
      <c r="Z1549" t="str">
        <f t="shared" si="269"/>
        <v>STALE</v>
      </c>
      <c r="AA1549" t="str">
        <f t="shared" si="270"/>
        <v>2025-05</v>
      </c>
      <c r="AB1549" t="str">
        <f t="shared" si="271"/>
        <v/>
      </c>
      <c r="AC1549" t="str">
        <f t="shared" si="272"/>
        <v>Q2-2025</v>
      </c>
      <c r="AD1549" s="5">
        <f t="shared" si="273"/>
        <v>51</v>
      </c>
      <c r="AE1549" t="str">
        <f t="shared" si="274"/>
        <v>Commit</v>
      </c>
    </row>
    <row r="1550" spans="1:31">
      <c r="A1550" t="s">
        <v>1652</v>
      </c>
      <c r="B1550" s="1">
        <v>45733</v>
      </c>
      <c r="C1550" t="s">
        <v>148</v>
      </c>
      <c r="D1550" t="s">
        <v>43</v>
      </c>
      <c r="E1550" t="s">
        <v>96</v>
      </c>
      <c r="F1550" t="s">
        <v>52</v>
      </c>
      <c r="G1550" t="s">
        <v>60</v>
      </c>
      <c r="H1550" t="s">
        <v>53</v>
      </c>
      <c r="I1550" t="s">
        <v>61</v>
      </c>
      <c r="J1550" s="1">
        <v>45770</v>
      </c>
      <c r="K1550" s="1">
        <v>45770</v>
      </c>
      <c r="L1550" s="3">
        <v>14200</v>
      </c>
      <c r="M1550" s="4">
        <v>0</v>
      </c>
      <c r="N1550" s="4">
        <v>0</v>
      </c>
      <c r="O1550" t="s">
        <v>79</v>
      </c>
      <c r="P1550">
        <v>4</v>
      </c>
      <c r="Q1550" t="str">
        <f>IFERROR(VLOOKUP(E1550,Lookups!$A$5:$B$24,2,FALSE),"Other")</f>
        <v>LinkedIn</v>
      </c>
      <c r="R1550" t="str">
        <f>IFERROR(VLOOKUP(F1550,Lookups!$D$5:$F$10,2,FALSE),"Unknown Product")</f>
        <v>NexaCRM Core</v>
      </c>
      <c r="S1550" t="str">
        <f>IFERROR(VLOOKUP(F1550,Lookups!$D$5:$F$10,3,FALSE),"Unknown")</f>
        <v>CRM</v>
      </c>
      <c r="T1550" t="str">
        <f t="shared" si="264"/>
        <v>SMB</v>
      </c>
      <c r="U1550" t="str">
        <f t="shared" si="265"/>
        <v>Lost</v>
      </c>
      <c r="V1550" s="3">
        <f t="shared" si="266"/>
        <v>0</v>
      </c>
      <c r="W1550" s="3">
        <f t="shared" si="267"/>
        <v>0</v>
      </c>
      <c r="X1550" s="5">
        <f t="shared" si="268"/>
        <v>37</v>
      </c>
      <c r="Y1550" s="5">
        <f>IF(U1550="Open",Lookups!$B$2-B1550,X1550)</f>
        <v>37</v>
      </c>
      <c r="Z1550" t="str">
        <f t="shared" si="269"/>
        <v>OK</v>
      </c>
      <c r="AA1550" t="str">
        <f t="shared" si="270"/>
        <v>2025-03</v>
      </c>
      <c r="AB1550" t="str">
        <f t="shared" si="271"/>
        <v>2025-04</v>
      </c>
      <c r="AC1550" t="str">
        <f t="shared" si="272"/>
        <v>Q1-2025</v>
      </c>
      <c r="AD1550" s="5">
        <f t="shared" si="273"/>
        <v>51</v>
      </c>
      <c r="AE1550" t="str">
        <f t="shared" si="274"/>
        <v>Lost</v>
      </c>
    </row>
    <row r="1551" spans="1:31">
      <c r="A1551" t="s">
        <v>1653</v>
      </c>
      <c r="B1551" s="1">
        <v>45751</v>
      </c>
      <c r="C1551" t="s">
        <v>148</v>
      </c>
      <c r="D1551" t="s">
        <v>43</v>
      </c>
      <c r="E1551" t="s">
        <v>132</v>
      </c>
      <c r="F1551" t="s">
        <v>71</v>
      </c>
      <c r="G1551" t="s">
        <v>76</v>
      </c>
      <c r="H1551" t="s">
        <v>53</v>
      </c>
      <c r="I1551" t="s">
        <v>61</v>
      </c>
      <c r="J1551" s="1">
        <v>45809</v>
      </c>
      <c r="K1551" s="1">
        <v>45809</v>
      </c>
      <c r="L1551" s="3">
        <v>22200</v>
      </c>
      <c r="M1551" s="4">
        <v>0</v>
      </c>
      <c r="N1551" s="4">
        <v>0</v>
      </c>
      <c r="O1551" t="s">
        <v>79</v>
      </c>
      <c r="P1551">
        <v>5</v>
      </c>
      <c r="Q1551" t="str">
        <f>IFERROR(VLOOKUP(E1551,Lookups!$A$5:$B$24,2,FALSE),"Other")</f>
        <v>Other</v>
      </c>
      <c r="R1551" t="str">
        <f>IFERROR(VLOOKUP(F1551,Lookups!$D$5:$F$10,2,FALSE),"Unknown Product")</f>
        <v>Marketing Automation</v>
      </c>
      <c r="S1551" t="str">
        <f>IFERROR(VLOOKUP(F1551,Lookups!$D$5:$F$10,3,FALSE),"Unknown")</f>
        <v>Marketing</v>
      </c>
      <c r="T1551" t="str">
        <f t="shared" si="264"/>
        <v>Mid-Market</v>
      </c>
      <c r="U1551" t="str">
        <f t="shared" si="265"/>
        <v>Lost</v>
      </c>
      <c r="V1551" s="3">
        <f t="shared" si="266"/>
        <v>0</v>
      </c>
      <c r="W1551" s="3">
        <f t="shared" si="267"/>
        <v>0</v>
      </c>
      <c r="X1551" s="5">
        <f t="shared" si="268"/>
        <v>58</v>
      </c>
      <c r="Y1551" s="5">
        <f>IF(U1551="Open",Lookups!$B$2-B1551,X1551)</f>
        <v>58</v>
      </c>
      <c r="Z1551" t="str">
        <f t="shared" si="269"/>
        <v>OK</v>
      </c>
      <c r="AA1551" t="str">
        <f t="shared" si="270"/>
        <v>2025-04</v>
      </c>
      <c r="AB1551" t="str">
        <f t="shared" si="271"/>
        <v>2025-06</v>
      </c>
      <c r="AC1551" t="str">
        <f t="shared" si="272"/>
        <v>Q2-2025</v>
      </c>
      <c r="AD1551" s="5">
        <f t="shared" si="273"/>
        <v>59</v>
      </c>
      <c r="AE1551" t="str">
        <f t="shared" si="274"/>
        <v>Lost</v>
      </c>
    </row>
    <row r="1552" spans="1:31">
      <c r="A1552" t="s">
        <v>1654</v>
      </c>
      <c r="B1552" s="1">
        <v>46265</v>
      </c>
      <c r="C1552" t="s">
        <v>148</v>
      </c>
      <c r="D1552" t="s">
        <v>43</v>
      </c>
      <c r="E1552" t="s">
        <v>138</v>
      </c>
      <c r="F1552" t="s">
        <v>45</v>
      </c>
      <c r="G1552" t="s">
        <v>60</v>
      </c>
      <c r="H1552" t="s">
        <v>53</v>
      </c>
      <c r="I1552" t="s">
        <v>61</v>
      </c>
      <c r="J1552" s="1">
        <v>46266</v>
      </c>
      <c r="K1552" s="1">
        <v>46266</v>
      </c>
      <c r="L1552" s="3">
        <v>30200</v>
      </c>
      <c r="M1552" s="4">
        <v>0</v>
      </c>
      <c r="N1552" s="4">
        <v>0</v>
      </c>
      <c r="O1552" t="s">
        <v>79</v>
      </c>
      <c r="P1552">
        <v>4</v>
      </c>
      <c r="Q1552" t="str">
        <f>IFERROR(VLOOKUP(E1552,Lookups!$A$5:$B$24,2,FALSE),"Other")</f>
        <v>Organic Search</v>
      </c>
      <c r="R1552" t="str">
        <f>IFERROR(VLOOKUP(F1552,Lookups!$D$5:$F$10,2,FALSE),"Unknown Product")</f>
        <v>Service Cloud</v>
      </c>
      <c r="S1552" t="str">
        <f>IFERROR(VLOOKUP(F1552,Lookups!$D$5:$F$10,3,FALSE),"Unknown")</f>
        <v>Customer Service</v>
      </c>
      <c r="T1552" t="str">
        <f t="shared" si="264"/>
        <v>Mid-Market</v>
      </c>
      <c r="U1552" t="str">
        <f t="shared" si="265"/>
        <v>Lost</v>
      </c>
      <c r="V1552" s="3">
        <f t="shared" si="266"/>
        <v>0</v>
      </c>
      <c r="W1552" s="3">
        <f t="shared" si="267"/>
        <v>0</v>
      </c>
      <c r="X1552" s="5">
        <f t="shared" si="268"/>
        <v>1</v>
      </c>
      <c r="Y1552" s="5">
        <f>IF(U1552="Open",Lookups!$B$2-B1552,X1552)</f>
        <v>1</v>
      </c>
      <c r="Z1552" t="str">
        <f t="shared" si="269"/>
        <v>OK</v>
      </c>
      <c r="AA1552" t="str">
        <f t="shared" si="270"/>
        <v>2026-08</v>
      </c>
      <c r="AB1552" t="str">
        <f t="shared" si="271"/>
        <v>2026-09</v>
      </c>
      <c r="AC1552" t="str">
        <f t="shared" si="272"/>
        <v>Q3-2026</v>
      </c>
      <c r="AD1552" s="5">
        <f t="shared" si="273"/>
        <v>65</v>
      </c>
      <c r="AE1552" t="str">
        <f t="shared" si="274"/>
        <v>Lost</v>
      </c>
    </row>
    <row r="1553" spans="1:31">
      <c r="A1553" t="s">
        <v>1655</v>
      </c>
      <c r="B1553" s="1">
        <v>45860</v>
      </c>
      <c r="C1553" t="s">
        <v>86</v>
      </c>
      <c r="D1553" t="s">
        <v>87</v>
      </c>
      <c r="E1553" t="s">
        <v>146</v>
      </c>
      <c r="F1553" t="s">
        <v>45</v>
      </c>
      <c r="G1553" t="s">
        <v>94</v>
      </c>
      <c r="H1553" t="s">
        <v>84</v>
      </c>
      <c r="I1553" t="s">
        <v>61</v>
      </c>
      <c r="J1553" s="1">
        <v>45917</v>
      </c>
      <c r="K1553" s="1">
        <v>45917</v>
      </c>
      <c r="L1553" s="3">
        <v>66600</v>
      </c>
      <c r="M1553" s="4">
        <v>0</v>
      </c>
      <c r="N1553" s="4">
        <v>0</v>
      </c>
      <c r="O1553" t="s">
        <v>110</v>
      </c>
      <c r="P1553">
        <v>3</v>
      </c>
      <c r="Q1553" t="str">
        <f>IFERROR(VLOOKUP(E1553,Lookups!$A$5:$B$24,2,FALSE),"Other")</f>
        <v>LinkedIn</v>
      </c>
      <c r="R1553" t="str">
        <f>IFERROR(VLOOKUP(F1553,Lookups!$D$5:$F$10,2,FALSE),"Unknown Product")</f>
        <v>Service Cloud</v>
      </c>
      <c r="S1553" t="str">
        <f>IFERROR(VLOOKUP(F1553,Lookups!$D$5:$F$10,3,FALSE),"Unknown")</f>
        <v>Customer Service</v>
      </c>
      <c r="T1553" t="str">
        <f t="shared" si="264"/>
        <v>Enterprise</v>
      </c>
      <c r="U1553" t="str">
        <f t="shared" si="265"/>
        <v>Lost</v>
      </c>
      <c r="V1553" s="3">
        <f t="shared" si="266"/>
        <v>0</v>
      </c>
      <c r="W1553" s="3">
        <f t="shared" si="267"/>
        <v>0</v>
      </c>
      <c r="X1553" s="5">
        <f t="shared" si="268"/>
        <v>57</v>
      </c>
      <c r="Y1553" s="5">
        <f>IF(U1553="Open",Lookups!$B$2-B1553,X1553)</f>
        <v>57</v>
      </c>
      <c r="Z1553" t="str">
        <f t="shared" si="269"/>
        <v>OK</v>
      </c>
      <c r="AA1553" t="str">
        <f t="shared" si="270"/>
        <v>2025-07</v>
      </c>
      <c r="AB1553" t="str">
        <f t="shared" si="271"/>
        <v>2025-09</v>
      </c>
      <c r="AC1553" t="str">
        <f t="shared" si="272"/>
        <v>Q3-2025</v>
      </c>
      <c r="AD1553" s="5">
        <f t="shared" si="273"/>
        <v>74</v>
      </c>
      <c r="AE1553" t="str">
        <f t="shared" si="274"/>
        <v>Lost</v>
      </c>
    </row>
    <row r="1554" spans="1:31">
      <c r="A1554" t="s">
        <v>1656</v>
      </c>
      <c r="B1554" s="1">
        <v>46121</v>
      </c>
      <c r="C1554" t="s">
        <v>69</v>
      </c>
      <c r="D1554" t="s">
        <v>57</v>
      </c>
      <c r="E1554" t="s">
        <v>58</v>
      </c>
      <c r="F1554" t="s">
        <v>67</v>
      </c>
      <c r="G1554" t="s">
        <v>72</v>
      </c>
      <c r="H1554" t="s">
        <v>53</v>
      </c>
      <c r="I1554" t="s">
        <v>54</v>
      </c>
      <c r="J1554" s="1">
        <v>46175</v>
      </c>
      <c r="K1554" s="1"/>
      <c r="L1554" s="3">
        <v>38700</v>
      </c>
      <c r="M1554" s="4">
        <v>0.03</v>
      </c>
      <c r="N1554" s="4">
        <v>0.65</v>
      </c>
      <c r="P1554">
        <v>4</v>
      </c>
      <c r="Q1554" t="str">
        <f>IFERROR(VLOOKUP(E1554,Lookups!$A$5:$B$24,2,FALSE),"Other")</f>
        <v>Email</v>
      </c>
      <c r="R1554" t="str">
        <f>IFERROR(VLOOKUP(F1554,Lookups!$D$5:$F$10,2,FALSE),"Unknown Product")</f>
        <v>Revenue Operations Suite</v>
      </c>
      <c r="S1554" t="str">
        <f>IFERROR(VLOOKUP(F1554,Lookups!$D$5:$F$10,3,FALSE),"Unknown")</f>
        <v>Revenue Ops</v>
      </c>
      <c r="T1554" t="str">
        <f t="shared" si="264"/>
        <v>Mid-Market</v>
      </c>
      <c r="U1554" t="str">
        <f t="shared" si="265"/>
        <v>Open</v>
      </c>
      <c r="V1554" s="3">
        <f t="shared" si="266"/>
        <v>0</v>
      </c>
      <c r="W1554" s="3">
        <f t="shared" si="267"/>
        <v>25155</v>
      </c>
      <c r="X1554" s="5" t="str">
        <f t="shared" si="268"/>
        <v/>
      </c>
      <c r="Y1554" s="5">
        <f>IF(U1554="Open",Lookups!$B$2-B1554,X1554)</f>
        <v>145</v>
      </c>
      <c r="Z1554" t="str">
        <f t="shared" si="269"/>
        <v>STALE</v>
      </c>
      <c r="AA1554" t="str">
        <f t="shared" si="270"/>
        <v>2026-04</v>
      </c>
      <c r="AB1554" t="str">
        <f t="shared" si="271"/>
        <v/>
      </c>
      <c r="AC1554" t="str">
        <f t="shared" si="272"/>
        <v>Q2-2026</v>
      </c>
      <c r="AD1554" s="5">
        <f t="shared" si="273"/>
        <v>63</v>
      </c>
      <c r="AE1554" t="str">
        <f t="shared" si="274"/>
        <v>Best Case</v>
      </c>
    </row>
    <row r="1555" spans="1:31">
      <c r="A1555" t="s">
        <v>1657</v>
      </c>
      <c r="B1555" s="1">
        <v>46257</v>
      </c>
      <c r="C1555" t="s">
        <v>86</v>
      </c>
      <c r="D1555" t="s">
        <v>87</v>
      </c>
      <c r="E1555" t="s">
        <v>146</v>
      </c>
      <c r="F1555" t="s">
        <v>59</v>
      </c>
      <c r="G1555" t="s">
        <v>76</v>
      </c>
      <c r="H1555" t="s">
        <v>47</v>
      </c>
      <c r="I1555" t="s">
        <v>187</v>
      </c>
      <c r="J1555" s="1">
        <v>46262</v>
      </c>
      <c r="K1555" s="1"/>
      <c r="L1555" s="3">
        <v>10900</v>
      </c>
      <c r="M1555" s="4">
        <v>0.05</v>
      </c>
      <c r="N1555" s="4">
        <v>0.05</v>
      </c>
      <c r="P1555">
        <v>1</v>
      </c>
      <c r="Q1555" t="str">
        <f>IFERROR(VLOOKUP(E1555,Lookups!$A$5:$B$24,2,FALSE),"Other")</f>
        <v>LinkedIn</v>
      </c>
      <c r="R1555" t="str">
        <f>IFERROR(VLOOKUP(F1555,Lookups!$D$5:$F$10,2,FALSE),"Unknown Product")</f>
        <v>NexaCRM Pro</v>
      </c>
      <c r="S1555" t="str">
        <f>IFERROR(VLOOKUP(F1555,Lookups!$D$5:$F$10,3,FALSE),"Unknown")</f>
        <v>CRM</v>
      </c>
      <c r="T1555" t="str">
        <f t="shared" si="264"/>
        <v>SMB</v>
      </c>
      <c r="U1555" t="str">
        <f t="shared" si="265"/>
        <v>Open</v>
      </c>
      <c r="V1555" s="3">
        <f t="shared" si="266"/>
        <v>0</v>
      </c>
      <c r="W1555" s="3">
        <f t="shared" si="267"/>
        <v>545</v>
      </c>
      <c r="X1555" s="5" t="str">
        <f t="shared" si="268"/>
        <v/>
      </c>
      <c r="Y1555" s="5">
        <f>IF(U1555="Open",Lookups!$B$2-B1555,X1555)</f>
        <v>9</v>
      </c>
      <c r="Z1555" t="str">
        <f t="shared" si="269"/>
        <v>OK</v>
      </c>
      <c r="AA1555" t="str">
        <f t="shared" si="270"/>
        <v>2026-08</v>
      </c>
      <c r="AB1555" t="str">
        <f t="shared" si="271"/>
        <v/>
      </c>
      <c r="AC1555" t="str">
        <f t="shared" si="272"/>
        <v>Q3-2026</v>
      </c>
      <c r="AD1555" s="5">
        <f t="shared" si="273"/>
        <v>43</v>
      </c>
      <c r="AE1555" t="str">
        <f t="shared" si="274"/>
        <v>Pipeline</v>
      </c>
    </row>
    <row r="1556" spans="1:31">
      <c r="A1556" t="s">
        <v>1658</v>
      </c>
      <c r="B1556" s="1">
        <v>45688</v>
      </c>
      <c r="C1556" t="s">
        <v>148</v>
      </c>
      <c r="D1556" t="s">
        <v>43</v>
      </c>
      <c r="E1556" t="s">
        <v>107</v>
      </c>
      <c r="F1556" t="s">
        <v>71</v>
      </c>
      <c r="G1556" t="s">
        <v>76</v>
      </c>
      <c r="H1556" t="s">
        <v>47</v>
      </c>
      <c r="I1556" t="s">
        <v>61</v>
      </c>
      <c r="J1556" s="1">
        <v>45742</v>
      </c>
      <c r="K1556" s="1">
        <v>45742</v>
      </c>
      <c r="L1556" s="3">
        <v>19500</v>
      </c>
      <c r="M1556" s="4">
        <v>0</v>
      </c>
      <c r="N1556" s="4">
        <v>0</v>
      </c>
      <c r="O1556" t="s">
        <v>102</v>
      </c>
      <c r="P1556">
        <v>3</v>
      </c>
      <c r="Q1556" t="str">
        <f>IFERROR(VLOOKUP(E1556,Lookups!$A$5:$B$24,2,FALSE),"Other")</f>
        <v>Referral</v>
      </c>
      <c r="R1556" t="str">
        <f>IFERROR(VLOOKUP(F1556,Lookups!$D$5:$F$10,2,FALSE),"Unknown Product")</f>
        <v>Marketing Automation</v>
      </c>
      <c r="S1556" t="str">
        <f>IFERROR(VLOOKUP(F1556,Lookups!$D$5:$F$10,3,FALSE),"Unknown")</f>
        <v>Marketing</v>
      </c>
      <c r="T1556" t="str">
        <f t="shared" si="264"/>
        <v>SMB</v>
      </c>
      <c r="U1556" t="str">
        <f t="shared" si="265"/>
        <v>Lost</v>
      </c>
      <c r="V1556" s="3">
        <f t="shared" si="266"/>
        <v>0</v>
      </c>
      <c r="W1556" s="3">
        <f t="shared" si="267"/>
        <v>0</v>
      </c>
      <c r="X1556" s="5">
        <f t="shared" si="268"/>
        <v>54</v>
      </c>
      <c r="Y1556" s="5">
        <f>IF(U1556="Open",Lookups!$B$2-B1556,X1556)</f>
        <v>54</v>
      </c>
      <c r="Z1556" t="str">
        <f t="shared" si="269"/>
        <v>OK</v>
      </c>
      <c r="AA1556" t="str">
        <f t="shared" si="270"/>
        <v>2025-01</v>
      </c>
      <c r="AB1556" t="str">
        <f t="shared" si="271"/>
        <v>2025-03</v>
      </c>
      <c r="AC1556" t="str">
        <f t="shared" si="272"/>
        <v>Q1-2025</v>
      </c>
      <c r="AD1556" s="5">
        <f t="shared" si="273"/>
        <v>54</v>
      </c>
      <c r="AE1556" t="str">
        <f t="shared" si="274"/>
        <v>Lost</v>
      </c>
    </row>
    <row r="1557" spans="1:31">
      <c r="A1557" t="s">
        <v>1659</v>
      </c>
      <c r="B1557" s="1">
        <v>45983</v>
      </c>
      <c r="C1557" t="s">
        <v>42</v>
      </c>
      <c r="D1557" t="s">
        <v>43</v>
      </c>
      <c r="E1557" t="s">
        <v>166</v>
      </c>
      <c r="F1557" t="s">
        <v>67</v>
      </c>
      <c r="G1557" t="s">
        <v>46</v>
      </c>
      <c r="H1557" t="s">
        <v>53</v>
      </c>
      <c r="I1557" t="s">
        <v>48</v>
      </c>
      <c r="J1557" s="1">
        <v>46119</v>
      </c>
      <c r="K1557" s="1"/>
      <c r="L1557" s="3">
        <v>62100</v>
      </c>
      <c r="M1557" s="4">
        <v>0.05</v>
      </c>
      <c r="N1557" s="4">
        <v>0.85</v>
      </c>
      <c r="P1557">
        <v>5</v>
      </c>
      <c r="Q1557" t="str">
        <f>IFERROR(VLOOKUP(E1557,Lookups!$A$5:$B$24,2,FALSE),"Other")</f>
        <v>Referral</v>
      </c>
      <c r="R1557" t="str">
        <f>IFERROR(VLOOKUP(F1557,Lookups!$D$5:$F$10,2,FALSE),"Unknown Product")</f>
        <v>Revenue Operations Suite</v>
      </c>
      <c r="S1557" t="str">
        <f>IFERROR(VLOOKUP(F1557,Lookups!$D$5:$F$10,3,FALSE),"Unknown")</f>
        <v>Revenue Ops</v>
      </c>
      <c r="T1557" t="str">
        <f t="shared" si="264"/>
        <v>Enterprise</v>
      </c>
      <c r="U1557" t="str">
        <f t="shared" si="265"/>
        <v>Open</v>
      </c>
      <c r="V1557" s="3">
        <f t="shared" si="266"/>
        <v>0</v>
      </c>
      <c r="W1557" s="3">
        <f t="shared" si="267"/>
        <v>52785</v>
      </c>
      <c r="X1557" s="5" t="str">
        <f t="shared" si="268"/>
        <v/>
      </c>
      <c r="Y1557" s="5">
        <f>IF(U1557="Open",Lookups!$B$2-B1557,X1557)</f>
        <v>283</v>
      </c>
      <c r="Z1557" t="str">
        <f t="shared" si="269"/>
        <v>STALE</v>
      </c>
      <c r="AA1557" t="str">
        <f t="shared" si="270"/>
        <v>2025-11</v>
      </c>
      <c r="AB1557" t="str">
        <f t="shared" si="271"/>
        <v/>
      </c>
      <c r="AC1557" t="str">
        <f t="shared" si="272"/>
        <v>Q4-2025</v>
      </c>
      <c r="AD1557" s="5">
        <f t="shared" si="273"/>
        <v>77</v>
      </c>
      <c r="AE1557" t="str">
        <f t="shared" si="274"/>
        <v>Commit</v>
      </c>
    </row>
    <row r="1558" spans="1:31">
      <c r="A1558" t="s">
        <v>1660</v>
      </c>
      <c r="B1558" s="1">
        <v>46217</v>
      </c>
      <c r="C1558" t="s">
        <v>56</v>
      </c>
      <c r="D1558" t="s">
        <v>57</v>
      </c>
      <c r="E1558" t="s">
        <v>127</v>
      </c>
      <c r="F1558" t="s">
        <v>45</v>
      </c>
      <c r="G1558" t="s">
        <v>76</v>
      </c>
      <c r="H1558" t="s">
        <v>53</v>
      </c>
      <c r="I1558" t="s">
        <v>105</v>
      </c>
      <c r="J1558" s="1">
        <v>46257</v>
      </c>
      <c r="K1558" s="1"/>
      <c r="L1558" s="3">
        <v>44600</v>
      </c>
      <c r="M1558" s="4">
        <v>0.03</v>
      </c>
      <c r="N1558" s="4">
        <v>0.4</v>
      </c>
      <c r="P1558">
        <v>3</v>
      </c>
      <c r="Q1558" t="str">
        <f>IFERROR(VLOOKUP(E1558,Lookups!$A$5:$B$24,2,FALSE),"Other")</f>
        <v>Paid Search</v>
      </c>
      <c r="R1558" t="str">
        <f>IFERROR(VLOOKUP(F1558,Lookups!$D$5:$F$10,2,FALSE),"Unknown Product")</f>
        <v>Service Cloud</v>
      </c>
      <c r="S1558" t="str">
        <f>IFERROR(VLOOKUP(F1558,Lookups!$D$5:$F$10,3,FALSE),"Unknown")</f>
        <v>Customer Service</v>
      </c>
      <c r="T1558" t="str">
        <f t="shared" si="264"/>
        <v>Mid-Market</v>
      </c>
      <c r="U1558" t="str">
        <f t="shared" si="265"/>
        <v>Open</v>
      </c>
      <c r="V1558" s="3">
        <f t="shared" si="266"/>
        <v>0</v>
      </c>
      <c r="W1558" s="3">
        <f t="shared" si="267"/>
        <v>17840</v>
      </c>
      <c r="X1558" s="5" t="str">
        <f t="shared" si="268"/>
        <v/>
      </c>
      <c r="Y1558" s="5">
        <f>IF(U1558="Open",Lookups!$B$2-B1558,X1558)</f>
        <v>49</v>
      </c>
      <c r="Z1558" t="str">
        <f t="shared" si="269"/>
        <v>STALE</v>
      </c>
      <c r="AA1558" t="str">
        <f t="shared" si="270"/>
        <v>2026-07</v>
      </c>
      <c r="AB1558" t="str">
        <f t="shared" si="271"/>
        <v/>
      </c>
      <c r="AC1558" t="str">
        <f t="shared" si="272"/>
        <v>Q3-2026</v>
      </c>
      <c r="AD1558" s="5">
        <f t="shared" si="273"/>
        <v>59</v>
      </c>
      <c r="AE1558" t="str">
        <f t="shared" si="274"/>
        <v>Pipeline</v>
      </c>
    </row>
    <row r="1559" spans="1:31">
      <c r="A1559" t="s">
        <v>1661</v>
      </c>
      <c r="B1559" s="1">
        <v>45982</v>
      </c>
      <c r="C1559" t="s">
        <v>42</v>
      </c>
      <c r="D1559" t="s">
        <v>43</v>
      </c>
      <c r="E1559" t="s">
        <v>92</v>
      </c>
      <c r="F1559" t="s">
        <v>133</v>
      </c>
      <c r="G1559" t="s">
        <v>76</v>
      </c>
      <c r="H1559" t="s">
        <v>53</v>
      </c>
      <c r="I1559" t="s">
        <v>77</v>
      </c>
      <c r="J1559" s="1">
        <v>46030</v>
      </c>
      <c r="K1559" s="1">
        <v>46030</v>
      </c>
      <c r="L1559" s="3">
        <v>28100</v>
      </c>
      <c r="M1559" s="4">
        <v>0.12</v>
      </c>
      <c r="N1559" s="4">
        <v>1</v>
      </c>
      <c r="P1559">
        <v>6</v>
      </c>
      <c r="Q1559" t="str">
        <f>IFERROR(VLOOKUP(E1559,Lookups!$A$5:$B$24,2,FALSE),"Other")</f>
        <v>Webinar</v>
      </c>
      <c r="R1559" t="str">
        <f>IFERROR(VLOOKUP(F1559,Lookups!$D$5:$F$10,2,FALSE),"Unknown Product")</f>
        <v>Analytics Plus</v>
      </c>
      <c r="S1559" t="str">
        <f>IFERROR(VLOOKUP(F1559,Lookups!$D$5:$F$10,3,FALSE),"Unknown")</f>
        <v>Analytics</v>
      </c>
      <c r="T1559" t="str">
        <f t="shared" si="264"/>
        <v>Mid-Market</v>
      </c>
      <c r="U1559" t="str">
        <f t="shared" si="265"/>
        <v>Won</v>
      </c>
      <c r="V1559" s="3">
        <f t="shared" si="266"/>
        <v>24728</v>
      </c>
      <c r="W1559" s="3">
        <f t="shared" si="267"/>
        <v>0</v>
      </c>
      <c r="X1559" s="5">
        <f t="shared" si="268"/>
        <v>48</v>
      </c>
      <c r="Y1559" s="5">
        <f>IF(U1559="Open",Lookups!$B$2-B1559,X1559)</f>
        <v>48</v>
      </c>
      <c r="Z1559" t="str">
        <f t="shared" si="269"/>
        <v>OK</v>
      </c>
      <c r="AA1559" t="str">
        <f t="shared" si="270"/>
        <v>2025-11</v>
      </c>
      <c r="AB1559" t="str">
        <f t="shared" si="271"/>
        <v>2026-01</v>
      </c>
      <c r="AC1559" t="str">
        <f t="shared" si="272"/>
        <v>Q4-2025</v>
      </c>
      <c r="AD1559" s="5">
        <f t="shared" si="273"/>
        <v>59</v>
      </c>
      <c r="AE1559" t="str">
        <f t="shared" si="274"/>
        <v>Won</v>
      </c>
    </row>
    <row r="1560" spans="1:31">
      <c r="A1560" t="s">
        <v>1662</v>
      </c>
      <c r="B1560" s="1">
        <v>46236</v>
      </c>
      <c r="C1560" t="s">
        <v>64</v>
      </c>
      <c r="D1560" t="s">
        <v>57</v>
      </c>
      <c r="E1560" t="s">
        <v>96</v>
      </c>
      <c r="F1560" t="s">
        <v>67</v>
      </c>
      <c r="G1560" t="s">
        <v>46</v>
      </c>
      <c r="H1560" t="s">
        <v>47</v>
      </c>
      <c r="I1560" t="s">
        <v>73</v>
      </c>
      <c r="J1560" s="1">
        <v>46246</v>
      </c>
      <c r="K1560" s="1"/>
      <c r="L1560" s="3">
        <v>40100</v>
      </c>
      <c r="M1560" s="4">
        <v>0.05</v>
      </c>
      <c r="N1560" s="4">
        <v>0.2</v>
      </c>
      <c r="P1560">
        <v>2</v>
      </c>
      <c r="Q1560" t="str">
        <f>IFERROR(VLOOKUP(E1560,Lookups!$A$5:$B$24,2,FALSE),"Other")</f>
        <v>LinkedIn</v>
      </c>
      <c r="R1560" t="str">
        <f>IFERROR(VLOOKUP(F1560,Lookups!$D$5:$F$10,2,FALSE),"Unknown Product")</f>
        <v>Revenue Operations Suite</v>
      </c>
      <c r="S1560" t="str">
        <f>IFERROR(VLOOKUP(F1560,Lookups!$D$5:$F$10,3,FALSE),"Unknown")</f>
        <v>Revenue Ops</v>
      </c>
      <c r="T1560" t="str">
        <f t="shared" si="264"/>
        <v>Mid-Market</v>
      </c>
      <c r="U1560" t="str">
        <f t="shared" si="265"/>
        <v>Open</v>
      </c>
      <c r="V1560" s="3">
        <f t="shared" si="266"/>
        <v>0</v>
      </c>
      <c r="W1560" s="3">
        <f t="shared" si="267"/>
        <v>8020</v>
      </c>
      <c r="X1560" s="5" t="str">
        <f t="shared" si="268"/>
        <v/>
      </c>
      <c r="Y1560" s="5">
        <f>IF(U1560="Open",Lookups!$B$2-B1560,X1560)</f>
        <v>30</v>
      </c>
      <c r="Z1560" t="str">
        <f t="shared" si="269"/>
        <v>OK</v>
      </c>
      <c r="AA1560" t="str">
        <f t="shared" si="270"/>
        <v>2026-08</v>
      </c>
      <c r="AB1560" t="str">
        <f t="shared" si="271"/>
        <v/>
      </c>
      <c r="AC1560" t="str">
        <f t="shared" si="272"/>
        <v>Q3-2026</v>
      </c>
      <c r="AD1560" s="5">
        <f t="shared" si="273"/>
        <v>51</v>
      </c>
      <c r="AE1560" t="str">
        <f t="shared" si="274"/>
        <v>Pipeline</v>
      </c>
    </row>
    <row r="1561" spans="1:31">
      <c r="A1561" t="s">
        <v>1663</v>
      </c>
      <c r="B1561" s="1">
        <v>45853</v>
      </c>
      <c r="C1561" t="s">
        <v>148</v>
      </c>
      <c r="D1561" t="s">
        <v>43</v>
      </c>
      <c r="E1561" t="s">
        <v>70</v>
      </c>
      <c r="F1561" t="s">
        <v>67</v>
      </c>
      <c r="G1561" t="s">
        <v>60</v>
      </c>
      <c r="H1561" t="s">
        <v>84</v>
      </c>
      <c r="I1561" t="s">
        <v>48</v>
      </c>
      <c r="J1561" s="1">
        <v>46130</v>
      </c>
      <c r="K1561" s="1"/>
      <c r="L1561" s="3">
        <v>144700</v>
      </c>
      <c r="M1561" s="4">
        <v>0.05</v>
      </c>
      <c r="N1561" s="4">
        <v>0.85</v>
      </c>
      <c r="P1561">
        <v>5</v>
      </c>
      <c r="Q1561" t="str">
        <f>IFERROR(VLOOKUP(E1561,Lookups!$A$5:$B$24,2,FALSE),"Other")</f>
        <v>LinkedIn</v>
      </c>
      <c r="R1561" t="str">
        <f>IFERROR(VLOOKUP(F1561,Lookups!$D$5:$F$10,2,FALSE),"Unknown Product")</f>
        <v>Revenue Operations Suite</v>
      </c>
      <c r="S1561" t="str">
        <f>IFERROR(VLOOKUP(F1561,Lookups!$D$5:$F$10,3,FALSE),"Unknown")</f>
        <v>Revenue Ops</v>
      </c>
      <c r="T1561" t="str">
        <f t="shared" si="264"/>
        <v>Enterprise</v>
      </c>
      <c r="U1561" t="str">
        <f t="shared" si="265"/>
        <v>Open</v>
      </c>
      <c r="V1561" s="3">
        <f t="shared" si="266"/>
        <v>0</v>
      </c>
      <c r="W1561" s="3">
        <f t="shared" si="267"/>
        <v>122995</v>
      </c>
      <c r="X1561" s="5" t="str">
        <f t="shared" si="268"/>
        <v/>
      </c>
      <c r="Y1561" s="5">
        <f>IF(U1561="Open",Lookups!$B$2-B1561,X1561)</f>
        <v>413</v>
      </c>
      <c r="Z1561" t="str">
        <f t="shared" si="269"/>
        <v>STALE</v>
      </c>
      <c r="AA1561" t="str">
        <f t="shared" si="270"/>
        <v>2025-07</v>
      </c>
      <c r="AB1561" t="str">
        <f t="shared" si="271"/>
        <v/>
      </c>
      <c r="AC1561" t="str">
        <f t="shared" si="272"/>
        <v>Q3-2025</v>
      </c>
      <c r="AD1561" s="5">
        <f t="shared" si="273"/>
        <v>74</v>
      </c>
      <c r="AE1561" t="str">
        <f t="shared" si="274"/>
        <v>Commit</v>
      </c>
    </row>
    <row r="1562" spans="1:31">
      <c r="A1562" t="s">
        <v>1664</v>
      </c>
      <c r="B1562" s="1">
        <v>46113</v>
      </c>
      <c r="C1562" t="s">
        <v>86</v>
      </c>
      <c r="D1562" t="s">
        <v>87</v>
      </c>
      <c r="E1562" t="s">
        <v>109</v>
      </c>
      <c r="F1562" t="s">
        <v>52</v>
      </c>
      <c r="G1562" t="s">
        <v>112</v>
      </c>
      <c r="H1562" t="s">
        <v>84</v>
      </c>
      <c r="I1562" t="s">
        <v>77</v>
      </c>
      <c r="J1562" s="1">
        <v>46193</v>
      </c>
      <c r="K1562" s="1">
        <v>46193</v>
      </c>
      <c r="L1562" s="3">
        <v>23200</v>
      </c>
      <c r="M1562" s="4">
        <v>0</v>
      </c>
      <c r="N1562" s="4">
        <v>1</v>
      </c>
      <c r="P1562">
        <v>6</v>
      </c>
      <c r="Q1562" t="str">
        <f>IFERROR(VLOOKUP(E1562,Lookups!$A$5:$B$24,2,FALSE),"Other")</f>
        <v>Outbound</v>
      </c>
      <c r="R1562" t="str">
        <f>IFERROR(VLOOKUP(F1562,Lookups!$D$5:$F$10,2,FALSE),"Unknown Product")</f>
        <v>NexaCRM Core</v>
      </c>
      <c r="S1562" t="str">
        <f>IFERROR(VLOOKUP(F1562,Lookups!$D$5:$F$10,3,FALSE),"Unknown")</f>
        <v>CRM</v>
      </c>
      <c r="T1562" t="str">
        <f t="shared" si="264"/>
        <v>Mid-Market</v>
      </c>
      <c r="U1562" t="str">
        <f t="shared" si="265"/>
        <v>Won</v>
      </c>
      <c r="V1562" s="3">
        <f t="shared" si="266"/>
        <v>23200</v>
      </c>
      <c r="W1562" s="3">
        <f t="shared" si="267"/>
        <v>0</v>
      </c>
      <c r="X1562" s="5">
        <f t="shared" si="268"/>
        <v>80</v>
      </c>
      <c r="Y1562" s="5">
        <f>IF(U1562="Open",Lookups!$B$2-B1562,X1562)</f>
        <v>80</v>
      </c>
      <c r="Z1562" t="str">
        <f t="shared" si="269"/>
        <v>OK</v>
      </c>
      <c r="AA1562" t="str">
        <f t="shared" si="270"/>
        <v>2026-04</v>
      </c>
      <c r="AB1562" t="str">
        <f t="shared" si="271"/>
        <v>2026-06</v>
      </c>
      <c r="AC1562" t="str">
        <f t="shared" si="272"/>
        <v>Q2-2026</v>
      </c>
      <c r="AD1562" s="5">
        <f t="shared" si="273"/>
        <v>72</v>
      </c>
      <c r="AE1562" t="str">
        <f t="shared" si="274"/>
        <v>Won</v>
      </c>
    </row>
    <row r="1563" spans="1:31">
      <c r="A1563" t="s">
        <v>1665</v>
      </c>
      <c r="B1563" s="1">
        <v>46105</v>
      </c>
      <c r="C1563" t="s">
        <v>90</v>
      </c>
      <c r="D1563" t="s">
        <v>57</v>
      </c>
      <c r="E1563" t="s">
        <v>160</v>
      </c>
      <c r="F1563" t="s">
        <v>52</v>
      </c>
      <c r="G1563" t="s">
        <v>112</v>
      </c>
      <c r="H1563" t="s">
        <v>53</v>
      </c>
      <c r="I1563" t="s">
        <v>61</v>
      </c>
      <c r="J1563" s="1">
        <v>46157</v>
      </c>
      <c r="K1563" s="1">
        <v>46157</v>
      </c>
      <c r="L1563" s="3">
        <v>13400</v>
      </c>
      <c r="M1563" s="4">
        <v>0</v>
      </c>
      <c r="N1563" s="4">
        <v>0</v>
      </c>
      <c r="O1563" t="s">
        <v>79</v>
      </c>
      <c r="P1563">
        <v>3</v>
      </c>
      <c r="Q1563" t="str">
        <f>IFERROR(VLOOKUP(E1563,Lookups!$A$5:$B$24,2,FALSE),"Other")</f>
        <v>Email</v>
      </c>
      <c r="R1563" t="str">
        <f>IFERROR(VLOOKUP(F1563,Lookups!$D$5:$F$10,2,FALSE),"Unknown Product")</f>
        <v>NexaCRM Core</v>
      </c>
      <c r="S1563" t="str">
        <f>IFERROR(VLOOKUP(F1563,Lookups!$D$5:$F$10,3,FALSE),"Unknown")</f>
        <v>CRM</v>
      </c>
      <c r="T1563" t="str">
        <f t="shared" si="264"/>
        <v>SMB</v>
      </c>
      <c r="U1563" t="str">
        <f t="shared" si="265"/>
        <v>Lost</v>
      </c>
      <c r="V1563" s="3">
        <f t="shared" si="266"/>
        <v>0</v>
      </c>
      <c r="W1563" s="3">
        <f t="shared" si="267"/>
        <v>0</v>
      </c>
      <c r="X1563" s="5">
        <f t="shared" si="268"/>
        <v>52</v>
      </c>
      <c r="Y1563" s="5">
        <f>IF(U1563="Open",Lookups!$B$2-B1563,X1563)</f>
        <v>52</v>
      </c>
      <c r="Z1563" t="str">
        <f t="shared" si="269"/>
        <v>OK</v>
      </c>
      <c r="AA1563" t="str">
        <f t="shared" si="270"/>
        <v>2026-03</v>
      </c>
      <c r="AB1563" t="str">
        <f t="shared" si="271"/>
        <v>2026-05</v>
      </c>
      <c r="AC1563" t="str">
        <f t="shared" si="272"/>
        <v>Q1-2026</v>
      </c>
      <c r="AD1563" s="5">
        <f t="shared" si="273"/>
        <v>60</v>
      </c>
      <c r="AE1563" t="str">
        <f t="shared" si="274"/>
        <v>Lost</v>
      </c>
    </row>
    <row r="1564" spans="1:31">
      <c r="A1564" t="s">
        <v>1666</v>
      </c>
      <c r="B1564" s="1">
        <v>45758</v>
      </c>
      <c r="C1564" t="s">
        <v>64</v>
      </c>
      <c r="D1564" t="s">
        <v>57</v>
      </c>
      <c r="E1564" t="s">
        <v>127</v>
      </c>
      <c r="F1564" t="s">
        <v>45</v>
      </c>
      <c r="G1564" t="s">
        <v>99</v>
      </c>
      <c r="H1564" t="s">
        <v>47</v>
      </c>
      <c r="I1564" t="s">
        <v>77</v>
      </c>
      <c r="J1564" s="1">
        <v>45831</v>
      </c>
      <c r="K1564" s="1">
        <v>45831</v>
      </c>
      <c r="L1564" s="3">
        <v>22700</v>
      </c>
      <c r="M1564" s="4">
        <v>0.12</v>
      </c>
      <c r="N1564" s="4">
        <v>1</v>
      </c>
      <c r="P1564">
        <v>6</v>
      </c>
      <c r="Q1564" t="str">
        <f>IFERROR(VLOOKUP(E1564,Lookups!$A$5:$B$24,2,FALSE),"Other")</f>
        <v>Paid Search</v>
      </c>
      <c r="R1564" t="str">
        <f>IFERROR(VLOOKUP(F1564,Lookups!$D$5:$F$10,2,FALSE),"Unknown Product")</f>
        <v>Service Cloud</v>
      </c>
      <c r="S1564" t="str">
        <f>IFERROR(VLOOKUP(F1564,Lookups!$D$5:$F$10,3,FALSE),"Unknown")</f>
        <v>Customer Service</v>
      </c>
      <c r="T1564" t="str">
        <f t="shared" si="264"/>
        <v>Mid-Market</v>
      </c>
      <c r="U1564" t="str">
        <f t="shared" si="265"/>
        <v>Won</v>
      </c>
      <c r="V1564" s="3">
        <f t="shared" si="266"/>
        <v>19976</v>
      </c>
      <c r="W1564" s="3">
        <f t="shared" si="267"/>
        <v>0</v>
      </c>
      <c r="X1564" s="5">
        <f t="shared" si="268"/>
        <v>73</v>
      </c>
      <c r="Y1564" s="5">
        <f>IF(U1564="Open",Lookups!$B$2-B1564,X1564)</f>
        <v>73</v>
      </c>
      <c r="Z1564" t="str">
        <f t="shared" si="269"/>
        <v>OK</v>
      </c>
      <c r="AA1564" t="str">
        <f t="shared" si="270"/>
        <v>2025-04</v>
      </c>
      <c r="AB1564" t="str">
        <f t="shared" si="271"/>
        <v>2025-06</v>
      </c>
      <c r="AC1564" t="str">
        <f t="shared" si="272"/>
        <v>Q2-2025</v>
      </c>
      <c r="AD1564" s="5">
        <f t="shared" si="273"/>
        <v>51</v>
      </c>
      <c r="AE1564" t="str">
        <f t="shared" si="274"/>
        <v>Won</v>
      </c>
    </row>
    <row r="1565" spans="1:31">
      <c r="A1565" t="s">
        <v>1667</v>
      </c>
      <c r="B1565" s="1">
        <v>46260</v>
      </c>
      <c r="C1565" t="s">
        <v>148</v>
      </c>
      <c r="D1565" t="s">
        <v>43</v>
      </c>
      <c r="E1565" t="s">
        <v>107</v>
      </c>
      <c r="F1565" t="s">
        <v>67</v>
      </c>
      <c r="G1565" t="s">
        <v>99</v>
      </c>
      <c r="H1565" t="s">
        <v>53</v>
      </c>
      <c r="I1565" t="s">
        <v>187</v>
      </c>
      <c r="J1565" s="1">
        <v>46263</v>
      </c>
      <c r="K1565" s="1"/>
      <c r="L1565" s="3">
        <v>54300</v>
      </c>
      <c r="M1565" s="4">
        <v>0.05</v>
      </c>
      <c r="N1565" s="4">
        <v>0.05</v>
      </c>
      <c r="P1565">
        <v>1</v>
      </c>
      <c r="Q1565" t="str">
        <f>IFERROR(VLOOKUP(E1565,Lookups!$A$5:$B$24,2,FALSE),"Other")</f>
        <v>Referral</v>
      </c>
      <c r="R1565" t="str">
        <f>IFERROR(VLOOKUP(F1565,Lookups!$D$5:$F$10,2,FALSE),"Unknown Product")</f>
        <v>Revenue Operations Suite</v>
      </c>
      <c r="S1565" t="str">
        <f>IFERROR(VLOOKUP(F1565,Lookups!$D$5:$F$10,3,FALSE),"Unknown")</f>
        <v>Revenue Ops</v>
      </c>
      <c r="T1565" t="str">
        <f t="shared" si="264"/>
        <v>Enterprise</v>
      </c>
      <c r="U1565" t="str">
        <f t="shared" si="265"/>
        <v>Open</v>
      </c>
      <c r="V1565" s="3">
        <f t="shared" si="266"/>
        <v>0</v>
      </c>
      <c r="W1565" s="3">
        <f t="shared" si="267"/>
        <v>2715</v>
      </c>
      <c r="X1565" s="5" t="str">
        <f t="shared" si="268"/>
        <v/>
      </c>
      <c r="Y1565" s="5">
        <f>IF(U1565="Open",Lookups!$B$2-B1565,X1565)</f>
        <v>6</v>
      </c>
      <c r="Z1565" t="str">
        <f t="shared" si="269"/>
        <v>OK</v>
      </c>
      <c r="AA1565" t="str">
        <f t="shared" si="270"/>
        <v>2026-08</v>
      </c>
      <c r="AB1565" t="str">
        <f t="shared" si="271"/>
        <v/>
      </c>
      <c r="AC1565" t="str">
        <f t="shared" si="272"/>
        <v>Q3-2026</v>
      </c>
      <c r="AD1565" s="5">
        <f t="shared" si="273"/>
        <v>77</v>
      </c>
      <c r="AE1565" t="str">
        <f t="shared" si="274"/>
        <v>Pipeline</v>
      </c>
    </row>
    <row r="1566" spans="1:31">
      <c r="A1566" t="s">
        <v>1668</v>
      </c>
      <c r="B1566" s="1">
        <v>45745</v>
      </c>
      <c r="C1566" t="s">
        <v>42</v>
      </c>
      <c r="D1566" t="s">
        <v>43</v>
      </c>
      <c r="E1566" t="s">
        <v>104</v>
      </c>
      <c r="F1566" t="s">
        <v>52</v>
      </c>
      <c r="G1566" t="s">
        <v>99</v>
      </c>
      <c r="H1566" t="s">
        <v>84</v>
      </c>
      <c r="I1566" t="s">
        <v>48</v>
      </c>
      <c r="J1566" s="1">
        <v>45944</v>
      </c>
      <c r="K1566" s="1"/>
      <c r="L1566" s="3">
        <v>28600</v>
      </c>
      <c r="M1566" s="4">
        <v>0.03</v>
      </c>
      <c r="N1566" s="4">
        <v>0.85</v>
      </c>
      <c r="P1566">
        <v>5</v>
      </c>
      <c r="Q1566" t="str">
        <f>IFERROR(VLOOKUP(E1566,Lookups!$A$5:$B$24,2,FALSE),"Other")</f>
        <v>Other</v>
      </c>
      <c r="R1566" t="str">
        <f>IFERROR(VLOOKUP(F1566,Lookups!$D$5:$F$10,2,FALSE),"Unknown Product")</f>
        <v>NexaCRM Core</v>
      </c>
      <c r="S1566" t="str">
        <f>IFERROR(VLOOKUP(F1566,Lookups!$D$5:$F$10,3,FALSE),"Unknown")</f>
        <v>CRM</v>
      </c>
      <c r="T1566" t="str">
        <f t="shared" si="264"/>
        <v>Mid-Market</v>
      </c>
      <c r="U1566" t="str">
        <f t="shared" si="265"/>
        <v>Open</v>
      </c>
      <c r="V1566" s="3">
        <f t="shared" si="266"/>
        <v>0</v>
      </c>
      <c r="W1566" s="3">
        <f t="shared" si="267"/>
        <v>24310</v>
      </c>
      <c r="X1566" s="5" t="str">
        <f t="shared" si="268"/>
        <v/>
      </c>
      <c r="Y1566" s="5">
        <f>IF(U1566="Open",Lookups!$B$2-B1566,X1566)</f>
        <v>521</v>
      </c>
      <c r="Z1566" t="str">
        <f t="shared" si="269"/>
        <v>STALE</v>
      </c>
      <c r="AA1566" t="str">
        <f t="shared" si="270"/>
        <v>2025-03</v>
      </c>
      <c r="AB1566" t="str">
        <f t="shared" si="271"/>
        <v/>
      </c>
      <c r="AC1566" t="str">
        <f t="shared" si="272"/>
        <v>Q1-2025</v>
      </c>
      <c r="AD1566" s="5">
        <f t="shared" si="273"/>
        <v>67</v>
      </c>
      <c r="AE1566" t="str">
        <f t="shared" si="274"/>
        <v>Commit</v>
      </c>
    </row>
    <row r="1567" spans="1:31">
      <c r="A1567" t="s">
        <v>1669</v>
      </c>
      <c r="B1567" s="1">
        <v>45750</v>
      </c>
      <c r="C1567" t="s">
        <v>90</v>
      </c>
      <c r="D1567" t="s">
        <v>57</v>
      </c>
      <c r="E1567" t="s">
        <v>83</v>
      </c>
      <c r="F1567" t="s">
        <v>71</v>
      </c>
      <c r="G1567" t="s">
        <v>99</v>
      </c>
      <c r="H1567" t="s">
        <v>47</v>
      </c>
      <c r="I1567" t="s">
        <v>61</v>
      </c>
      <c r="J1567" s="1">
        <v>45822</v>
      </c>
      <c r="K1567" s="1">
        <v>45822</v>
      </c>
      <c r="L1567" s="3">
        <v>11500</v>
      </c>
      <c r="M1567" s="4">
        <v>0</v>
      </c>
      <c r="N1567" s="4">
        <v>0</v>
      </c>
      <c r="O1567" t="s">
        <v>110</v>
      </c>
      <c r="P1567">
        <v>2</v>
      </c>
      <c r="Q1567" t="str">
        <f>IFERROR(VLOOKUP(E1567,Lookups!$A$5:$B$24,2,FALSE),"Other")</f>
        <v>Organic Search</v>
      </c>
      <c r="R1567" t="str">
        <f>IFERROR(VLOOKUP(F1567,Lookups!$D$5:$F$10,2,FALSE),"Unknown Product")</f>
        <v>Marketing Automation</v>
      </c>
      <c r="S1567" t="str">
        <f>IFERROR(VLOOKUP(F1567,Lookups!$D$5:$F$10,3,FALSE),"Unknown")</f>
        <v>Marketing</v>
      </c>
      <c r="T1567" t="str">
        <f t="shared" si="264"/>
        <v>SMB</v>
      </c>
      <c r="U1567" t="str">
        <f t="shared" si="265"/>
        <v>Lost</v>
      </c>
      <c r="V1567" s="3">
        <f t="shared" si="266"/>
        <v>0</v>
      </c>
      <c r="W1567" s="3">
        <f t="shared" si="267"/>
        <v>0</v>
      </c>
      <c r="X1567" s="5">
        <f t="shared" si="268"/>
        <v>72</v>
      </c>
      <c r="Y1567" s="5">
        <f>IF(U1567="Open",Lookups!$B$2-B1567,X1567)</f>
        <v>72</v>
      </c>
      <c r="Z1567" t="str">
        <f t="shared" si="269"/>
        <v>OK</v>
      </c>
      <c r="AA1567" t="str">
        <f t="shared" si="270"/>
        <v>2025-04</v>
      </c>
      <c r="AB1567" t="str">
        <f t="shared" si="271"/>
        <v>2025-06</v>
      </c>
      <c r="AC1567" t="str">
        <f t="shared" si="272"/>
        <v>Q2-2025</v>
      </c>
      <c r="AD1567" s="5">
        <f t="shared" si="273"/>
        <v>49</v>
      </c>
      <c r="AE1567" t="str">
        <f t="shared" si="274"/>
        <v>Lost</v>
      </c>
    </row>
    <row r="1568" spans="1:31">
      <c r="A1568" t="s">
        <v>1670</v>
      </c>
      <c r="B1568" s="1">
        <v>46222</v>
      </c>
      <c r="C1568" t="s">
        <v>64</v>
      </c>
      <c r="D1568" t="s">
        <v>57</v>
      </c>
      <c r="E1568" t="s">
        <v>127</v>
      </c>
      <c r="F1568" t="s">
        <v>52</v>
      </c>
      <c r="G1568" t="s">
        <v>112</v>
      </c>
      <c r="H1568" t="s">
        <v>47</v>
      </c>
      <c r="I1568" t="s">
        <v>73</v>
      </c>
      <c r="J1568" s="1">
        <v>46249</v>
      </c>
      <c r="K1568" s="1"/>
      <c r="L1568" s="3">
        <v>4400</v>
      </c>
      <c r="M1568" s="4">
        <v>0.05</v>
      </c>
      <c r="N1568" s="4">
        <v>0.2</v>
      </c>
      <c r="P1568">
        <v>2</v>
      </c>
      <c r="Q1568" t="str">
        <f>IFERROR(VLOOKUP(E1568,Lookups!$A$5:$B$24,2,FALSE),"Other")</f>
        <v>Paid Search</v>
      </c>
      <c r="R1568" t="str">
        <f>IFERROR(VLOOKUP(F1568,Lookups!$D$5:$F$10,2,FALSE),"Unknown Product")</f>
        <v>NexaCRM Core</v>
      </c>
      <c r="S1568" t="str">
        <f>IFERROR(VLOOKUP(F1568,Lookups!$D$5:$F$10,3,FALSE),"Unknown")</f>
        <v>CRM</v>
      </c>
      <c r="T1568" t="str">
        <f t="shared" si="264"/>
        <v>SMB</v>
      </c>
      <c r="U1568" t="str">
        <f t="shared" si="265"/>
        <v>Open</v>
      </c>
      <c r="V1568" s="3">
        <f t="shared" si="266"/>
        <v>0</v>
      </c>
      <c r="W1568" s="3">
        <f t="shared" si="267"/>
        <v>880</v>
      </c>
      <c r="X1568" s="5" t="str">
        <f t="shared" si="268"/>
        <v/>
      </c>
      <c r="Y1568" s="5">
        <f>IF(U1568="Open",Lookups!$B$2-B1568,X1568)</f>
        <v>44</v>
      </c>
      <c r="Z1568" t="str">
        <f t="shared" si="269"/>
        <v>STALE</v>
      </c>
      <c r="AA1568" t="str">
        <f t="shared" si="270"/>
        <v>2026-07</v>
      </c>
      <c r="AB1568" t="str">
        <f t="shared" si="271"/>
        <v/>
      </c>
      <c r="AC1568" t="str">
        <f t="shared" si="272"/>
        <v>Q3-2026</v>
      </c>
      <c r="AD1568" s="5">
        <f t="shared" si="273"/>
        <v>48</v>
      </c>
      <c r="AE1568" t="str">
        <f t="shared" si="274"/>
        <v>Pipeline</v>
      </c>
    </row>
    <row r="1569" spans="1:31">
      <c r="A1569" t="s">
        <v>1671</v>
      </c>
      <c r="B1569" s="1">
        <v>46056</v>
      </c>
      <c r="C1569" t="s">
        <v>56</v>
      </c>
      <c r="D1569" t="s">
        <v>57</v>
      </c>
      <c r="E1569" t="s">
        <v>75</v>
      </c>
      <c r="F1569" t="s">
        <v>71</v>
      </c>
      <c r="G1569" t="s">
        <v>46</v>
      </c>
      <c r="H1569" t="s">
        <v>53</v>
      </c>
      <c r="I1569" t="s">
        <v>61</v>
      </c>
      <c r="J1569" s="1">
        <v>46077</v>
      </c>
      <c r="K1569" s="1">
        <v>46077</v>
      </c>
      <c r="L1569" s="3">
        <v>16900</v>
      </c>
      <c r="M1569" s="4">
        <v>0</v>
      </c>
      <c r="N1569" s="4">
        <v>0</v>
      </c>
      <c r="O1569" t="s">
        <v>79</v>
      </c>
      <c r="P1569">
        <v>4</v>
      </c>
      <c r="Q1569" t="str">
        <f>IFERROR(VLOOKUP(E1569,Lookups!$A$5:$B$24,2,FALSE),"Other")</f>
        <v>Webinar</v>
      </c>
      <c r="R1569" t="str">
        <f>IFERROR(VLOOKUP(F1569,Lookups!$D$5:$F$10,2,FALSE),"Unknown Product")</f>
        <v>Marketing Automation</v>
      </c>
      <c r="S1569" t="str">
        <f>IFERROR(VLOOKUP(F1569,Lookups!$D$5:$F$10,3,FALSE),"Unknown")</f>
        <v>Marketing</v>
      </c>
      <c r="T1569" t="str">
        <f t="shared" si="264"/>
        <v>SMB</v>
      </c>
      <c r="U1569" t="str">
        <f t="shared" si="265"/>
        <v>Lost</v>
      </c>
      <c r="V1569" s="3">
        <f t="shared" si="266"/>
        <v>0</v>
      </c>
      <c r="W1569" s="3">
        <f t="shared" si="267"/>
        <v>0</v>
      </c>
      <c r="X1569" s="5">
        <f t="shared" si="268"/>
        <v>21</v>
      </c>
      <c r="Y1569" s="5">
        <f>IF(U1569="Open",Lookups!$B$2-B1569,X1569)</f>
        <v>21</v>
      </c>
      <c r="Z1569" t="str">
        <f t="shared" si="269"/>
        <v>OK</v>
      </c>
      <c r="AA1569" t="str">
        <f t="shared" si="270"/>
        <v>2026-02</v>
      </c>
      <c r="AB1569" t="str">
        <f t="shared" si="271"/>
        <v>2026-02</v>
      </c>
      <c r="AC1569" t="str">
        <f t="shared" si="272"/>
        <v>Q1-2026</v>
      </c>
      <c r="AD1569" s="5">
        <f t="shared" si="273"/>
        <v>51</v>
      </c>
      <c r="AE1569" t="str">
        <f t="shared" si="274"/>
        <v>Lost</v>
      </c>
    </row>
    <row r="1570" spans="1:31">
      <c r="A1570" t="s">
        <v>1672</v>
      </c>
      <c r="B1570" s="1">
        <v>45950</v>
      </c>
      <c r="C1570" t="s">
        <v>86</v>
      </c>
      <c r="D1570" t="s">
        <v>87</v>
      </c>
      <c r="E1570" t="s">
        <v>70</v>
      </c>
      <c r="F1570" t="s">
        <v>59</v>
      </c>
      <c r="G1570" t="s">
        <v>112</v>
      </c>
      <c r="H1570" t="s">
        <v>47</v>
      </c>
      <c r="I1570" t="s">
        <v>61</v>
      </c>
      <c r="J1570" s="1">
        <v>45979</v>
      </c>
      <c r="K1570" s="1">
        <v>45979</v>
      </c>
      <c r="L1570" s="3">
        <v>21100</v>
      </c>
      <c r="M1570" s="4">
        <v>0</v>
      </c>
      <c r="N1570" s="4">
        <v>0</v>
      </c>
      <c r="O1570" t="s">
        <v>79</v>
      </c>
      <c r="P1570">
        <v>4</v>
      </c>
      <c r="Q1570" t="str">
        <f>IFERROR(VLOOKUP(E1570,Lookups!$A$5:$B$24,2,FALSE),"Other")</f>
        <v>LinkedIn</v>
      </c>
      <c r="R1570" t="str">
        <f>IFERROR(VLOOKUP(F1570,Lookups!$D$5:$F$10,2,FALSE),"Unknown Product")</f>
        <v>NexaCRM Pro</v>
      </c>
      <c r="S1570" t="str">
        <f>IFERROR(VLOOKUP(F1570,Lookups!$D$5:$F$10,3,FALSE),"Unknown")</f>
        <v>CRM</v>
      </c>
      <c r="T1570" t="str">
        <f t="shared" si="264"/>
        <v>Mid-Market</v>
      </c>
      <c r="U1570" t="str">
        <f t="shared" si="265"/>
        <v>Lost</v>
      </c>
      <c r="V1570" s="3">
        <f t="shared" si="266"/>
        <v>0</v>
      </c>
      <c r="W1570" s="3">
        <f t="shared" si="267"/>
        <v>0</v>
      </c>
      <c r="X1570" s="5">
        <f t="shared" si="268"/>
        <v>29</v>
      </c>
      <c r="Y1570" s="5">
        <f>IF(U1570="Open",Lookups!$B$2-B1570,X1570)</f>
        <v>29</v>
      </c>
      <c r="Z1570" t="str">
        <f t="shared" si="269"/>
        <v>OK</v>
      </c>
      <c r="AA1570" t="str">
        <f t="shared" si="270"/>
        <v>2025-10</v>
      </c>
      <c r="AB1570" t="str">
        <f t="shared" si="271"/>
        <v>2025-11</v>
      </c>
      <c r="AC1570" t="str">
        <f t="shared" si="272"/>
        <v>Q4-2025</v>
      </c>
      <c r="AD1570" s="5">
        <f t="shared" si="273"/>
        <v>56</v>
      </c>
      <c r="AE1570" t="str">
        <f t="shared" si="274"/>
        <v>Lost</v>
      </c>
    </row>
    <row r="1571" spans="1:31">
      <c r="A1571" t="s">
        <v>1673</v>
      </c>
      <c r="B1571" s="1">
        <v>46198</v>
      </c>
      <c r="C1571" t="s">
        <v>90</v>
      </c>
      <c r="D1571" t="s">
        <v>57</v>
      </c>
      <c r="E1571" t="s">
        <v>115</v>
      </c>
      <c r="F1571" t="s">
        <v>45</v>
      </c>
      <c r="G1571" t="s">
        <v>46</v>
      </c>
      <c r="H1571" t="s">
        <v>47</v>
      </c>
      <c r="I1571" t="s">
        <v>61</v>
      </c>
      <c r="J1571" s="1">
        <v>46237</v>
      </c>
      <c r="K1571" s="1">
        <v>46237</v>
      </c>
      <c r="L1571" s="3">
        <v>22900</v>
      </c>
      <c r="M1571" s="4">
        <v>0</v>
      </c>
      <c r="N1571" s="4">
        <v>0</v>
      </c>
      <c r="O1571" t="s">
        <v>110</v>
      </c>
      <c r="P1571">
        <v>4</v>
      </c>
      <c r="Q1571" t="str">
        <f>IFERROR(VLOOKUP(E1571,Lookups!$A$5:$B$24,2,FALSE),"Other")</f>
        <v>Outbound</v>
      </c>
      <c r="R1571" t="str">
        <f>IFERROR(VLOOKUP(F1571,Lookups!$D$5:$F$10,2,FALSE),"Unknown Product")</f>
        <v>Service Cloud</v>
      </c>
      <c r="S1571" t="str">
        <f>IFERROR(VLOOKUP(F1571,Lookups!$D$5:$F$10,3,FALSE),"Unknown")</f>
        <v>Customer Service</v>
      </c>
      <c r="T1571" t="str">
        <f t="shared" si="264"/>
        <v>Mid-Market</v>
      </c>
      <c r="U1571" t="str">
        <f t="shared" si="265"/>
        <v>Lost</v>
      </c>
      <c r="V1571" s="3">
        <f t="shared" si="266"/>
        <v>0</v>
      </c>
      <c r="W1571" s="3">
        <f t="shared" si="267"/>
        <v>0</v>
      </c>
      <c r="X1571" s="5">
        <f t="shared" si="268"/>
        <v>39</v>
      </c>
      <c r="Y1571" s="5">
        <f>IF(U1571="Open",Lookups!$B$2-B1571,X1571)</f>
        <v>39</v>
      </c>
      <c r="Z1571" t="str">
        <f t="shared" si="269"/>
        <v>OK</v>
      </c>
      <c r="AA1571" t="str">
        <f t="shared" si="270"/>
        <v>2026-06</v>
      </c>
      <c r="AB1571" t="str">
        <f t="shared" si="271"/>
        <v>2026-08</v>
      </c>
      <c r="AC1571" t="str">
        <f t="shared" si="272"/>
        <v>Q2-2026</v>
      </c>
      <c r="AD1571" s="5">
        <f t="shared" si="273"/>
        <v>51</v>
      </c>
      <c r="AE1571" t="str">
        <f t="shared" si="274"/>
        <v>Lost</v>
      </c>
    </row>
    <row r="1572" spans="1:31">
      <c r="A1572" t="s">
        <v>1674</v>
      </c>
      <c r="B1572" s="1">
        <v>45727</v>
      </c>
      <c r="C1572" t="s">
        <v>42</v>
      </c>
      <c r="D1572" t="s">
        <v>43</v>
      </c>
      <c r="E1572" t="s">
        <v>51</v>
      </c>
      <c r="F1572" t="s">
        <v>45</v>
      </c>
      <c r="G1572" t="s">
        <v>94</v>
      </c>
      <c r="H1572" t="s">
        <v>47</v>
      </c>
      <c r="I1572" t="s">
        <v>61</v>
      </c>
      <c r="J1572" s="1">
        <v>45735</v>
      </c>
      <c r="K1572" s="1">
        <v>45735</v>
      </c>
      <c r="L1572" s="3">
        <v>15500</v>
      </c>
      <c r="M1572" s="4">
        <v>0</v>
      </c>
      <c r="N1572" s="4">
        <v>0</v>
      </c>
      <c r="O1572" t="s">
        <v>79</v>
      </c>
      <c r="P1572">
        <v>3</v>
      </c>
      <c r="Q1572" t="str">
        <f>IFERROR(VLOOKUP(E1572,Lookups!$A$5:$B$24,2,FALSE),"Other")</f>
        <v>Paid Search</v>
      </c>
      <c r="R1572" t="str">
        <f>IFERROR(VLOOKUP(F1572,Lookups!$D$5:$F$10,2,FALSE),"Unknown Product")</f>
        <v>Service Cloud</v>
      </c>
      <c r="S1572" t="str">
        <f>IFERROR(VLOOKUP(F1572,Lookups!$D$5:$F$10,3,FALSE),"Unknown")</f>
        <v>Customer Service</v>
      </c>
      <c r="T1572" t="str">
        <f t="shared" si="264"/>
        <v>SMB</v>
      </c>
      <c r="U1572" t="str">
        <f t="shared" si="265"/>
        <v>Lost</v>
      </c>
      <c r="V1572" s="3">
        <f t="shared" si="266"/>
        <v>0</v>
      </c>
      <c r="W1572" s="3">
        <f t="shared" si="267"/>
        <v>0</v>
      </c>
      <c r="X1572" s="5">
        <f t="shared" si="268"/>
        <v>8</v>
      </c>
      <c r="Y1572" s="5">
        <f>IF(U1572="Open",Lookups!$B$2-B1572,X1572)</f>
        <v>8</v>
      </c>
      <c r="Z1572" t="str">
        <f t="shared" si="269"/>
        <v>OK</v>
      </c>
      <c r="AA1572" t="str">
        <f t="shared" si="270"/>
        <v>2025-03</v>
      </c>
      <c r="AB1572" t="str">
        <f t="shared" si="271"/>
        <v>2025-03</v>
      </c>
      <c r="AC1572" t="str">
        <f t="shared" si="272"/>
        <v>Q1-2025</v>
      </c>
      <c r="AD1572" s="5">
        <f t="shared" si="273"/>
        <v>43</v>
      </c>
      <c r="AE1572" t="str">
        <f t="shared" si="274"/>
        <v>Lost</v>
      </c>
    </row>
    <row r="1573" spans="1:31">
      <c r="A1573" t="s">
        <v>1675</v>
      </c>
      <c r="B1573" s="1">
        <v>46067</v>
      </c>
      <c r="C1573" t="s">
        <v>42</v>
      </c>
      <c r="D1573" t="s">
        <v>43</v>
      </c>
      <c r="E1573" t="s">
        <v>160</v>
      </c>
      <c r="F1573" t="s">
        <v>67</v>
      </c>
      <c r="G1573" t="s">
        <v>76</v>
      </c>
      <c r="H1573" t="s">
        <v>47</v>
      </c>
      <c r="I1573" t="s">
        <v>77</v>
      </c>
      <c r="J1573" s="1">
        <v>46119</v>
      </c>
      <c r="K1573" s="1">
        <v>46119</v>
      </c>
      <c r="L1573" s="3">
        <v>25100</v>
      </c>
      <c r="M1573" s="4">
        <v>0.05</v>
      </c>
      <c r="N1573" s="4">
        <v>1</v>
      </c>
      <c r="P1573">
        <v>6</v>
      </c>
      <c r="Q1573" t="str">
        <f>IFERROR(VLOOKUP(E1573,Lookups!$A$5:$B$24,2,FALSE),"Other")</f>
        <v>Email</v>
      </c>
      <c r="R1573" t="str">
        <f>IFERROR(VLOOKUP(F1573,Lookups!$D$5:$F$10,2,FALSE),"Unknown Product")</f>
        <v>Revenue Operations Suite</v>
      </c>
      <c r="S1573" t="str">
        <f>IFERROR(VLOOKUP(F1573,Lookups!$D$5:$F$10,3,FALSE),"Unknown")</f>
        <v>Revenue Ops</v>
      </c>
      <c r="T1573" t="str">
        <f t="shared" si="264"/>
        <v>Mid-Market</v>
      </c>
      <c r="U1573" t="str">
        <f t="shared" si="265"/>
        <v>Won</v>
      </c>
      <c r="V1573" s="3">
        <f t="shared" si="266"/>
        <v>23845</v>
      </c>
      <c r="W1573" s="3">
        <f t="shared" si="267"/>
        <v>0</v>
      </c>
      <c r="X1573" s="5">
        <f t="shared" si="268"/>
        <v>52</v>
      </c>
      <c r="Y1573" s="5">
        <f>IF(U1573="Open",Lookups!$B$2-B1573,X1573)</f>
        <v>52</v>
      </c>
      <c r="Z1573" t="str">
        <f t="shared" si="269"/>
        <v>OK</v>
      </c>
      <c r="AA1573" t="str">
        <f t="shared" si="270"/>
        <v>2026-02</v>
      </c>
      <c r="AB1573" t="str">
        <f t="shared" si="271"/>
        <v>2026-04</v>
      </c>
      <c r="AC1573" t="str">
        <f t="shared" si="272"/>
        <v>Q1-2026</v>
      </c>
      <c r="AD1573" s="5">
        <f t="shared" si="273"/>
        <v>55</v>
      </c>
      <c r="AE1573" t="str">
        <f t="shared" si="274"/>
        <v>Won</v>
      </c>
    </row>
    <row r="1574" spans="1:31">
      <c r="A1574" t="s">
        <v>1676</v>
      </c>
      <c r="B1574" s="1">
        <v>45686</v>
      </c>
      <c r="C1574" t="s">
        <v>50</v>
      </c>
      <c r="D1574" t="s">
        <v>43</v>
      </c>
      <c r="E1574" t="s">
        <v>70</v>
      </c>
      <c r="F1574" t="s">
        <v>45</v>
      </c>
      <c r="G1574" t="s">
        <v>76</v>
      </c>
      <c r="H1574" t="s">
        <v>84</v>
      </c>
      <c r="I1574" t="s">
        <v>61</v>
      </c>
      <c r="J1574" s="1">
        <v>45738</v>
      </c>
      <c r="K1574" s="1">
        <v>45738</v>
      </c>
      <c r="L1574" s="3">
        <v>81700</v>
      </c>
      <c r="M1574" s="4">
        <v>0</v>
      </c>
      <c r="N1574" s="4">
        <v>0</v>
      </c>
      <c r="O1574" t="s">
        <v>62</v>
      </c>
      <c r="P1574">
        <v>2</v>
      </c>
      <c r="Q1574" t="str">
        <f>IFERROR(VLOOKUP(E1574,Lookups!$A$5:$B$24,2,FALSE),"Other")</f>
        <v>LinkedIn</v>
      </c>
      <c r="R1574" t="str">
        <f>IFERROR(VLOOKUP(F1574,Lookups!$D$5:$F$10,2,FALSE),"Unknown Product")</f>
        <v>Service Cloud</v>
      </c>
      <c r="S1574" t="str">
        <f>IFERROR(VLOOKUP(F1574,Lookups!$D$5:$F$10,3,FALSE),"Unknown")</f>
        <v>Customer Service</v>
      </c>
      <c r="T1574" t="str">
        <f t="shared" si="264"/>
        <v>Enterprise</v>
      </c>
      <c r="U1574" t="str">
        <f t="shared" si="265"/>
        <v>Lost</v>
      </c>
      <c r="V1574" s="3">
        <f t="shared" si="266"/>
        <v>0</v>
      </c>
      <c r="W1574" s="3">
        <f t="shared" si="267"/>
        <v>0</v>
      </c>
      <c r="X1574" s="5">
        <f t="shared" si="268"/>
        <v>52</v>
      </c>
      <c r="Y1574" s="5">
        <f>IF(U1574="Open",Lookups!$B$2-B1574,X1574)</f>
        <v>52</v>
      </c>
      <c r="Z1574" t="str">
        <f t="shared" si="269"/>
        <v>OK</v>
      </c>
      <c r="AA1574" t="str">
        <f t="shared" si="270"/>
        <v>2025-01</v>
      </c>
      <c r="AB1574" t="str">
        <f t="shared" si="271"/>
        <v>2025-03</v>
      </c>
      <c r="AC1574" t="str">
        <f t="shared" si="272"/>
        <v>Q1-2025</v>
      </c>
      <c r="AD1574" s="5">
        <f t="shared" si="273"/>
        <v>74</v>
      </c>
      <c r="AE1574" t="str">
        <f t="shared" si="274"/>
        <v>Lost</v>
      </c>
    </row>
    <row r="1575" spans="1:31">
      <c r="A1575" t="s">
        <v>1677</v>
      </c>
      <c r="B1575" s="1">
        <v>46175</v>
      </c>
      <c r="C1575" t="s">
        <v>148</v>
      </c>
      <c r="D1575" t="s">
        <v>43</v>
      </c>
      <c r="E1575" t="s">
        <v>123</v>
      </c>
      <c r="F1575" t="s">
        <v>71</v>
      </c>
      <c r="G1575" t="s">
        <v>112</v>
      </c>
      <c r="H1575" t="s">
        <v>53</v>
      </c>
      <c r="I1575" t="s">
        <v>61</v>
      </c>
      <c r="J1575" s="1">
        <v>46213</v>
      </c>
      <c r="K1575" s="1">
        <v>46213</v>
      </c>
      <c r="L1575" s="3">
        <v>18700</v>
      </c>
      <c r="M1575" s="4">
        <v>0</v>
      </c>
      <c r="N1575" s="4">
        <v>0</v>
      </c>
      <c r="O1575" t="s">
        <v>102</v>
      </c>
      <c r="P1575">
        <v>2</v>
      </c>
      <c r="Q1575" t="str">
        <f>IFERROR(VLOOKUP(E1575,Lookups!$A$5:$B$24,2,FALSE),"Other")</f>
        <v>Email</v>
      </c>
      <c r="R1575" t="str">
        <f>IFERROR(VLOOKUP(F1575,Lookups!$D$5:$F$10,2,FALSE),"Unknown Product")</f>
        <v>Marketing Automation</v>
      </c>
      <c r="S1575" t="str">
        <f>IFERROR(VLOOKUP(F1575,Lookups!$D$5:$F$10,3,FALSE),"Unknown")</f>
        <v>Marketing</v>
      </c>
      <c r="T1575" t="str">
        <f t="shared" si="264"/>
        <v>SMB</v>
      </c>
      <c r="U1575" t="str">
        <f t="shared" si="265"/>
        <v>Lost</v>
      </c>
      <c r="V1575" s="3">
        <f t="shared" si="266"/>
        <v>0</v>
      </c>
      <c r="W1575" s="3">
        <f t="shared" si="267"/>
        <v>0</v>
      </c>
      <c r="X1575" s="5">
        <f t="shared" si="268"/>
        <v>38</v>
      </c>
      <c r="Y1575" s="5">
        <f>IF(U1575="Open",Lookups!$B$2-B1575,X1575)</f>
        <v>38</v>
      </c>
      <c r="Z1575" t="str">
        <f t="shared" si="269"/>
        <v>OK</v>
      </c>
      <c r="AA1575" t="str">
        <f t="shared" si="270"/>
        <v>2026-06</v>
      </c>
      <c r="AB1575" t="str">
        <f t="shared" si="271"/>
        <v>2026-07</v>
      </c>
      <c r="AC1575" t="str">
        <f t="shared" si="272"/>
        <v>Q2-2026</v>
      </c>
      <c r="AD1575" s="5">
        <f t="shared" si="273"/>
        <v>60</v>
      </c>
      <c r="AE1575" t="str">
        <f t="shared" si="274"/>
        <v>Lost</v>
      </c>
    </row>
    <row r="1576" spans="1:31">
      <c r="A1576" t="s">
        <v>1678</v>
      </c>
      <c r="B1576" s="1">
        <v>45828</v>
      </c>
      <c r="C1576" t="s">
        <v>69</v>
      </c>
      <c r="D1576" t="s">
        <v>57</v>
      </c>
      <c r="E1576" t="s">
        <v>96</v>
      </c>
      <c r="F1576" t="s">
        <v>59</v>
      </c>
      <c r="G1576" t="s">
        <v>94</v>
      </c>
      <c r="H1576" t="s">
        <v>53</v>
      </c>
      <c r="I1576" t="s">
        <v>61</v>
      </c>
      <c r="J1576" s="1">
        <v>45886</v>
      </c>
      <c r="K1576" s="1">
        <v>45886</v>
      </c>
      <c r="L1576" s="3">
        <v>32200</v>
      </c>
      <c r="M1576" s="4">
        <v>0</v>
      </c>
      <c r="N1576" s="4">
        <v>0</v>
      </c>
      <c r="O1576" t="s">
        <v>116</v>
      </c>
      <c r="P1576">
        <v>2</v>
      </c>
      <c r="Q1576" t="str">
        <f>IFERROR(VLOOKUP(E1576,Lookups!$A$5:$B$24,2,FALSE),"Other")</f>
        <v>LinkedIn</v>
      </c>
      <c r="R1576" t="str">
        <f>IFERROR(VLOOKUP(F1576,Lookups!$D$5:$F$10,2,FALSE),"Unknown Product")</f>
        <v>NexaCRM Pro</v>
      </c>
      <c r="S1576" t="str">
        <f>IFERROR(VLOOKUP(F1576,Lookups!$D$5:$F$10,3,FALSE),"Unknown")</f>
        <v>CRM</v>
      </c>
      <c r="T1576" t="str">
        <f t="shared" si="264"/>
        <v>Mid-Market</v>
      </c>
      <c r="U1576" t="str">
        <f t="shared" si="265"/>
        <v>Lost</v>
      </c>
      <c r="V1576" s="3">
        <f t="shared" si="266"/>
        <v>0</v>
      </c>
      <c r="W1576" s="3">
        <f t="shared" si="267"/>
        <v>0</v>
      </c>
      <c r="X1576" s="5">
        <f t="shared" si="268"/>
        <v>58</v>
      </c>
      <c r="Y1576" s="5">
        <f>IF(U1576="Open",Lookups!$B$2-B1576,X1576)</f>
        <v>58</v>
      </c>
      <c r="Z1576" t="str">
        <f t="shared" si="269"/>
        <v>OK</v>
      </c>
      <c r="AA1576" t="str">
        <f t="shared" si="270"/>
        <v>2025-06</v>
      </c>
      <c r="AB1576" t="str">
        <f t="shared" si="271"/>
        <v>2025-08</v>
      </c>
      <c r="AC1576" t="str">
        <f t="shared" si="272"/>
        <v>Q2-2025</v>
      </c>
      <c r="AD1576" s="5">
        <f t="shared" si="273"/>
        <v>59</v>
      </c>
      <c r="AE1576" t="str">
        <f t="shared" si="274"/>
        <v>Lost</v>
      </c>
    </row>
    <row r="1577" spans="1:31">
      <c r="A1577" t="s">
        <v>1679</v>
      </c>
      <c r="B1577" s="1">
        <v>46213</v>
      </c>
      <c r="C1577" t="s">
        <v>50</v>
      </c>
      <c r="D1577" t="s">
        <v>43</v>
      </c>
      <c r="E1577" t="s">
        <v>107</v>
      </c>
      <c r="F1577" t="s">
        <v>52</v>
      </c>
      <c r="G1577" t="s">
        <v>112</v>
      </c>
      <c r="H1577" t="s">
        <v>47</v>
      </c>
      <c r="I1577" t="s">
        <v>105</v>
      </c>
      <c r="J1577" s="1">
        <v>46251</v>
      </c>
      <c r="K1577" s="1"/>
      <c r="L1577" s="3">
        <v>6300</v>
      </c>
      <c r="M1577" s="4">
        <v>0</v>
      </c>
      <c r="N1577" s="4">
        <v>0.4</v>
      </c>
      <c r="P1577">
        <v>3</v>
      </c>
      <c r="Q1577" t="str">
        <f>IFERROR(VLOOKUP(E1577,Lookups!$A$5:$B$24,2,FALSE),"Other")</f>
        <v>Referral</v>
      </c>
      <c r="R1577" t="str">
        <f>IFERROR(VLOOKUP(F1577,Lookups!$D$5:$F$10,2,FALSE),"Unknown Product")</f>
        <v>NexaCRM Core</v>
      </c>
      <c r="S1577" t="str">
        <f>IFERROR(VLOOKUP(F1577,Lookups!$D$5:$F$10,3,FALSE),"Unknown")</f>
        <v>CRM</v>
      </c>
      <c r="T1577" t="str">
        <f t="shared" si="264"/>
        <v>SMB</v>
      </c>
      <c r="U1577" t="str">
        <f t="shared" si="265"/>
        <v>Open</v>
      </c>
      <c r="V1577" s="3">
        <f t="shared" si="266"/>
        <v>0</v>
      </c>
      <c r="W1577" s="3">
        <f t="shared" si="267"/>
        <v>2520</v>
      </c>
      <c r="X1577" s="5" t="str">
        <f t="shared" si="268"/>
        <v/>
      </c>
      <c r="Y1577" s="5">
        <f>IF(U1577="Open",Lookups!$B$2-B1577,X1577)</f>
        <v>53</v>
      </c>
      <c r="Z1577" t="str">
        <f t="shared" si="269"/>
        <v>STALE</v>
      </c>
      <c r="AA1577" t="str">
        <f t="shared" si="270"/>
        <v>2026-07</v>
      </c>
      <c r="AB1577" t="str">
        <f t="shared" si="271"/>
        <v/>
      </c>
      <c r="AC1577" t="str">
        <f t="shared" si="272"/>
        <v>Q3-2026</v>
      </c>
      <c r="AD1577" s="5">
        <f t="shared" si="273"/>
        <v>59</v>
      </c>
      <c r="AE1577" t="str">
        <f t="shared" si="274"/>
        <v>Pipeline</v>
      </c>
    </row>
    <row r="1578" spans="1:31">
      <c r="A1578" t="s">
        <v>1680</v>
      </c>
      <c r="B1578" s="1">
        <v>46178</v>
      </c>
      <c r="C1578" t="s">
        <v>50</v>
      </c>
      <c r="D1578" t="s">
        <v>43</v>
      </c>
      <c r="E1578" t="s">
        <v>98</v>
      </c>
      <c r="F1578" t="s">
        <v>59</v>
      </c>
      <c r="G1578" t="s">
        <v>46</v>
      </c>
      <c r="H1578" t="s">
        <v>47</v>
      </c>
      <c r="I1578" t="s">
        <v>61</v>
      </c>
      <c r="J1578" s="1">
        <v>46222</v>
      </c>
      <c r="K1578" s="1">
        <v>46222</v>
      </c>
      <c r="L1578" s="3">
        <v>15000</v>
      </c>
      <c r="M1578" s="4">
        <v>0</v>
      </c>
      <c r="N1578" s="4">
        <v>0</v>
      </c>
      <c r="O1578" t="s">
        <v>116</v>
      </c>
      <c r="P1578">
        <v>2</v>
      </c>
      <c r="Q1578" t="str">
        <f>IFERROR(VLOOKUP(E1578,Lookups!$A$5:$B$24,2,FALSE),"Other")</f>
        <v>Outbound</v>
      </c>
      <c r="R1578" t="str">
        <f>IFERROR(VLOOKUP(F1578,Lookups!$D$5:$F$10,2,FALSE),"Unknown Product")</f>
        <v>NexaCRM Pro</v>
      </c>
      <c r="S1578" t="str">
        <f>IFERROR(VLOOKUP(F1578,Lookups!$D$5:$F$10,3,FALSE),"Unknown")</f>
        <v>CRM</v>
      </c>
      <c r="T1578" t="str">
        <f t="shared" si="264"/>
        <v>SMB</v>
      </c>
      <c r="U1578" t="str">
        <f t="shared" si="265"/>
        <v>Lost</v>
      </c>
      <c r="V1578" s="3">
        <f t="shared" si="266"/>
        <v>0</v>
      </c>
      <c r="W1578" s="3">
        <f t="shared" si="267"/>
        <v>0</v>
      </c>
      <c r="X1578" s="5">
        <f t="shared" si="268"/>
        <v>44</v>
      </c>
      <c r="Y1578" s="5">
        <f>IF(U1578="Open",Lookups!$B$2-B1578,X1578)</f>
        <v>44</v>
      </c>
      <c r="Z1578" t="str">
        <f t="shared" si="269"/>
        <v>OK</v>
      </c>
      <c r="AA1578" t="str">
        <f t="shared" si="270"/>
        <v>2026-06</v>
      </c>
      <c r="AB1578" t="str">
        <f t="shared" si="271"/>
        <v>2026-07</v>
      </c>
      <c r="AC1578" t="str">
        <f t="shared" si="272"/>
        <v>Q2-2026</v>
      </c>
      <c r="AD1578" s="5">
        <f t="shared" si="273"/>
        <v>43</v>
      </c>
      <c r="AE1578" t="str">
        <f t="shared" si="274"/>
        <v>Lost</v>
      </c>
    </row>
    <row r="1579" spans="1:31">
      <c r="A1579" t="s">
        <v>1681</v>
      </c>
      <c r="B1579" s="1">
        <v>45775</v>
      </c>
      <c r="C1579" t="s">
        <v>148</v>
      </c>
      <c r="D1579" t="s">
        <v>43</v>
      </c>
      <c r="E1579" t="s">
        <v>146</v>
      </c>
      <c r="F1579" t="s">
        <v>133</v>
      </c>
      <c r="G1579" t="s">
        <v>94</v>
      </c>
      <c r="H1579" t="s">
        <v>47</v>
      </c>
      <c r="I1579" t="s">
        <v>61</v>
      </c>
      <c r="J1579" s="1">
        <v>45805</v>
      </c>
      <c r="K1579" s="1">
        <v>45805</v>
      </c>
      <c r="L1579" s="3">
        <v>17400</v>
      </c>
      <c r="M1579" s="4">
        <v>0</v>
      </c>
      <c r="N1579" s="4">
        <v>0</v>
      </c>
      <c r="O1579" t="s">
        <v>79</v>
      </c>
      <c r="P1579">
        <v>4</v>
      </c>
      <c r="Q1579" t="str">
        <f>IFERROR(VLOOKUP(E1579,Lookups!$A$5:$B$24,2,FALSE),"Other")</f>
        <v>LinkedIn</v>
      </c>
      <c r="R1579" t="str">
        <f>IFERROR(VLOOKUP(F1579,Lookups!$D$5:$F$10,2,FALSE),"Unknown Product")</f>
        <v>Analytics Plus</v>
      </c>
      <c r="S1579" t="str">
        <f>IFERROR(VLOOKUP(F1579,Lookups!$D$5:$F$10,3,FALSE),"Unknown")</f>
        <v>Analytics</v>
      </c>
      <c r="T1579" t="str">
        <f t="shared" si="264"/>
        <v>SMB</v>
      </c>
      <c r="U1579" t="str">
        <f t="shared" si="265"/>
        <v>Lost</v>
      </c>
      <c r="V1579" s="3">
        <f t="shared" si="266"/>
        <v>0</v>
      </c>
      <c r="W1579" s="3">
        <f t="shared" si="267"/>
        <v>0</v>
      </c>
      <c r="X1579" s="5">
        <f t="shared" si="268"/>
        <v>30</v>
      </c>
      <c r="Y1579" s="5">
        <f>IF(U1579="Open",Lookups!$B$2-B1579,X1579)</f>
        <v>30</v>
      </c>
      <c r="Z1579" t="str">
        <f t="shared" si="269"/>
        <v>OK</v>
      </c>
      <c r="AA1579" t="str">
        <f t="shared" si="270"/>
        <v>2025-04</v>
      </c>
      <c r="AB1579" t="str">
        <f t="shared" si="271"/>
        <v>2025-05</v>
      </c>
      <c r="AC1579" t="str">
        <f t="shared" si="272"/>
        <v>Q2-2025</v>
      </c>
      <c r="AD1579" s="5">
        <f t="shared" si="273"/>
        <v>43</v>
      </c>
      <c r="AE1579" t="str">
        <f t="shared" si="274"/>
        <v>Lost</v>
      </c>
    </row>
    <row r="1580" spans="1:31">
      <c r="A1580" t="s">
        <v>1682</v>
      </c>
      <c r="B1580" s="1">
        <v>45815</v>
      </c>
      <c r="C1580" t="s">
        <v>69</v>
      </c>
      <c r="D1580" t="s">
        <v>57</v>
      </c>
      <c r="E1580" t="s">
        <v>88</v>
      </c>
      <c r="F1580" t="s">
        <v>133</v>
      </c>
      <c r="G1580" t="s">
        <v>99</v>
      </c>
      <c r="H1580" t="s">
        <v>84</v>
      </c>
      <c r="I1580" t="s">
        <v>48</v>
      </c>
      <c r="J1580" s="1">
        <v>46061</v>
      </c>
      <c r="K1580" s="1"/>
      <c r="L1580" s="3">
        <v>77400</v>
      </c>
      <c r="M1580" s="4">
        <v>0</v>
      </c>
      <c r="N1580" s="4">
        <v>0.85</v>
      </c>
      <c r="P1580">
        <v>5</v>
      </c>
      <c r="Q1580" t="str">
        <f>IFERROR(VLOOKUP(E1580,Lookups!$A$5:$B$24,2,FALSE),"Other")</f>
        <v>Other</v>
      </c>
      <c r="R1580" t="str">
        <f>IFERROR(VLOOKUP(F1580,Lookups!$D$5:$F$10,2,FALSE),"Unknown Product")</f>
        <v>Analytics Plus</v>
      </c>
      <c r="S1580" t="str">
        <f>IFERROR(VLOOKUP(F1580,Lookups!$D$5:$F$10,3,FALSE),"Unknown")</f>
        <v>Analytics</v>
      </c>
      <c r="T1580" t="str">
        <f t="shared" si="264"/>
        <v>Enterprise</v>
      </c>
      <c r="U1580" t="str">
        <f t="shared" si="265"/>
        <v>Open</v>
      </c>
      <c r="V1580" s="3">
        <f t="shared" si="266"/>
        <v>0</v>
      </c>
      <c r="W1580" s="3">
        <f t="shared" si="267"/>
        <v>65790</v>
      </c>
      <c r="X1580" s="5" t="str">
        <f t="shared" si="268"/>
        <v/>
      </c>
      <c r="Y1580" s="5">
        <f>IF(U1580="Open",Lookups!$B$2-B1580,X1580)</f>
        <v>451</v>
      </c>
      <c r="Z1580" t="str">
        <f t="shared" si="269"/>
        <v>STALE</v>
      </c>
      <c r="AA1580" t="str">
        <f t="shared" si="270"/>
        <v>2025-06</v>
      </c>
      <c r="AB1580" t="str">
        <f t="shared" si="271"/>
        <v/>
      </c>
      <c r="AC1580" t="str">
        <f t="shared" si="272"/>
        <v>Q2-2025</v>
      </c>
      <c r="AD1580" s="5">
        <f t="shared" si="273"/>
        <v>74</v>
      </c>
      <c r="AE1580" t="str">
        <f t="shared" si="274"/>
        <v>Commit</v>
      </c>
    </row>
    <row r="1581" spans="1:31">
      <c r="A1581" t="s">
        <v>1683</v>
      </c>
      <c r="B1581" s="1">
        <v>45906</v>
      </c>
      <c r="C1581" t="s">
        <v>86</v>
      </c>
      <c r="D1581" t="s">
        <v>87</v>
      </c>
      <c r="E1581" t="s">
        <v>132</v>
      </c>
      <c r="F1581" t="s">
        <v>52</v>
      </c>
      <c r="G1581" t="s">
        <v>76</v>
      </c>
      <c r="H1581" t="s">
        <v>84</v>
      </c>
      <c r="I1581" t="s">
        <v>77</v>
      </c>
      <c r="J1581" s="1">
        <v>45936</v>
      </c>
      <c r="K1581" s="1">
        <v>45936</v>
      </c>
      <c r="L1581" s="3">
        <v>25000</v>
      </c>
      <c r="M1581" s="4">
        <v>0.03</v>
      </c>
      <c r="N1581" s="4">
        <v>1</v>
      </c>
      <c r="P1581">
        <v>6</v>
      </c>
      <c r="Q1581" t="str">
        <f>IFERROR(VLOOKUP(E1581,Lookups!$A$5:$B$24,2,FALSE),"Other")</f>
        <v>Other</v>
      </c>
      <c r="R1581" t="str">
        <f>IFERROR(VLOOKUP(F1581,Lookups!$D$5:$F$10,2,FALSE),"Unknown Product")</f>
        <v>NexaCRM Core</v>
      </c>
      <c r="S1581" t="str">
        <f>IFERROR(VLOOKUP(F1581,Lookups!$D$5:$F$10,3,FALSE),"Unknown")</f>
        <v>CRM</v>
      </c>
      <c r="T1581" t="str">
        <f t="shared" si="264"/>
        <v>Mid-Market</v>
      </c>
      <c r="U1581" t="str">
        <f t="shared" si="265"/>
        <v>Won</v>
      </c>
      <c r="V1581" s="3">
        <f t="shared" si="266"/>
        <v>24250</v>
      </c>
      <c r="W1581" s="3">
        <f t="shared" si="267"/>
        <v>0</v>
      </c>
      <c r="X1581" s="5">
        <f t="shared" si="268"/>
        <v>30</v>
      </c>
      <c r="Y1581" s="5">
        <f>IF(U1581="Open",Lookups!$B$2-B1581,X1581)</f>
        <v>30</v>
      </c>
      <c r="Z1581" t="str">
        <f t="shared" si="269"/>
        <v>OK</v>
      </c>
      <c r="AA1581" t="str">
        <f t="shared" si="270"/>
        <v>2025-09</v>
      </c>
      <c r="AB1581" t="str">
        <f t="shared" si="271"/>
        <v>2025-10</v>
      </c>
      <c r="AC1581" t="str">
        <f t="shared" si="272"/>
        <v>Q3-2025</v>
      </c>
      <c r="AD1581" s="5">
        <f t="shared" si="273"/>
        <v>67</v>
      </c>
      <c r="AE1581" t="str">
        <f t="shared" si="274"/>
        <v>Won</v>
      </c>
    </row>
    <row r="1582" spans="1:31">
      <c r="A1582" t="s">
        <v>1684</v>
      </c>
      <c r="B1582" s="1">
        <v>45690</v>
      </c>
      <c r="C1582" t="s">
        <v>69</v>
      </c>
      <c r="D1582" t="s">
        <v>57</v>
      </c>
      <c r="E1582" t="s">
        <v>109</v>
      </c>
      <c r="F1582" t="s">
        <v>59</v>
      </c>
      <c r="G1582" t="s">
        <v>60</v>
      </c>
      <c r="H1582" t="s">
        <v>47</v>
      </c>
      <c r="I1582" t="s">
        <v>61</v>
      </c>
      <c r="J1582" s="1">
        <v>45730</v>
      </c>
      <c r="K1582" s="1">
        <v>45730</v>
      </c>
      <c r="L1582" s="3">
        <v>20600</v>
      </c>
      <c r="M1582" s="4">
        <v>0</v>
      </c>
      <c r="N1582" s="4">
        <v>0</v>
      </c>
      <c r="O1582" t="s">
        <v>116</v>
      </c>
      <c r="P1582">
        <v>4</v>
      </c>
      <c r="Q1582" t="str">
        <f>IFERROR(VLOOKUP(E1582,Lookups!$A$5:$B$24,2,FALSE),"Other")</f>
        <v>Outbound</v>
      </c>
      <c r="R1582" t="str">
        <f>IFERROR(VLOOKUP(F1582,Lookups!$D$5:$F$10,2,FALSE),"Unknown Product")</f>
        <v>NexaCRM Pro</v>
      </c>
      <c r="S1582" t="str">
        <f>IFERROR(VLOOKUP(F1582,Lookups!$D$5:$F$10,3,FALSE),"Unknown")</f>
        <v>CRM</v>
      </c>
      <c r="T1582" t="str">
        <f t="shared" si="264"/>
        <v>Mid-Market</v>
      </c>
      <c r="U1582" t="str">
        <f t="shared" si="265"/>
        <v>Lost</v>
      </c>
      <c r="V1582" s="3">
        <f t="shared" si="266"/>
        <v>0</v>
      </c>
      <c r="W1582" s="3">
        <f t="shared" si="267"/>
        <v>0</v>
      </c>
      <c r="X1582" s="5">
        <f t="shared" si="268"/>
        <v>40</v>
      </c>
      <c r="Y1582" s="5">
        <f>IF(U1582="Open",Lookups!$B$2-B1582,X1582)</f>
        <v>40</v>
      </c>
      <c r="Z1582" t="str">
        <f t="shared" si="269"/>
        <v>OK</v>
      </c>
      <c r="AA1582" t="str">
        <f t="shared" si="270"/>
        <v>2025-02</v>
      </c>
      <c r="AB1582" t="str">
        <f t="shared" si="271"/>
        <v>2025-03</v>
      </c>
      <c r="AC1582" t="str">
        <f t="shared" si="272"/>
        <v>Q1-2025</v>
      </c>
      <c r="AD1582" s="5">
        <f t="shared" si="273"/>
        <v>51</v>
      </c>
      <c r="AE1582" t="str">
        <f t="shared" si="274"/>
        <v>Lost</v>
      </c>
    </row>
    <row r="1583" spans="1:31">
      <c r="A1583" t="s">
        <v>1685</v>
      </c>
      <c r="B1583" s="1">
        <v>45719</v>
      </c>
      <c r="C1583" t="s">
        <v>69</v>
      </c>
      <c r="D1583" t="s">
        <v>57</v>
      </c>
      <c r="E1583" t="s">
        <v>70</v>
      </c>
      <c r="F1583" t="s">
        <v>59</v>
      </c>
      <c r="G1583" t="s">
        <v>60</v>
      </c>
      <c r="H1583" t="s">
        <v>47</v>
      </c>
      <c r="I1583" t="s">
        <v>61</v>
      </c>
      <c r="J1583" s="1">
        <v>45783</v>
      </c>
      <c r="K1583" s="1">
        <v>45783</v>
      </c>
      <c r="L1583" s="3">
        <v>21800</v>
      </c>
      <c r="M1583" s="4">
        <v>0</v>
      </c>
      <c r="N1583" s="4">
        <v>0</v>
      </c>
      <c r="O1583" t="s">
        <v>62</v>
      </c>
      <c r="P1583">
        <v>5</v>
      </c>
      <c r="Q1583" t="str">
        <f>IFERROR(VLOOKUP(E1583,Lookups!$A$5:$B$24,2,FALSE),"Other")</f>
        <v>LinkedIn</v>
      </c>
      <c r="R1583" t="str">
        <f>IFERROR(VLOOKUP(F1583,Lookups!$D$5:$F$10,2,FALSE),"Unknown Product")</f>
        <v>NexaCRM Pro</v>
      </c>
      <c r="S1583" t="str">
        <f>IFERROR(VLOOKUP(F1583,Lookups!$D$5:$F$10,3,FALSE),"Unknown")</f>
        <v>CRM</v>
      </c>
      <c r="T1583" t="str">
        <f t="shared" si="264"/>
        <v>Mid-Market</v>
      </c>
      <c r="U1583" t="str">
        <f t="shared" si="265"/>
        <v>Lost</v>
      </c>
      <c r="V1583" s="3">
        <f t="shared" si="266"/>
        <v>0</v>
      </c>
      <c r="W1583" s="3">
        <f t="shared" si="267"/>
        <v>0</v>
      </c>
      <c r="X1583" s="5">
        <f t="shared" si="268"/>
        <v>64</v>
      </c>
      <c r="Y1583" s="5">
        <f>IF(U1583="Open",Lookups!$B$2-B1583,X1583)</f>
        <v>64</v>
      </c>
      <c r="Z1583" t="str">
        <f t="shared" si="269"/>
        <v>OK</v>
      </c>
      <c r="AA1583" t="str">
        <f t="shared" si="270"/>
        <v>2025-03</v>
      </c>
      <c r="AB1583" t="str">
        <f t="shared" si="271"/>
        <v>2025-05</v>
      </c>
      <c r="AC1583" t="str">
        <f t="shared" si="272"/>
        <v>Q1-2025</v>
      </c>
      <c r="AD1583" s="5">
        <f t="shared" si="273"/>
        <v>51</v>
      </c>
      <c r="AE1583" t="str">
        <f t="shared" si="274"/>
        <v>Lost</v>
      </c>
    </row>
    <row r="1584" spans="1:31">
      <c r="A1584" t="s">
        <v>1686</v>
      </c>
      <c r="B1584" s="1">
        <v>45956</v>
      </c>
      <c r="C1584" t="s">
        <v>148</v>
      </c>
      <c r="D1584" t="s">
        <v>43</v>
      </c>
      <c r="E1584" t="s">
        <v>127</v>
      </c>
      <c r="F1584" t="s">
        <v>59</v>
      </c>
      <c r="G1584" t="s">
        <v>60</v>
      </c>
      <c r="H1584" t="s">
        <v>53</v>
      </c>
      <c r="I1584" t="s">
        <v>48</v>
      </c>
      <c r="J1584" s="1">
        <v>46190</v>
      </c>
      <c r="K1584" s="1"/>
      <c r="L1584" s="3">
        <v>29000</v>
      </c>
      <c r="M1584" s="4">
        <v>0</v>
      </c>
      <c r="N1584" s="4">
        <v>0.85</v>
      </c>
      <c r="P1584">
        <v>5</v>
      </c>
      <c r="Q1584" t="str">
        <f>IFERROR(VLOOKUP(E1584,Lookups!$A$5:$B$24,2,FALSE),"Other")</f>
        <v>Paid Search</v>
      </c>
      <c r="R1584" t="str">
        <f>IFERROR(VLOOKUP(F1584,Lookups!$D$5:$F$10,2,FALSE),"Unknown Product")</f>
        <v>NexaCRM Pro</v>
      </c>
      <c r="S1584" t="str">
        <f>IFERROR(VLOOKUP(F1584,Lookups!$D$5:$F$10,3,FALSE),"Unknown")</f>
        <v>CRM</v>
      </c>
      <c r="T1584" t="str">
        <f t="shared" si="264"/>
        <v>Mid-Market</v>
      </c>
      <c r="U1584" t="str">
        <f t="shared" si="265"/>
        <v>Open</v>
      </c>
      <c r="V1584" s="3">
        <f t="shared" si="266"/>
        <v>0</v>
      </c>
      <c r="W1584" s="3">
        <f t="shared" si="267"/>
        <v>24650</v>
      </c>
      <c r="X1584" s="5" t="str">
        <f t="shared" si="268"/>
        <v/>
      </c>
      <c r="Y1584" s="5">
        <f>IF(U1584="Open",Lookups!$B$2-B1584,X1584)</f>
        <v>310</v>
      </c>
      <c r="Z1584" t="str">
        <f t="shared" si="269"/>
        <v>STALE</v>
      </c>
      <c r="AA1584" t="str">
        <f t="shared" si="270"/>
        <v>2025-10</v>
      </c>
      <c r="AB1584" t="str">
        <f t="shared" si="271"/>
        <v/>
      </c>
      <c r="AC1584" t="str">
        <f t="shared" si="272"/>
        <v>Q4-2025</v>
      </c>
      <c r="AD1584" s="5">
        <f t="shared" si="273"/>
        <v>59</v>
      </c>
      <c r="AE1584" t="str">
        <f t="shared" si="274"/>
        <v>Commit</v>
      </c>
    </row>
    <row r="1585" spans="1:31">
      <c r="A1585" t="s">
        <v>1687</v>
      </c>
      <c r="B1585" s="1">
        <v>45938</v>
      </c>
      <c r="C1585" t="s">
        <v>86</v>
      </c>
      <c r="D1585" t="s">
        <v>87</v>
      </c>
      <c r="E1585" t="s">
        <v>65</v>
      </c>
      <c r="F1585" t="s">
        <v>52</v>
      </c>
      <c r="G1585" t="s">
        <v>72</v>
      </c>
      <c r="H1585" t="s">
        <v>84</v>
      </c>
      <c r="I1585" t="s">
        <v>61</v>
      </c>
      <c r="J1585" s="1">
        <v>45963</v>
      </c>
      <c r="K1585" s="1">
        <v>45963</v>
      </c>
      <c r="L1585" s="3">
        <v>19900</v>
      </c>
      <c r="M1585" s="4">
        <v>0</v>
      </c>
      <c r="N1585" s="4">
        <v>0</v>
      </c>
      <c r="O1585" t="s">
        <v>79</v>
      </c>
      <c r="P1585">
        <v>3</v>
      </c>
      <c r="Q1585" t="str">
        <f>IFERROR(VLOOKUP(E1585,Lookups!$A$5:$B$24,2,FALSE),"Other")</f>
        <v>Paid Search</v>
      </c>
      <c r="R1585" t="str">
        <f>IFERROR(VLOOKUP(F1585,Lookups!$D$5:$F$10,2,FALSE),"Unknown Product")</f>
        <v>NexaCRM Core</v>
      </c>
      <c r="S1585" t="str">
        <f>IFERROR(VLOOKUP(F1585,Lookups!$D$5:$F$10,3,FALSE),"Unknown")</f>
        <v>CRM</v>
      </c>
      <c r="T1585" t="str">
        <f t="shared" si="264"/>
        <v>SMB</v>
      </c>
      <c r="U1585" t="str">
        <f t="shared" si="265"/>
        <v>Lost</v>
      </c>
      <c r="V1585" s="3">
        <f t="shared" si="266"/>
        <v>0</v>
      </c>
      <c r="W1585" s="3">
        <f t="shared" si="267"/>
        <v>0</v>
      </c>
      <c r="X1585" s="5">
        <f t="shared" si="268"/>
        <v>25</v>
      </c>
      <c r="Y1585" s="5">
        <f>IF(U1585="Open",Lookups!$B$2-B1585,X1585)</f>
        <v>25</v>
      </c>
      <c r="Z1585" t="str">
        <f t="shared" si="269"/>
        <v>OK</v>
      </c>
      <c r="AA1585" t="str">
        <f t="shared" si="270"/>
        <v>2025-10</v>
      </c>
      <c r="AB1585" t="str">
        <f t="shared" si="271"/>
        <v>2025-11</v>
      </c>
      <c r="AC1585" t="str">
        <f t="shared" si="272"/>
        <v>Q4-2025</v>
      </c>
      <c r="AD1585" s="5">
        <f t="shared" si="273"/>
        <v>59</v>
      </c>
      <c r="AE1585" t="str">
        <f t="shared" si="274"/>
        <v>Lost</v>
      </c>
    </row>
    <row r="1586" spans="1:31">
      <c r="A1586" t="s">
        <v>1688</v>
      </c>
      <c r="B1586" s="1">
        <v>46007</v>
      </c>
      <c r="C1586" t="s">
        <v>69</v>
      </c>
      <c r="D1586" t="s">
        <v>57</v>
      </c>
      <c r="E1586" t="s">
        <v>70</v>
      </c>
      <c r="F1586" t="s">
        <v>52</v>
      </c>
      <c r="G1586" t="s">
        <v>60</v>
      </c>
      <c r="H1586" t="s">
        <v>53</v>
      </c>
      <c r="I1586" t="s">
        <v>61</v>
      </c>
      <c r="J1586" s="1">
        <v>46028</v>
      </c>
      <c r="K1586" s="1">
        <v>46028</v>
      </c>
      <c r="L1586" s="3">
        <v>8200</v>
      </c>
      <c r="M1586" s="4">
        <v>0</v>
      </c>
      <c r="N1586" s="4">
        <v>0</v>
      </c>
      <c r="O1586" t="s">
        <v>102</v>
      </c>
      <c r="P1586">
        <v>2</v>
      </c>
      <c r="Q1586" t="str">
        <f>IFERROR(VLOOKUP(E1586,Lookups!$A$5:$B$24,2,FALSE),"Other")</f>
        <v>LinkedIn</v>
      </c>
      <c r="R1586" t="str">
        <f>IFERROR(VLOOKUP(F1586,Lookups!$D$5:$F$10,2,FALSE),"Unknown Product")</f>
        <v>NexaCRM Core</v>
      </c>
      <c r="S1586" t="str">
        <f>IFERROR(VLOOKUP(F1586,Lookups!$D$5:$F$10,3,FALSE),"Unknown")</f>
        <v>CRM</v>
      </c>
      <c r="T1586" t="str">
        <f t="shared" si="264"/>
        <v>SMB</v>
      </c>
      <c r="U1586" t="str">
        <f t="shared" si="265"/>
        <v>Lost</v>
      </c>
      <c r="V1586" s="3">
        <f t="shared" si="266"/>
        <v>0</v>
      </c>
      <c r="W1586" s="3">
        <f t="shared" si="267"/>
        <v>0</v>
      </c>
      <c r="X1586" s="5">
        <f t="shared" si="268"/>
        <v>21</v>
      </c>
      <c r="Y1586" s="5">
        <f>IF(U1586="Open",Lookups!$B$2-B1586,X1586)</f>
        <v>21</v>
      </c>
      <c r="Z1586" t="str">
        <f t="shared" si="269"/>
        <v>OK</v>
      </c>
      <c r="AA1586" t="str">
        <f t="shared" si="270"/>
        <v>2025-12</v>
      </c>
      <c r="AB1586" t="str">
        <f t="shared" si="271"/>
        <v>2026-01</v>
      </c>
      <c r="AC1586" t="str">
        <f t="shared" si="272"/>
        <v>Q4-2025</v>
      </c>
      <c r="AD1586" s="5">
        <f t="shared" si="273"/>
        <v>51</v>
      </c>
      <c r="AE1586" t="str">
        <f t="shared" si="274"/>
        <v>Lost</v>
      </c>
    </row>
    <row r="1587" spans="1:31">
      <c r="A1587" t="s">
        <v>1689</v>
      </c>
      <c r="B1587" s="1">
        <v>45892</v>
      </c>
      <c r="C1587" t="s">
        <v>90</v>
      </c>
      <c r="D1587" t="s">
        <v>57</v>
      </c>
      <c r="E1587" t="s">
        <v>107</v>
      </c>
      <c r="F1587" t="s">
        <v>133</v>
      </c>
      <c r="G1587" t="s">
        <v>112</v>
      </c>
      <c r="H1587" t="s">
        <v>47</v>
      </c>
      <c r="I1587" t="s">
        <v>77</v>
      </c>
      <c r="J1587" s="1">
        <v>45904</v>
      </c>
      <c r="K1587" s="1">
        <v>45904</v>
      </c>
      <c r="L1587" s="3">
        <v>13500</v>
      </c>
      <c r="M1587" s="4">
        <v>0</v>
      </c>
      <c r="N1587" s="4">
        <v>1</v>
      </c>
      <c r="P1587">
        <v>6</v>
      </c>
      <c r="Q1587" t="str">
        <f>IFERROR(VLOOKUP(E1587,Lookups!$A$5:$B$24,2,FALSE),"Other")</f>
        <v>Referral</v>
      </c>
      <c r="R1587" t="str">
        <f>IFERROR(VLOOKUP(F1587,Lookups!$D$5:$F$10,2,FALSE),"Unknown Product")</f>
        <v>Analytics Plus</v>
      </c>
      <c r="S1587" t="str">
        <f>IFERROR(VLOOKUP(F1587,Lookups!$D$5:$F$10,3,FALSE),"Unknown")</f>
        <v>Analytics</v>
      </c>
      <c r="T1587" t="str">
        <f t="shared" si="264"/>
        <v>SMB</v>
      </c>
      <c r="U1587" t="str">
        <f t="shared" si="265"/>
        <v>Won</v>
      </c>
      <c r="V1587" s="3">
        <f t="shared" si="266"/>
        <v>13500</v>
      </c>
      <c r="W1587" s="3">
        <f t="shared" si="267"/>
        <v>0</v>
      </c>
      <c r="X1587" s="5">
        <f t="shared" si="268"/>
        <v>12</v>
      </c>
      <c r="Y1587" s="5">
        <f>IF(U1587="Open",Lookups!$B$2-B1587,X1587)</f>
        <v>12</v>
      </c>
      <c r="Z1587" t="str">
        <f t="shared" si="269"/>
        <v>OK</v>
      </c>
      <c r="AA1587" t="str">
        <f t="shared" si="270"/>
        <v>2025-08</v>
      </c>
      <c r="AB1587" t="str">
        <f t="shared" si="271"/>
        <v>2025-09</v>
      </c>
      <c r="AC1587" t="str">
        <f t="shared" si="272"/>
        <v>Q3-2025</v>
      </c>
      <c r="AD1587" s="5">
        <f t="shared" si="273"/>
        <v>59</v>
      </c>
      <c r="AE1587" t="str">
        <f t="shared" si="274"/>
        <v>Won</v>
      </c>
    </row>
    <row r="1588" spans="1:31">
      <c r="A1588" t="s">
        <v>1690</v>
      </c>
      <c r="B1588" s="1">
        <v>45756</v>
      </c>
      <c r="C1588" t="s">
        <v>56</v>
      </c>
      <c r="D1588" t="s">
        <v>57</v>
      </c>
      <c r="E1588" t="s">
        <v>92</v>
      </c>
      <c r="F1588" t="s">
        <v>59</v>
      </c>
      <c r="G1588" t="s">
        <v>94</v>
      </c>
      <c r="H1588" t="s">
        <v>47</v>
      </c>
      <c r="I1588" t="s">
        <v>61</v>
      </c>
      <c r="J1588" s="1">
        <v>45831</v>
      </c>
      <c r="K1588" s="1">
        <v>45831</v>
      </c>
      <c r="L1588" s="3">
        <v>24400</v>
      </c>
      <c r="M1588" s="4">
        <v>0</v>
      </c>
      <c r="N1588" s="4">
        <v>0</v>
      </c>
      <c r="O1588" t="s">
        <v>116</v>
      </c>
      <c r="P1588">
        <v>4</v>
      </c>
      <c r="Q1588" t="str">
        <f>IFERROR(VLOOKUP(E1588,Lookups!$A$5:$B$24,2,FALSE),"Other")</f>
        <v>Webinar</v>
      </c>
      <c r="R1588" t="str">
        <f>IFERROR(VLOOKUP(F1588,Lookups!$D$5:$F$10,2,FALSE),"Unknown Product")</f>
        <v>NexaCRM Pro</v>
      </c>
      <c r="S1588" t="str">
        <f>IFERROR(VLOOKUP(F1588,Lookups!$D$5:$F$10,3,FALSE),"Unknown")</f>
        <v>CRM</v>
      </c>
      <c r="T1588" t="str">
        <f t="shared" si="264"/>
        <v>Mid-Market</v>
      </c>
      <c r="U1588" t="str">
        <f t="shared" si="265"/>
        <v>Lost</v>
      </c>
      <c r="V1588" s="3">
        <f t="shared" si="266"/>
        <v>0</v>
      </c>
      <c r="W1588" s="3">
        <f t="shared" si="267"/>
        <v>0</v>
      </c>
      <c r="X1588" s="5">
        <f t="shared" si="268"/>
        <v>75</v>
      </c>
      <c r="Y1588" s="5">
        <f>IF(U1588="Open",Lookups!$B$2-B1588,X1588)</f>
        <v>75</v>
      </c>
      <c r="Z1588" t="str">
        <f t="shared" si="269"/>
        <v>OK</v>
      </c>
      <c r="AA1588" t="str">
        <f t="shared" si="270"/>
        <v>2025-04</v>
      </c>
      <c r="AB1588" t="str">
        <f t="shared" si="271"/>
        <v>2025-06</v>
      </c>
      <c r="AC1588" t="str">
        <f t="shared" si="272"/>
        <v>Q2-2025</v>
      </c>
      <c r="AD1588" s="5">
        <f t="shared" si="273"/>
        <v>51</v>
      </c>
      <c r="AE1588" t="str">
        <f t="shared" si="274"/>
        <v>Lost</v>
      </c>
    </row>
    <row r="1589" spans="1:31">
      <c r="A1589" t="s">
        <v>1691</v>
      </c>
      <c r="B1589" s="1">
        <v>45669</v>
      </c>
      <c r="C1589" t="s">
        <v>64</v>
      </c>
      <c r="D1589" t="s">
        <v>57</v>
      </c>
      <c r="E1589" t="s">
        <v>75</v>
      </c>
      <c r="F1589" t="s">
        <v>59</v>
      </c>
      <c r="G1589" t="s">
        <v>112</v>
      </c>
      <c r="H1589" t="s">
        <v>53</v>
      </c>
      <c r="I1589" t="s">
        <v>48</v>
      </c>
      <c r="J1589" s="1">
        <v>46132</v>
      </c>
      <c r="K1589" s="1"/>
      <c r="L1589" s="3">
        <v>22100</v>
      </c>
      <c r="M1589" s="4">
        <v>0</v>
      </c>
      <c r="N1589" s="4">
        <v>0.85</v>
      </c>
      <c r="P1589">
        <v>5</v>
      </c>
      <c r="Q1589" t="str">
        <f>IFERROR(VLOOKUP(E1589,Lookups!$A$5:$B$24,2,FALSE),"Other")</f>
        <v>Webinar</v>
      </c>
      <c r="R1589" t="str">
        <f>IFERROR(VLOOKUP(F1589,Lookups!$D$5:$F$10,2,FALSE),"Unknown Product")</f>
        <v>NexaCRM Pro</v>
      </c>
      <c r="S1589" t="str">
        <f>IFERROR(VLOOKUP(F1589,Lookups!$D$5:$F$10,3,FALSE),"Unknown")</f>
        <v>CRM</v>
      </c>
      <c r="T1589" t="str">
        <f t="shared" si="264"/>
        <v>Mid-Market</v>
      </c>
      <c r="U1589" t="str">
        <f t="shared" si="265"/>
        <v>Open</v>
      </c>
      <c r="V1589" s="3">
        <f t="shared" si="266"/>
        <v>0</v>
      </c>
      <c r="W1589" s="3">
        <f t="shared" si="267"/>
        <v>18785</v>
      </c>
      <c r="X1589" s="5" t="str">
        <f t="shared" si="268"/>
        <v/>
      </c>
      <c r="Y1589" s="5">
        <f>IF(U1589="Open",Lookups!$B$2-B1589,X1589)</f>
        <v>597</v>
      </c>
      <c r="Z1589" t="str">
        <f t="shared" si="269"/>
        <v>STALE</v>
      </c>
      <c r="AA1589" t="str">
        <f t="shared" si="270"/>
        <v>2025-01</v>
      </c>
      <c r="AB1589" t="str">
        <f t="shared" si="271"/>
        <v/>
      </c>
      <c r="AC1589" t="str">
        <f t="shared" si="272"/>
        <v>Q1-2025</v>
      </c>
      <c r="AD1589" s="5">
        <f t="shared" si="273"/>
        <v>64</v>
      </c>
      <c r="AE1589" t="str">
        <f t="shared" si="274"/>
        <v>Commit</v>
      </c>
    </row>
    <row r="1590" spans="1:31">
      <c r="A1590" t="s">
        <v>1692</v>
      </c>
      <c r="B1590" s="1">
        <v>45802</v>
      </c>
      <c r="C1590" t="s">
        <v>90</v>
      </c>
      <c r="D1590" t="s">
        <v>57</v>
      </c>
      <c r="E1590" t="s">
        <v>75</v>
      </c>
      <c r="F1590" t="s">
        <v>59</v>
      </c>
      <c r="G1590" t="s">
        <v>99</v>
      </c>
      <c r="H1590" t="s">
        <v>47</v>
      </c>
      <c r="I1590" t="s">
        <v>61</v>
      </c>
      <c r="J1590" s="1">
        <v>45849</v>
      </c>
      <c r="K1590" s="1">
        <v>45849</v>
      </c>
      <c r="L1590" s="3">
        <v>25100</v>
      </c>
      <c r="M1590" s="4">
        <v>0</v>
      </c>
      <c r="N1590" s="4">
        <v>0</v>
      </c>
      <c r="O1590" t="s">
        <v>79</v>
      </c>
      <c r="P1590">
        <v>5</v>
      </c>
      <c r="Q1590" t="str">
        <f>IFERROR(VLOOKUP(E1590,Lookups!$A$5:$B$24,2,FALSE),"Other")</f>
        <v>Webinar</v>
      </c>
      <c r="R1590" t="str">
        <f>IFERROR(VLOOKUP(F1590,Lookups!$D$5:$F$10,2,FALSE),"Unknown Product")</f>
        <v>NexaCRM Pro</v>
      </c>
      <c r="S1590" t="str">
        <f>IFERROR(VLOOKUP(F1590,Lookups!$D$5:$F$10,3,FALSE),"Unknown")</f>
        <v>CRM</v>
      </c>
      <c r="T1590" t="str">
        <f t="shared" si="264"/>
        <v>Mid-Market</v>
      </c>
      <c r="U1590" t="str">
        <f t="shared" si="265"/>
        <v>Lost</v>
      </c>
      <c r="V1590" s="3">
        <f t="shared" si="266"/>
        <v>0</v>
      </c>
      <c r="W1590" s="3">
        <f t="shared" si="267"/>
        <v>0</v>
      </c>
      <c r="X1590" s="5">
        <f t="shared" si="268"/>
        <v>47</v>
      </c>
      <c r="Y1590" s="5">
        <f>IF(U1590="Open",Lookups!$B$2-B1590,X1590)</f>
        <v>47</v>
      </c>
      <c r="Z1590" t="str">
        <f t="shared" si="269"/>
        <v>OK</v>
      </c>
      <c r="AA1590" t="str">
        <f t="shared" si="270"/>
        <v>2025-05</v>
      </c>
      <c r="AB1590" t="str">
        <f t="shared" si="271"/>
        <v>2025-07</v>
      </c>
      <c r="AC1590" t="str">
        <f t="shared" si="272"/>
        <v>Q2-2025</v>
      </c>
      <c r="AD1590" s="5">
        <f t="shared" si="273"/>
        <v>51</v>
      </c>
      <c r="AE1590" t="str">
        <f t="shared" si="274"/>
        <v>Lost</v>
      </c>
    </row>
    <row r="1591" spans="1:31">
      <c r="A1591" t="s">
        <v>1693</v>
      </c>
      <c r="B1591" s="1">
        <v>45682</v>
      </c>
      <c r="C1591" t="s">
        <v>56</v>
      </c>
      <c r="D1591" t="s">
        <v>57</v>
      </c>
      <c r="E1591" t="s">
        <v>138</v>
      </c>
      <c r="F1591" t="s">
        <v>71</v>
      </c>
      <c r="G1591" t="s">
        <v>46</v>
      </c>
      <c r="H1591" t="s">
        <v>47</v>
      </c>
      <c r="I1591" t="s">
        <v>77</v>
      </c>
      <c r="J1591" s="1">
        <v>45713</v>
      </c>
      <c r="K1591" s="1">
        <v>45713</v>
      </c>
      <c r="L1591" s="3">
        <v>14300</v>
      </c>
      <c r="M1591" s="4">
        <v>0.08</v>
      </c>
      <c r="N1591" s="4">
        <v>1</v>
      </c>
      <c r="P1591">
        <v>6</v>
      </c>
      <c r="Q1591" t="str">
        <f>IFERROR(VLOOKUP(E1591,Lookups!$A$5:$B$24,2,FALSE),"Other")</f>
        <v>Organic Search</v>
      </c>
      <c r="R1591" t="str">
        <f>IFERROR(VLOOKUP(F1591,Lookups!$D$5:$F$10,2,FALSE),"Unknown Product")</f>
        <v>Marketing Automation</v>
      </c>
      <c r="S1591" t="str">
        <f>IFERROR(VLOOKUP(F1591,Lookups!$D$5:$F$10,3,FALSE),"Unknown")</f>
        <v>Marketing</v>
      </c>
      <c r="T1591" t="str">
        <f t="shared" si="264"/>
        <v>SMB</v>
      </c>
      <c r="U1591" t="str">
        <f t="shared" si="265"/>
        <v>Won</v>
      </c>
      <c r="V1591" s="3">
        <f t="shared" si="266"/>
        <v>13156</v>
      </c>
      <c r="W1591" s="3">
        <f t="shared" si="267"/>
        <v>0</v>
      </c>
      <c r="X1591" s="5">
        <f t="shared" si="268"/>
        <v>31</v>
      </c>
      <c r="Y1591" s="5">
        <f>IF(U1591="Open",Lookups!$B$2-B1591,X1591)</f>
        <v>31</v>
      </c>
      <c r="Z1591" t="str">
        <f t="shared" si="269"/>
        <v>OK</v>
      </c>
      <c r="AA1591" t="str">
        <f t="shared" si="270"/>
        <v>2025-01</v>
      </c>
      <c r="AB1591" t="str">
        <f t="shared" si="271"/>
        <v>2025-02</v>
      </c>
      <c r="AC1591" t="str">
        <f t="shared" si="272"/>
        <v>Q1-2025</v>
      </c>
      <c r="AD1591" s="5">
        <f t="shared" si="273"/>
        <v>49</v>
      </c>
      <c r="AE1591" t="str">
        <f t="shared" si="274"/>
        <v>Won</v>
      </c>
    </row>
    <row r="1592" spans="1:31">
      <c r="A1592" t="s">
        <v>1694</v>
      </c>
      <c r="B1592" s="1">
        <v>46049</v>
      </c>
      <c r="C1592" t="s">
        <v>86</v>
      </c>
      <c r="D1592" t="s">
        <v>87</v>
      </c>
      <c r="E1592" t="s">
        <v>96</v>
      </c>
      <c r="F1592" t="s">
        <v>52</v>
      </c>
      <c r="G1592" t="s">
        <v>94</v>
      </c>
      <c r="H1592" t="s">
        <v>53</v>
      </c>
      <c r="I1592" t="s">
        <v>77</v>
      </c>
      <c r="J1592" s="1">
        <v>46105</v>
      </c>
      <c r="K1592" s="1">
        <v>46105</v>
      </c>
      <c r="L1592" s="3">
        <v>12800</v>
      </c>
      <c r="M1592" s="4">
        <v>0</v>
      </c>
      <c r="N1592" s="4">
        <v>1</v>
      </c>
      <c r="P1592">
        <v>6</v>
      </c>
      <c r="Q1592" t="str">
        <f>IFERROR(VLOOKUP(E1592,Lookups!$A$5:$B$24,2,FALSE),"Other")</f>
        <v>LinkedIn</v>
      </c>
      <c r="R1592" t="str">
        <f>IFERROR(VLOOKUP(F1592,Lookups!$D$5:$F$10,2,FALSE),"Unknown Product")</f>
        <v>NexaCRM Core</v>
      </c>
      <c r="S1592" t="str">
        <f>IFERROR(VLOOKUP(F1592,Lookups!$D$5:$F$10,3,FALSE),"Unknown")</f>
        <v>CRM</v>
      </c>
      <c r="T1592" t="str">
        <f t="shared" si="264"/>
        <v>SMB</v>
      </c>
      <c r="U1592" t="str">
        <f t="shared" si="265"/>
        <v>Won</v>
      </c>
      <c r="V1592" s="3">
        <f t="shared" si="266"/>
        <v>12800</v>
      </c>
      <c r="W1592" s="3">
        <f t="shared" si="267"/>
        <v>0</v>
      </c>
      <c r="X1592" s="5">
        <f t="shared" si="268"/>
        <v>56</v>
      </c>
      <c r="Y1592" s="5">
        <f>IF(U1592="Open",Lookups!$B$2-B1592,X1592)</f>
        <v>56</v>
      </c>
      <c r="Z1592" t="str">
        <f t="shared" si="269"/>
        <v>OK</v>
      </c>
      <c r="AA1592" t="str">
        <f t="shared" si="270"/>
        <v>2026-01</v>
      </c>
      <c r="AB1592" t="str">
        <f t="shared" si="271"/>
        <v>2026-03</v>
      </c>
      <c r="AC1592" t="str">
        <f t="shared" si="272"/>
        <v>Q1-2026</v>
      </c>
      <c r="AD1592" s="5">
        <f t="shared" si="273"/>
        <v>51</v>
      </c>
      <c r="AE1592" t="str">
        <f t="shared" si="274"/>
        <v>Won</v>
      </c>
    </row>
    <row r="1593" spans="1:31">
      <c r="A1593" t="s">
        <v>1695</v>
      </c>
      <c r="B1593" s="1">
        <v>45660</v>
      </c>
      <c r="C1593" t="s">
        <v>64</v>
      </c>
      <c r="D1593" t="s">
        <v>57</v>
      </c>
      <c r="E1593" t="s">
        <v>127</v>
      </c>
      <c r="F1593" t="s">
        <v>52</v>
      </c>
      <c r="G1593" t="s">
        <v>76</v>
      </c>
      <c r="H1593" t="s">
        <v>47</v>
      </c>
      <c r="I1593" t="s">
        <v>61</v>
      </c>
      <c r="J1593" s="1">
        <v>45700</v>
      </c>
      <c r="K1593" s="1">
        <v>45700</v>
      </c>
      <c r="L1593" s="3">
        <v>4500</v>
      </c>
      <c r="M1593" s="4">
        <v>0</v>
      </c>
      <c r="N1593" s="4">
        <v>0</v>
      </c>
      <c r="O1593" t="s">
        <v>79</v>
      </c>
      <c r="P1593">
        <v>2</v>
      </c>
      <c r="Q1593" t="str">
        <f>IFERROR(VLOOKUP(E1593,Lookups!$A$5:$B$24,2,FALSE),"Other")</f>
        <v>Paid Search</v>
      </c>
      <c r="R1593" t="str">
        <f>IFERROR(VLOOKUP(F1593,Lookups!$D$5:$F$10,2,FALSE),"Unknown Product")</f>
        <v>NexaCRM Core</v>
      </c>
      <c r="S1593" t="str">
        <f>IFERROR(VLOOKUP(F1593,Lookups!$D$5:$F$10,3,FALSE),"Unknown")</f>
        <v>CRM</v>
      </c>
      <c r="T1593" t="str">
        <f t="shared" si="264"/>
        <v>SMB</v>
      </c>
      <c r="U1593" t="str">
        <f t="shared" si="265"/>
        <v>Lost</v>
      </c>
      <c r="V1593" s="3">
        <f t="shared" si="266"/>
        <v>0</v>
      </c>
      <c r="W1593" s="3">
        <f t="shared" si="267"/>
        <v>0</v>
      </c>
      <c r="X1593" s="5">
        <f t="shared" si="268"/>
        <v>40</v>
      </c>
      <c r="Y1593" s="5">
        <f>IF(U1593="Open",Lookups!$B$2-B1593,X1593)</f>
        <v>40</v>
      </c>
      <c r="Z1593" t="str">
        <f t="shared" si="269"/>
        <v>OK</v>
      </c>
      <c r="AA1593" t="str">
        <f t="shared" si="270"/>
        <v>2025-01</v>
      </c>
      <c r="AB1593" t="str">
        <f t="shared" si="271"/>
        <v>2025-02</v>
      </c>
      <c r="AC1593" t="str">
        <f t="shared" si="272"/>
        <v>Q1-2025</v>
      </c>
      <c r="AD1593" s="5">
        <f t="shared" si="273"/>
        <v>43</v>
      </c>
      <c r="AE1593" t="str">
        <f t="shared" si="274"/>
        <v>Lost</v>
      </c>
    </row>
    <row r="1594" spans="1:31">
      <c r="A1594" t="s">
        <v>1696</v>
      </c>
      <c r="B1594" s="1">
        <v>45662</v>
      </c>
      <c r="C1594" t="s">
        <v>86</v>
      </c>
      <c r="D1594" t="s">
        <v>87</v>
      </c>
      <c r="E1594" t="s">
        <v>75</v>
      </c>
      <c r="F1594" t="s">
        <v>71</v>
      </c>
      <c r="G1594" t="s">
        <v>46</v>
      </c>
      <c r="H1594" t="s">
        <v>53</v>
      </c>
      <c r="I1594" t="s">
        <v>61</v>
      </c>
      <c r="J1594" s="1">
        <v>45710</v>
      </c>
      <c r="K1594" s="1">
        <v>45710</v>
      </c>
      <c r="L1594" s="3">
        <v>23000</v>
      </c>
      <c r="M1594" s="4">
        <v>0</v>
      </c>
      <c r="N1594" s="4">
        <v>0</v>
      </c>
      <c r="O1594" t="s">
        <v>79</v>
      </c>
      <c r="P1594">
        <v>5</v>
      </c>
      <c r="Q1594" t="str">
        <f>IFERROR(VLOOKUP(E1594,Lookups!$A$5:$B$24,2,FALSE),"Other")</f>
        <v>Webinar</v>
      </c>
      <c r="R1594" t="str">
        <f>IFERROR(VLOOKUP(F1594,Lookups!$D$5:$F$10,2,FALSE),"Unknown Product")</f>
        <v>Marketing Automation</v>
      </c>
      <c r="S1594" t="str">
        <f>IFERROR(VLOOKUP(F1594,Lookups!$D$5:$F$10,3,FALSE),"Unknown")</f>
        <v>Marketing</v>
      </c>
      <c r="T1594" t="str">
        <f t="shared" si="264"/>
        <v>Mid-Market</v>
      </c>
      <c r="U1594" t="str">
        <f t="shared" si="265"/>
        <v>Lost</v>
      </c>
      <c r="V1594" s="3">
        <f t="shared" si="266"/>
        <v>0</v>
      </c>
      <c r="W1594" s="3">
        <f t="shared" si="267"/>
        <v>0</v>
      </c>
      <c r="X1594" s="5">
        <f t="shared" si="268"/>
        <v>48</v>
      </c>
      <c r="Y1594" s="5">
        <f>IF(U1594="Open",Lookups!$B$2-B1594,X1594)</f>
        <v>48</v>
      </c>
      <c r="Z1594" t="str">
        <f t="shared" si="269"/>
        <v>OK</v>
      </c>
      <c r="AA1594" t="str">
        <f t="shared" si="270"/>
        <v>2025-01</v>
      </c>
      <c r="AB1594" t="str">
        <f t="shared" si="271"/>
        <v>2025-02</v>
      </c>
      <c r="AC1594" t="str">
        <f t="shared" si="272"/>
        <v>Q1-2025</v>
      </c>
      <c r="AD1594" s="5">
        <f t="shared" si="273"/>
        <v>59</v>
      </c>
      <c r="AE1594" t="str">
        <f t="shared" si="274"/>
        <v>Lost</v>
      </c>
    </row>
    <row r="1595" spans="1:31">
      <c r="A1595" t="s">
        <v>1697</v>
      </c>
      <c r="B1595" s="1">
        <v>45746</v>
      </c>
      <c r="C1595" t="s">
        <v>148</v>
      </c>
      <c r="D1595" t="s">
        <v>43</v>
      </c>
      <c r="E1595" t="s">
        <v>70</v>
      </c>
      <c r="F1595" t="s">
        <v>67</v>
      </c>
      <c r="G1595" t="s">
        <v>94</v>
      </c>
      <c r="H1595" t="s">
        <v>47</v>
      </c>
      <c r="I1595" t="s">
        <v>77</v>
      </c>
      <c r="J1595" s="1">
        <v>45762</v>
      </c>
      <c r="K1595" s="1">
        <v>45762</v>
      </c>
      <c r="L1595" s="3">
        <v>25200</v>
      </c>
      <c r="M1595" s="4">
        <v>0.03</v>
      </c>
      <c r="N1595" s="4">
        <v>1</v>
      </c>
      <c r="P1595">
        <v>6</v>
      </c>
      <c r="Q1595" t="str">
        <f>IFERROR(VLOOKUP(E1595,Lookups!$A$5:$B$24,2,FALSE),"Other")</f>
        <v>LinkedIn</v>
      </c>
      <c r="R1595" t="str">
        <f>IFERROR(VLOOKUP(F1595,Lookups!$D$5:$F$10,2,FALSE),"Unknown Product")</f>
        <v>Revenue Operations Suite</v>
      </c>
      <c r="S1595" t="str">
        <f>IFERROR(VLOOKUP(F1595,Lookups!$D$5:$F$10,3,FALSE),"Unknown")</f>
        <v>Revenue Ops</v>
      </c>
      <c r="T1595" t="str">
        <f t="shared" si="264"/>
        <v>Mid-Market</v>
      </c>
      <c r="U1595" t="str">
        <f t="shared" si="265"/>
        <v>Won</v>
      </c>
      <c r="V1595" s="3">
        <f t="shared" si="266"/>
        <v>24444</v>
      </c>
      <c r="W1595" s="3">
        <f t="shared" si="267"/>
        <v>0</v>
      </c>
      <c r="X1595" s="5">
        <f t="shared" si="268"/>
        <v>16</v>
      </c>
      <c r="Y1595" s="5">
        <f>IF(U1595="Open",Lookups!$B$2-B1595,X1595)</f>
        <v>16</v>
      </c>
      <c r="Z1595" t="str">
        <f t="shared" si="269"/>
        <v>OK</v>
      </c>
      <c r="AA1595" t="str">
        <f t="shared" si="270"/>
        <v>2025-03</v>
      </c>
      <c r="AB1595" t="str">
        <f t="shared" si="271"/>
        <v>2025-04</v>
      </c>
      <c r="AC1595" t="str">
        <f t="shared" si="272"/>
        <v>Q1-2025</v>
      </c>
      <c r="AD1595" s="5">
        <f t="shared" si="273"/>
        <v>51</v>
      </c>
      <c r="AE1595" t="str">
        <f t="shared" si="274"/>
        <v>Won</v>
      </c>
    </row>
    <row r="1596" spans="1:31">
      <c r="A1596" t="s">
        <v>1698</v>
      </c>
      <c r="B1596" s="1">
        <v>46076</v>
      </c>
      <c r="C1596" t="s">
        <v>42</v>
      </c>
      <c r="D1596" t="s">
        <v>43</v>
      </c>
      <c r="E1596" t="s">
        <v>146</v>
      </c>
      <c r="F1596" t="s">
        <v>52</v>
      </c>
      <c r="G1596" t="s">
        <v>112</v>
      </c>
      <c r="H1596" t="s">
        <v>53</v>
      </c>
      <c r="I1596" t="s">
        <v>48</v>
      </c>
      <c r="J1596" s="1">
        <v>46207</v>
      </c>
      <c r="K1596" s="1"/>
      <c r="L1596" s="3">
        <v>16400</v>
      </c>
      <c r="M1596" s="4">
        <v>0</v>
      </c>
      <c r="N1596" s="4">
        <v>0.85</v>
      </c>
      <c r="P1596">
        <v>5</v>
      </c>
      <c r="Q1596" t="str">
        <f>IFERROR(VLOOKUP(E1596,Lookups!$A$5:$B$24,2,FALSE),"Other")</f>
        <v>LinkedIn</v>
      </c>
      <c r="R1596" t="str">
        <f>IFERROR(VLOOKUP(F1596,Lookups!$D$5:$F$10,2,FALSE),"Unknown Product")</f>
        <v>NexaCRM Core</v>
      </c>
      <c r="S1596" t="str">
        <f>IFERROR(VLOOKUP(F1596,Lookups!$D$5:$F$10,3,FALSE),"Unknown")</f>
        <v>CRM</v>
      </c>
      <c r="T1596" t="str">
        <f t="shared" si="264"/>
        <v>SMB</v>
      </c>
      <c r="U1596" t="str">
        <f t="shared" si="265"/>
        <v>Open</v>
      </c>
      <c r="V1596" s="3">
        <f t="shared" si="266"/>
        <v>0</v>
      </c>
      <c r="W1596" s="3">
        <f t="shared" si="267"/>
        <v>13940</v>
      </c>
      <c r="X1596" s="5" t="str">
        <f t="shared" si="268"/>
        <v/>
      </c>
      <c r="Y1596" s="5">
        <f>IF(U1596="Open",Lookups!$B$2-B1596,X1596)</f>
        <v>190</v>
      </c>
      <c r="Z1596" t="str">
        <f t="shared" si="269"/>
        <v>STALE</v>
      </c>
      <c r="AA1596" t="str">
        <f t="shared" si="270"/>
        <v>2026-02</v>
      </c>
      <c r="AB1596" t="str">
        <f t="shared" si="271"/>
        <v/>
      </c>
      <c r="AC1596" t="str">
        <f t="shared" si="272"/>
        <v>Q1-2026</v>
      </c>
      <c r="AD1596" s="5">
        <f t="shared" si="273"/>
        <v>56</v>
      </c>
      <c r="AE1596" t="str">
        <f t="shared" si="274"/>
        <v>Commit</v>
      </c>
    </row>
    <row r="1597" spans="1:31">
      <c r="A1597" t="s">
        <v>1699</v>
      </c>
      <c r="B1597" s="1">
        <v>46112</v>
      </c>
      <c r="C1597" t="s">
        <v>50</v>
      </c>
      <c r="D1597" t="s">
        <v>43</v>
      </c>
      <c r="E1597" t="s">
        <v>123</v>
      </c>
      <c r="F1597" t="s">
        <v>52</v>
      </c>
      <c r="G1597" t="s">
        <v>60</v>
      </c>
      <c r="H1597" t="s">
        <v>53</v>
      </c>
      <c r="I1597" t="s">
        <v>77</v>
      </c>
      <c r="J1597" s="1">
        <v>46185</v>
      </c>
      <c r="K1597" s="1">
        <v>46185</v>
      </c>
      <c r="L1597" s="3">
        <v>9600</v>
      </c>
      <c r="M1597" s="4">
        <v>0.03</v>
      </c>
      <c r="N1597" s="4">
        <v>1</v>
      </c>
      <c r="P1597">
        <v>6</v>
      </c>
      <c r="Q1597" t="str">
        <f>IFERROR(VLOOKUP(E1597,Lookups!$A$5:$B$24,2,FALSE),"Other")</f>
        <v>Email</v>
      </c>
      <c r="R1597" t="str">
        <f>IFERROR(VLOOKUP(F1597,Lookups!$D$5:$F$10,2,FALSE),"Unknown Product")</f>
        <v>NexaCRM Core</v>
      </c>
      <c r="S1597" t="str">
        <f>IFERROR(VLOOKUP(F1597,Lookups!$D$5:$F$10,3,FALSE),"Unknown")</f>
        <v>CRM</v>
      </c>
      <c r="T1597" t="str">
        <f t="shared" si="264"/>
        <v>SMB</v>
      </c>
      <c r="U1597" t="str">
        <f t="shared" si="265"/>
        <v>Won</v>
      </c>
      <c r="V1597" s="3">
        <f t="shared" si="266"/>
        <v>9312</v>
      </c>
      <c r="W1597" s="3">
        <f t="shared" si="267"/>
        <v>0</v>
      </c>
      <c r="X1597" s="5">
        <f t="shared" si="268"/>
        <v>73</v>
      </c>
      <c r="Y1597" s="5">
        <f>IF(U1597="Open",Lookups!$B$2-B1597,X1597)</f>
        <v>73</v>
      </c>
      <c r="Z1597" t="str">
        <f t="shared" si="269"/>
        <v>OK</v>
      </c>
      <c r="AA1597" t="str">
        <f t="shared" si="270"/>
        <v>2026-03</v>
      </c>
      <c r="AB1597" t="str">
        <f t="shared" si="271"/>
        <v>2026-06</v>
      </c>
      <c r="AC1597" t="str">
        <f t="shared" si="272"/>
        <v>Q1-2026</v>
      </c>
      <c r="AD1597" s="5">
        <f t="shared" si="273"/>
        <v>55</v>
      </c>
      <c r="AE1597" t="str">
        <f t="shared" si="274"/>
        <v>Won</v>
      </c>
    </row>
    <row r="1598" spans="1:31">
      <c r="A1598" t="s">
        <v>1700</v>
      </c>
      <c r="B1598" s="1">
        <v>46042</v>
      </c>
      <c r="C1598" t="s">
        <v>148</v>
      </c>
      <c r="D1598" t="s">
        <v>43</v>
      </c>
      <c r="E1598" t="s">
        <v>96</v>
      </c>
      <c r="F1598" t="s">
        <v>52</v>
      </c>
      <c r="G1598" t="s">
        <v>60</v>
      </c>
      <c r="H1598" t="s">
        <v>47</v>
      </c>
      <c r="I1598" t="s">
        <v>48</v>
      </c>
      <c r="J1598" s="1">
        <v>46213</v>
      </c>
      <c r="K1598" s="1"/>
      <c r="L1598" s="3">
        <v>7000</v>
      </c>
      <c r="M1598" s="4">
        <v>0.03</v>
      </c>
      <c r="N1598" s="4">
        <v>0.85</v>
      </c>
      <c r="P1598">
        <v>5</v>
      </c>
      <c r="Q1598" t="str">
        <f>IFERROR(VLOOKUP(E1598,Lookups!$A$5:$B$24,2,FALSE),"Other")</f>
        <v>LinkedIn</v>
      </c>
      <c r="R1598" t="str">
        <f>IFERROR(VLOOKUP(F1598,Lookups!$D$5:$F$10,2,FALSE),"Unknown Product")</f>
        <v>NexaCRM Core</v>
      </c>
      <c r="S1598" t="str">
        <f>IFERROR(VLOOKUP(F1598,Lookups!$D$5:$F$10,3,FALSE),"Unknown")</f>
        <v>CRM</v>
      </c>
      <c r="T1598" t="str">
        <f t="shared" si="264"/>
        <v>SMB</v>
      </c>
      <c r="U1598" t="str">
        <f t="shared" si="265"/>
        <v>Open</v>
      </c>
      <c r="V1598" s="3">
        <f t="shared" si="266"/>
        <v>0</v>
      </c>
      <c r="W1598" s="3">
        <f t="shared" si="267"/>
        <v>5950</v>
      </c>
      <c r="X1598" s="5" t="str">
        <f t="shared" si="268"/>
        <v/>
      </c>
      <c r="Y1598" s="5">
        <f>IF(U1598="Open",Lookups!$B$2-B1598,X1598)</f>
        <v>224</v>
      </c>
      <c r="Z1598" t="str">
        <f t="shared" si="269"/>
        <v>STALE</v>
      </c>
      <c r="AA1598" t="str">
        <f t="shared" si="270"/>
        <v>2026-01</v>
      </c>
      <c r="AB1598" t="str">
        <f t="shared" si="271"/>
        <v/>
      </c>
      <c r="AC1598" t="str">
        <f t="shared" si="272"/>
        <v>Q1-2026</v>
      </c>
      <c r="AD1598" s="5">
        <f t="shared" si="273"/>
        <v>43</v>
      </c>
      <c r="AE1598" t="str">
        <f t="shared" si="274"/>
        <v>Commit</v>
      </c>
    </row>
    <row r="1599" spans="1:31">
      <c r="A1599" t="s">
        <v>1701</v>
      </c>
      <c r="B1599" s="1">
        <v>45717</v>
      </c>
      <c r="C1599" t="s">
        <v>42</v>
      </c>
      <c r="D1599" t="s">
        <v>43</v>
      </c>
      <c r="E1599" t="s">
        <v>44</v>
      </c>
      <c r="F1599" t="s">
        <v>52</v>
      </c>
      <c r="G1599" t="s">
        <v>112</v>
      </c>
      <c r="H1599" t="s">
        <v>47</v>
      </c>
      <c r="I1599" t="s">
        <v>61</v>
      </c>
      <c r="J1599" s="1">
        <v>45781</v>
      </c>
      <c r="K1599" s="1">
        <v>45781</v>
      </c>
      <c r="L1599" s="3">
        <v>7700</v>
      </c>
      <c r="M1599" s="4">
        <v>0</v>
      </c>
      <c r="N1599" s="4">
        <v>0</v>
      </c>
      <c r="O1599" t="s">
        <v>79</v>
      </c>
      <c r="P1599">
        <v>3</v>
      </c>
      <c r="Q1599" t="str">
        <f>IFERROR(VLOOKUP(E1599,Lookups!$A$5:$B$24,2,FALSE),"Other")</f>
        <v>Organic Search</v>
      </c>
      <c r="R1599" t="str">
        <f>IFERROR(VLOOKUP(F1599,Lookups!$D$5:$F$10,2,FALSE),"Unknown Product")</f>
        <v>NexaCRM Core</v>
      </c>
      <c r="S1599" t="str">
        <f>IFERROR(VLOOKUP(F1599,Lookups!$D$5:$F$10,3,FALSE),"Unknown")</f>
        <v>CRM</v>
      </c>
      <c r="T1599" t="str">
        <f t="shared" si="264"/>
        <v>SMB</v>
      </c>
      <c r="U1599" t="str">
        <f t="shared" si="265"/>
        <v>Lost</v>
      </c>
      <c r="V1599" s="3">
        <f t="shared" si="266"/>
        <v>0</v>
      </c>
      <c r="W1599" s="3">
        <f t="shared" si="267"/>
        <v>0</v>
      </c>
      <c r="X1599" s="5">
        <f t="shared" si="268"/>
        <v>64</v>
      </c>
      <c r="Y1599" s="5">
        <f>IF(U1599="Open",Lookups!$B$2-B1599,X1599)</f>
        <v>64</v>
      </c>
      <c r="Z1599" t="str">
        <f t="shared" si="269"/>
        <v>OK</v>
      </c>
      <c r="AA1599" t="str">
        <f t="shared" si="270"/>
        <v>2025-03</v>
      </c>
      <c r="AB1599" t="str">
        <f t="shared" si="271"/>
        <v>2025-05</v>
      </c>
      <c r="AC1599" t="str">
        <f t="shared" si="272"/>
        <v>Q1-2025</v>
      </c>
      <c r="AD1599" s="5">
        <f t="shared" si="273"/>
        <v>54</v>
      </c>
      <c r="AE1599" t="str">
        <f t="shared" si="274"/>
        <v>Lost</v>
      </c>
    </row>
    <row r="1600" spans="1:31">
      <c r="A1600" t="s">
        <v>1702</v>
      </c>
      <c r="B1600" s="1">
        <v>46130</v>
      </c>
      <c r="C1600" t="s">
        <v>148</v>
      </c>
      <c r="D1600" t="s">
        <v>43</v>
      </c>
      <c r="E1600" t="s">
        <v>138</v>
      </c>
      <c r="F1600" t="s">
        <v>52</v>
      </c>
      <c r="G1600" t="s">
        <v>112</v>
      </c>
      <c r="H1600" t="s">
        <v>47</v>
      </c>
      <c r="I1600" t="s">
        <v>61</v>
      </c>
      <c r="J1600" s="1">
        <v>46182</v>
      </c>
      <c r="K1600" s="1">
        <v>46182</v>
      </c>
      <c r="L1600" s="3">
        <v>6600</v>
      </c>
      <c r="M1600" s="4">
        <v>0</v>
      </c>
      <c r="N1600" s="4">
        <v>0</v>
      </c>
      <c r="O1600" t="s">
        <v>62</v>
      </c>
      <c r="P1600">
        <v>4</v>
      </c>
      <c r="Q1600" t="str">
        <f>IFERROR(VLOOKUP(E1600,Lookups!$A$5:$B$24,2,FALSE),"Other")</f>
        <v>Organic Search</v>
      </c>
      <c r="R1600" t="str">
        <f>IFERROR(VLOOKUP(F1600,Lookups!$D$5:$F$10,2,FALSE),"Unknown Product")</f>
        <v>NexaCRM Core</v>
      </c>
      <c r="S1600" t="str">
        <f>IFERROR(VLOOKUP(F1600,Lookups!$D$5:$F$10,3,FALSE),"Unknown")</f>
        <v>CRM</v>
      </c>
      <c r="T1600" t="str">
        <f t="shared" si="264"/>
        <v>SMB</v>
      </c>
      <c r="U1600" t="str">
        <f t="shared" si="265"/>
        <v>Lost</v>
      </c>
      <c r="V1600" s="3">
        <f t="shared" si="266"/>
        <v>0</v>
      </c>
      <c r="W1600" s="3">
        <f t="shared" si="267"/>
        <v>0</v>
      </c>
      <c r="X1600" s="5">
        <f t="shared" si="268"/>
        <v>52</v>
      </c>
      <c r="Y1600" s="5">
        <f>IF(U1600="Open",Lookups!$B$2-B1600,X1600)</f>
        <v>52</v>
      </c>
      <c r="Z1600" t="str">
        <f t="shared" si="269"/>
        <v>OK</v>
      </c>
      <c r="AA1600" t="str">
        <f t="shared" si="270"/>
        <v>2026-04</v>
      </c>
      <c r="AB1600" t="str">
        <f t="shared" si="271"/>
        <v>2026-06</v>
      </c>
      <c r="AC1600" t="str">
        <f t="shared" si="272"/>
        <v>Q2-2026</v>
      </c>
      <c r="AD1600" s="5">
        <f t="shared" si="273"/>
        <v>54</v>
      </c>
      <c r="AE1600" t="str">
        <f t="shared" si="274"/>
        <v>Lost</v>
      </c>
    </row>
    <row r="1601" spans="1:31">
      <c r="A1601" t="s">
        <v>1703</v>
      </c>
      <c r="B1601" s="1">
        <v>45759</v>
      </c>
      <c r="C1601" t="s">
        <v>64</v>
      </c>
      <c r="D1601" t="s">
        <v>57</v>
      </c>
      <c r="E1601" t="s">
        <v>58</v>
      </c>
      <c r="F1601" t="s">
        <v>45</v>
      </c>
      <c r="G1601" t="s">
        <v>72</v>
      </c>
      <c r="H1601" t="s">
        <v>53</v>
      </c>
      <c r="I1601" t="s">
        <v>61</v>
      </c>
      <c r="J1601" s="1">
        <v>45792</v>
      </c>
      <c r="K1601" s="1">
        <v>45792</v>
      </c>
      <c r="L1601" s="3">
        <v>31000</v>
      </c>
      <c r="M1601" s="4">
        <v>0</v>
      </c>
      <c r="N1601" s="4">
        <v>0</v>
      </c>
      <c r="O1601" t="s">
        <v>116</v>
      </c>
      <c r="P1601">
        <v>4</v>
      </c>
      <c r="Q1601" t="str">
        <f>IFERROR(VLOOKUP(E1601,Lookups!$A$5:$B$24,2,FALSE),"Other")</f>
        <v>Email</v>
      </c>
      <c r="R1601" t="str">
        <f>IFERROR(VLOOKUP(F1601,Lookups!$D$5:$F$10,2,FALSE),"Unknown Product")</f>
        <v>Service Cloud</v>
      </c>
      <c r="S1601" t="str">
        <f>IFERROR(VLOOKUP(F1601,Lookups!$D$5:$F$10,3,FALSE),"Unknown")</f>
        <v>Customer Service</v>
      </c>
      <c r="T1601" t="str">
        <f t="shared" si="264"/>
        <v>Mid-Market</v>
      </c>
      <c r="U1601" t="str">
        <f t="shared" si="265"/>
        <v>Lost</v>
      </c>
      <c r="V1601" s="3">
        <f t="shared" si="266"/>
        <v>0</v>
      </c>
      <c r="W1601" s="3">
        <f t="shared" si="267"/>
        <v>0</v>
      </c>
      <c r="X1601" s="5">
        <f t="shared" si="268"/>
        <v>33</v>
      </c>
      <c r="Y1601" s="5">
        <f>IF(U1601="Open",Lookups!$B$2-B1601,X1601)</f>
        <v>33</v>
      </c>
      <c r="Z1601" t="str">
        <f t="shared" si="269"/>
        <v>OK</v>
      </c>
      <c r="AA1601" t="str">
        <f t="shared" si="270"/>
        <v>2025-04</v>
      </c>
      <c r="AB1601" t="str">
        <f t="shared" si="271"/>
        <v>2025-05</v>
      </c>
      <c r="AC1601" t="str">
        <f t="shared" si="272"/>
        <v>Q2-2025</v>
      </c>
      <c r="AD1601" s="5">
        <f t="shared" si="273"/>
        <v>63</v>
      </c>
      <c r="AE1601" t="str">
        <f t="shared" si="274"/>
        <v>Lost</v>
      </c>
    </row>
    <row r="1602" spans="1:31">
      <c r="A1602" t="s">
        <v>1704</v>
      </c>
      <c r="B1602" s="1">
        <v>45995</v>
      </c>
      <c r="C1602" t="s">
        <v>42</v>
      </c>
      <c r="D1602" t="s">
        <v>43</v>
      </c>
      <c r="E1602" t="s">
        <v>138</v>
      </c>
      <c r="F1602" t="s">
        <v>67</v>
      </c>
      <c r="G1602" t="s">
        <v>60</v>
      </c>
      <c r="H1602" t="s">
        <v>53</v>
      </c>
      <c r="I1602" t="s">
        <v>61</v>
      </c>
      <c r="J1602" s="1">
        <v>46079</v>
      </c>
      <c r="K1602" s="1">
        <v>46079</v>
      </c>
      <c r="L1602" s="3">
        <v>43000</v>
      </c>
      <c r="M1602" s="4">
        <v>0</v>
      </c>
      <c r="N1602" s="4">
        <v>0</v>
      </c>
      <c r="O1602" t="s">
        <v>102</v>
      </c>
      <c r="P1602">
        <v>3</v>
      </c>
      <c r="Q1602" t="str">
        <f>IFERROR(VLOOKUP(E1602,Lookups!$A$5:$B$24,2,FALSE),"Other")</f>
        <v>Organic Search</v>
      </c>
      <c r="R1602" t="str">
        <f>IFERROR(VLOOKUP(F1602,Lookups!$D$5:$F$10,2,FALSE),"Unknown Product")</f>
        <v>Revenue Operations Suite</v>
      </c>
      <c r="S1602" t="str">
        <f>IFERROR(VLOOKUP(F1602,Lookups!$D$5:$F$10,3,FALSE),"Unknown")</f>
        <v>Revenue Ops</v>
      </c>
      <c r="T1602" t="str">
        <f t="shared" ref="T1602:T1665" si="275">IF(L1602&gt;=50000,"Enterprise",IF(L1602&gt;=20000,"Mid-Market","SMB"))</f>
        <v>Mid-Market</v>
      </c>
      <c r="U1602" t="str">
        <f t="shared" ref="U1602:U1665" si="276">IF(I1602="Closed Won","Won",IF(I1602="Closed Lost","Lost","Open"))</f>
        <v>Lost</v>
      </c>
      <c r="V1602" s="3">
        <f t="shared" ref="V1602:V1665" si="277">IF(U1602="Won",L1602*(1-M1602),0)</f>
        <v>0</v>
      </c>
      <c r="W1602" s="3">
        <f t="shared" ref="W1602:W1665" si="278">IF(U1602="Open",L1602*N1602,0)</f>
        <v>0</v>
      </c>
      <c r="X1602" s="5">
        <f t="shared" ref="X1602:X1665" si="279">IF(U1602="Open","",IFERROR(K1602-B1602,""))</f>
        <v>84</v>
      </c>
      <c r="Y1602" s="5">
        <f>IF(U1602="Open",Lookups!$B$2-B1602,X1602)</f>
        <v>84</v>
      </c>
      <c r="Z1602" t="str">
        <f t="shared" ref="Z1602:Z1665" si="280">IF(AND(U1602="Open",Y1602&gt;30),"STALE","OK")</f>
        <v>OK</v>
      </c>
      <c r="AA1602" t="str">
        <f t="shared" ref="AA1602:AA1665" si="281">TEXT(B1602,"yyyy-mm")</f>
        <v>2025-12</v>
      </c>
      <c r="AB1602" t="str">
        <f t="shared" ref="AB1602:AB1665" si="282">IF(K1602="","",TEXT(K1602,"yyyy-mm"))</f>
        <v>2026-02</v>
      </c>
      <c r="AC1602" t="str">
        <f t="shared" ref="AC1602:AC1665" si="283">"Q"&amp;ROUNDUP(MONTH(B1602)/3,0)&amp;"-"&amp;YEAR(B1602)</f>
        <v>Q4-2025</v>
      </c>
      <c r="AD1602" s="5">
        <f t="shared" ref="AD1602:AD1665" si="284">MIN(100,IF(H1602="Enterprise",30,IF(H1602="Mid-Market",22,14))+IF(T1602="Enterprise",25,IF(T1602="Mid-Market",18,10))+IF(Q1602="Referral",25,IF(Q1602="Organic Search",20,IF(Q1602="Email",18,14)))+IF(G1602="Technology",10,5))</f>
        <v>65</v>
      </c>
      <c r="AE1602" t="str">
        <f t="shared" ref="AE1602:AE1665" si="285">IF(U1602&lt;&gt;"Open",U1602,IF(N1602&gt;=0.8,"Commit",IF(N1602&gt;=0.5,"Best Case","Pipeline")))</f>
        <v>Lost</v>
      </c>
    </row>
    <row r="1603" spans="1:31">
      <c r="A1603" t="s">
        <v>1705</v>
      </c>
      <c r="B1603" s="1">
        <v>45715</v>
      </c>
      <c r="C1603" t="s">
        <v>148</v>
      </c>
      <c r="D1603" t="s">
        <v>43</v>
      </c>
      <c r="E1603" t="s">
        <v>51</v>
      </c>
      <c r="F1603" t="s">
        <v>67</v>
      </c>
      <c r="G1603" t="s">
        <v>94</v>
      </c>
      <c r="H1603" t="s">
        <v>47</v>
      </c>
      <c r="I1603" t="s">
        <v>61</v>
      </c>
      <c r="J1603" s="1">
        <v>45756</v>
      </c>
      <c r="K1603" s="1">
        <v>45756</v>
      </c>
      <c r="L1603" s="3">
        <v>42000</v>
      </c>
      <c r="M1603" s="4">
        <v>0</v>
      </c>
      <c r="N1603" s="4">
        <v>0</v>
      </c>
      <c r="O1603" t="s">
        <v>81</v>
      </c>
      <c r="P1603">
        <v>5</v>
      </c>
      <c r="Q1603" t="str">
        <f>IFERROR(VLOOKUP(E1603,Lookups!$A$5:$B$24,2,FALSE),"Other")</f>
        <v>Paid Search</v>
      </c>
      <c r="R1603" t="str">
        <f>IFERROR(VLOOKUP(F1603,Lookups!$D$5:$F$10,2,FALSE),"Unknown Product")</f>
        <v>Revenue Operations Suite</v>
      </c>
      <c r="S1603" t="str">
        <f>IFERROR(VLOOKUP(F1603,Lookups!$D$5:$F$10,3,FALSE),"Unknown")</f>
        <v>Revenue Ops</v>
      </c>
      <c r="T1603" t="str">
        <f t="shared" si="275"/>
        <v>Mid-Market</v>
      </c>
      <c r="U1603" t="str">
        <f t="shared" si="276"/>
        <v>Lost</v>
      </c>
      <c r="V1603" s="3">
        <f t="shared" si="277"/>
        <v>0</v>
      </c>
      <c r="W1603" s="3">
        <f t="shared" si="278"/>
        <v>0</v>
      </c>
      <c r="X1603" s="5">
        <f t="shared" si="279"/>
        <v>41</v>
      </c>
      <c r="Y1603" s="5">
        <f>IF(U1603="Open",Lookups!$B$2-B1603,X1603)</f>
        <v>41</v>
      </c>
      <c r="Z1603" t="str">
        <f t="shared" si="280"/>
        <v>OK</v>
      </c>
      <c r="AA1603" t="str">
        <f t="shared" si="281"/>
        <v>2025-02</v>
      </c>
      <c r="AB1603" t="str">
        <f t="shared" si="282"/>
        <v>2025-04</v>
      </c>
      <c r="AC1603" t="str">
        <f t="shared" si="283"/>
        <v>Q1-2025</v>
      </c>
      <c r="AD1603" s="5">
        <f t="shared" si="284"/>
        <v>51</v>
      </c>
      <c r="AE1603" t="str">
        <f t="shared" si="285"/>
        <v>Lost</v>
      </c>
    </row>
    <row r="1604" spans="1:31">
      <c r="A1604" t="s">
        <v>1706</v>
      </c>
      <c r="B1604" s="1">
        <v>46070</v>
      </c>
      <c r="C1604" t="s">
        <v>86</v>
      </c>
      <c r="D1604" t="s">
        <v>87</v>
      </c>
      <c r="E1604" t="s">
        <v>70</v>
      </c>
      <c r="F1604" t="s">
        <v>59</v>
      </c>
      <c r="G1604" t="s">
        <v>76</v>
      </c>
      <c r="H1604" t="s">
        <v>53</v>
      </c>
      <c r="I1604" t="s">
        <v>77</v>
      </c>
      <c r="J1604" s="1">
        <v>46128</v>
      </c>
      <c r="K1604" s="1">
        <v>46128</v>
      </c>
      <c r="L1604" s="3">
        <v>37900</v>
      </c>
      <c r="M1604" s="4">
        <v>0.05</v>
      </c>
      <c r="N1604" s="4">
        <v>1</v>
      </c>
      <c r="P1604">
        <v>6</v>
      </c>
      <c r="Q1604" t="str">
        <f>IFERROR(VLOOKUP(E1604,Lookups!$A$5:$B$24,2,FALSE),"Other")</f>
        <v>LinkedIn</v>
      </c>
      <c r="R1604" t="str">
        <f>IFERROR(VLOOKUP(F1604,Lookups!$D$5:$F$10,2,FALSE),"Unknown Product")</f>
        <v>NexaCRM Pro</v>
      </c>
      <c r="S1604" t="str">
        <f>IFERROR(VLOOKUP(F1604,Lookups!$D$5:$F$10,3,FALSE),"Unknown")</f>
        <v>CRM</v>
      </c>
      <c r="T1604" t="str">
        <f t="shared" si="275"/>
        <v>Mid-Market</v>
      </c>
      <c r="U1604" t="str">
        <f t="shared" si="276"/>
        <v>Won</v>
      </c>
      <c r="V1604" s="3">
        <f t="shared" si="277"/>
        <v>36005</v>
      </c>
      <c r="W1604" s="3">
        <f t="shared" si="278"/>
        <v>0</v>
      </c>
      <c r="X1604" s="5">
        <f t="shared" si="279"/>
        <v>58</v>
      </c>
      <c r="Y1604" s="5">
        <f>IF(U1604="Open",Lookups!$B$2-B1604,X1604)</f>
        <v>58</v>
      </c>
      <c r="Z1604" t="str">
        <f t="shared" si="280"/>
        <v>OK</v>
      </c>
      <c r="AA1604" t="str">
        <f t="shared" si="281"/>
        <v>2026-02</v>
      </c>
      <c r="AB1604" t="str">
        <f t="shared" si="282"/>
        <v>2026-04</v>
      </c>
      <c r="AC1604" t="str">
        <f t="shared" si="283"/>
        <v>Q1-2026</v>
      </c>
      <c r="AD1604" s="5">
        <f t="shared" si="284"/>
        <v>59</v>
      </c>
      <c r="AE1604" t="str">
        <f t="shared" si="285"/>
        <v>Won</v>
      </c>
    </row>
    <row r="1605" spans="1:31">
      <c r="A1605" t="s">
        <v>1707</v>
      </c>
      <c r="B1605" s="1">
        <v>45807</v>
      </c>
      <c r="C1605" t="s">
        <v>50</v>
      </c>
      <c r="D1605" t="s">
        <v>43</v>
      </c>
      <c r="E1605" t="s">
        <v>119</v>
      </c>
      <c r="F1605" t="s">
        <v>59</v>
      </c>
      <c r="G1605" t="s">
        <v>60</v>
      </c>
      <c r="H1605" t="s">
        <v>47</v>
      </c>
      <c r="I1605" t="s">
        <v>77</v>
      </c>
      <c r="J1605" s="1">
        <v>45895</v>
      </c>
      <c r="K1605" s="1">
        <v>45895</v>
      </c>
      <c r="L1605" s="3">
        <v>25500</v>
      </c>
      <c r="M1605" s="4">
        <v>0.05</v>
      </c>
      <c r="N1605" s="4">
        <v>1</v>
      </c>
      <c r="P1605">
        <v>6</v>
      </c>
      <c r="Q1605" t="str">
        <f>IFERROR(VLOOKUP(E1605,Lookups!$A$5:$B$24,2,FALSE),"Other")</f>
        <v>Referral</v>
      </c>
      <c r="R1605" t="str">
        <f>IFERROR(VLOOKUP(F1605,Lookups!$D$5:$F$10,2,FALSE),"Unknown Product")</f>
        <v>NexaCRM Pro</v>
      </c>
      <c r="S1605" t="str">
        <f>IFERROR(VLOOKUP(F1605,Lookups!$D$5:$F$10,3,FALSE),"Unknown")</f>
        <v>CRM</v>
      </c>
      <c r="T1605" t="str">
        <f t="shared" si="275"/>
        <v>Mid-Market</v>
      </c>
      <c r="U1605" t="str">
        <f t="shared" si="276"/>
        <v>Won</v>
      </c>
      <c r="V1605" s="3">
        <f t="shared" si="277"/>
        <v>24225</v>
      </c>
      <c r="W1605" s="3">
        <f t="shared" si="278"/>
        <v>0</v>
      </c>
      <c r="X1605" s="5">
        <f t="shared" si="279"/>
        <v>88</v>
      </c>
      <c r="Y1605" s="5">
        <f>IF(U1605="Open",Lookups!$B$2-B1605,X1605)</f>
        <v>88</v>
      </c>
      <c r="Z1605" t="str">
        <f t="shared" si="280"/>
        <v>OK</v>
      </c>
      <c r="AA1605" t="str">
        <f t="shared" si="281"/>
        <v>2025-05</v>
      </c>
      <c r="AB1605" t="str">
        <f t="shared" si="282"/>
        <v>2025-08</v>
      </c>
      <c r="AC1605" t="str">
        <f t="shared" si="283"/>
        <v>Q2-2025</v>
      </c>
      <c r="AD1605" s="5">
        <f t="shared" si="284"/>
        <v>62</v>
      </c>
      <c r="AE1605" t="str">
        <f t="shared" si="285"/>
        <v>Won</v>
      </c>
    </row>
    <row r="1606" spans="1:31">
      <c r="A1606" t="s">
        <v>1708</v>
      </c>
      <c r="B1606" s="1">
        <v>46011</v>
      </c>
      <c r="C1606" t="s">
        <v>42</v>
      </c>
      <c r="D1606" t="s">
        <v>43</v>
      </c>
      <c r="E1606" t="s">
        <v>98</v>
      </c>
      <c r="F1606" t="s">
        <v>52</v>
      </c>
      <c r="G1606" t="s">
        <v>94</v>
      </c>
      <c r="H1606" t="s">
        <v>47</v>
      </c>
      <c r="I1606" t="s">
        <v>48</v>
      </c>
      <c r="J1606" s="1">
        <v>46178</v>
      </c>
      <c r="K1606" s="1"/>
      <c r="L1606" s="3">
        <v>10100</v>
      </c>
      <c r="M1606" s="4">
        <v>0</v>
      </c>
      <c r="N1606" s="4">
        <v>0.85</v>
      </c>
      <c r="P1606">
        <v>5</v>
      </c>
      <c r="Q1606" t="str">
        <f>IFERROR(VLOOKUP(E1606,Lookups!$A$5:$B$24,2,FALSE),"Other")</f>
        <v>Outbound</v>
      </c>
      <c r="R1606" t="str">
        <f>IFERROR(VLOOKUP(F1606,Lookups!$D$5:$F$10,2,FALSE),"Unknown Product")</f>
        <v>NexaCRM Core</v>
      </c>
      <c r="S1606" t="str">
        <f>IFERROR(VLOOKUP(F1606,Lookups!$D$5:$F$10,3,FALSE),"Unknown")</f>
        <v>CRM</v>
      </c>
      <c r="T1606" t="str">
        <f t="shared" si="275"/>
        <v>SMB</v>
      </c>
      <c r="U1606" t="str">
        <f t="shared" si="276"/>
        <v>Open</v>
      </c>
      <c r="V1606" s="3">
        <f t="shared" si="277"/>
        <v>0</v>
      </c>
      <c r="W1606" s="3">
        <f t="shared" si="278"/>
        <v>8585</v>
      </c>
      <c r="X1606" s="5" t="str">
        <f t="shared" si="279"/>
        <v/>
      </c>
      <c r="Y1606" s="5">
        <f>IF(U1606="Open",Lookups!$B$2-B1606,X1606)</f>
        <v>255</v>
      </c>
      <c r="Z1606" t="str">
        <f t="shared" si="280"/>
        <v>STALE</v>
      </c>
      <c r="AA1606" t="str">
        <f t="shared" si="281"/>
        <v>2025-12</v>
      </c>
      <c r="AB1606" t="str">
        <f t="shared" si="282"/>
        <v/>
      </c>
      <c r="AC1606" t="str">
        <f t="shared" si="283"/>
        <v>Q4-2025</v>
      </c>
      <c r="AD1606" s="5">
        <f t="shared" si="284"/>
        <v>43</v>
      </c>
      <c r="AE1606" t="str">
        <f t="shared" si="285"/>
        <v>Commit</v>
      </c>
    </row>
    <row r="1607" spans="1:31">
      <c r="A1607" t="s">
        <v>1709</v>
      </c>
      <c r="B1607" s="1">
        <v>45826</v>
      </c>
      <c r="C1607" t="s">
        <v>86</v>
      </c>
      <c r="D1607" t="s">
        <v>87</v>
      </c>
      <c r="E1607" t="s">
        <v>96</v>
      </c>
      <c r="F1607" t="s">
        <v>133</v>
      </c>
      <c r="G1607" t="s">
        <v>94</v>
      </c>
      <c r="H1607" t="s">
        <v>47</v>
      </c>
      <c r="I1607" t="s">
        <v>77</v>
      </c>
      <c r="J1607" s="1">
        <v>45899</v>
      </c>
      <c r="K1607" s="1">
        <v>45899</v>
      </c>
      <c r="L1607" s="3">
        <v>22100</v>
      </c>
      <c r="M1607" s="4">
        <v>0.03</v>
      </c>
      <c r="N1607" s="4">
        <v>1</v>
      </c>
      <c r="P1607">
        <v>6</v>
      </c>
      <c r="Q1607" t="str">
        <f>IFERROR(VLOOKUP(E1607,Lookups!$A$5:$B$24,2,FALSE),"Other")</f>
        <v>LinkedIn</v>
      </c>
      <c r="R1607" t="str">
        <f>IFERROR(VLOOKUP(F1607,Lookups!$D$5:$F$10,2,FALSE),"Unknown Product")</f>
        <v>Analytics Plus</v>
      </c>
      <c r="S1607" t="str">
        <f>IFERROR(VLOOKUP(F1607,Lookups!$D$5:$F$10,3,FALSE),"Unknown")</f>
        <v>Analytics</v>
      </c>
      <c r="T1607" t="str">
        <f t="shared" si="275"/>
        <v>Mid-Market</v>
      </c>
      <c r="U1607" t="str">
        <f t="shared" si="276"/>
        <v>Won</v>
      </c>
      <c r="V1607" s="3">
        <f t="shared" si="277"/>
        <v>21437</v>
      </c>
      <c r="W1607" s="3">
        <f t="shared" si="278"/>
        <v>0</v>
      </c>
      <c r="X1607" s="5">
        <f t="shared" si="279"/>
        <v>73</v>
      </c>
      <c r="Y1607" s="5">
        <f>IF(U1607="Open",Lookups!$B$2-B1607,X1607)</f>
        <v>73</v>
      </c>
      <c r="Z1607" t="str">
        <f t="shared" si="280"/>
        <v>OK</v>
      </c>
      <c r="AA1607" t="str">
        <f t="shared" si="281"/>
        <v>2025-06</v>
      </c>
      <c r="AB1607" t="str">
        <f t="shared" si="282"/>
        <v>2025-08</v>
      </c>
      <c r="AC1607" t="str">
        <f t="shared" si="283"/>
        <v>Q2-2025</v>
      </c>
      <c r="AD1607" s="5">
        <f t="shared" si="284"/>
        <v>51</v>
      </c>
      <c r="AE1607" t="str">
        <f t="shared" si="285"/>
        <v>Won</v>
      </c>
    </row>
    <row r="1608" spans="1:31">
      <c r="A1608" t="s">
        <v>1710</v>
      </c>
      <c r="B1608" s="1">
        <v>45813</v>
      </c>
      <c r="C1608" t="s">
        <v>86</v>
      </c>
      <c r="D1608" t="s">
        <v>87</v>
      </c>
      <c r="E1608" t="s">
        <v>44</v>
      </c>
      <c r="F1608" t="s">
        <v>59</v>
      </c>
      <c r="G1608" t="s">
        <v>60</v>
      </c>
      <c r="H1608" t="s">
        <v>84</v>
      </c>
      <c r="I1608" t="s">
        <v>77</v>
      </c>
      <c r="J1608" s="1">
        <v>45907</v>
      </c>
      <c r="K1608" s="1">
        <v>45907</v>
      </c>
      <c r="L1608" s="3">
        <v>86700</v>
      </c>
      <c r="M1608" s="4">
        <v>0.1</v>
      </c>
      <c r="N1608" s="4">
        <v>1</v>
      </c>
      <c r="P1608">
        <v>6</v>
      </c>
      <c r="Q1608" t="str">
        <f>IFERROR(VLOOKUP(E1608,Lookups!$A$5:$B$24,2,FALSE),"Other")</f>
        <v>Organic Search</v>
      </c>
      <c r="R1608" t="str">
        <f>IFERROR(VLOOKUP(F1608,Lookups!$D$5:$F$10,2,FALSE),"Unknown Product")</f>
        <v>NexaCRM Pro</v>
      </c>
      <c r="S1608" t="str">
        <f>IFERROR(VLOOKUP(F1608,Lookups!$D$5:$F$10,3,FALSE),"Unknown")</f>
        <v>CRM</v>
      </c>
      <c r="T1608" t="str">
        <f t="shared" si="275"/>
        <v>Enterprise</v>
      </c>
      <c r="U1608" t="str">
        <f t="shared" si="276"/>
        <v>Won</v>
      </c>
      <c r="V1608" s="3">
        <f t="shared" si="277"/>
        <v>78030</v>
      </c>
      <c r="W1608" s="3">
        <f t="shared" si="278"/>
        <v>0</v>
      </c>
      <c r="X1608" s="5">
        <f t="shared" si="279"/>
        <v>94</v>
      </c>
      <c r="Y1608" s="5">
        <f>IF(U1608="Open",Lookups!$B$2-B1608,X1608)</f>
        <v>94</v>
      </c>
      <c r="Z1608" t="str">
        <f t="shared" si="280"/>
        <v>OK</v>
      </c>
      <c r="AA1608" t="str">
        <f t="shared" si="281"/>
        <v>2025-06</v>
      </c>
      <c r="AB1608" t="str">
        <f t="shared" si="282"/>
        <v>2025-09</v>
      </c>
      <c r="AC1608" t="str">
        <f t="shared" si="283"/>
        <v>Q2-2025</v>
      </c>
      <c r="AD1608" s="5">
        <f t="shared" si="284"/>
        <v>80</v>
      </c>
      <c r="AE1608" t="str">
        <f t="shared" si="285"/>
        <v>Won</v>
      </c>
    </row>
    <row r="1609" spans="1:31">
      <c r="A1609" t="s">
        <v>1711</v>
      </c>
      <c r="B1609" s="1">
        <v>46220</v>
      </c>
      <c r="C1609" t="s">
        <v>50</v>
      </c>
      <c r="D1609" t="s">
        <v>43</v>
      </c>
      <c r="E1609" t="s">
        <v>44</v>
      </c>
      <c r="F1609" t="s">
        <v>133</v>
      </c>
      <c r="G1609" t="s">
        <v>99</v>
      </c>
      <c r="H1609" t="s">
        <v>53</v>
      </c>
      <c r="I1609" t="s">
        <v>105</v>
      </c>
      <c r="J1609" s="1">
        <v>46253</v>
      </c>
      <c r="K1609" s="1"/>
      <c r="L1609" s="3">
        <v>45700</v>
      </c>
      <c r="M1609" s="4">
        <v>0</v>
      </c>
      <c r="N1609" s="4">
        <v>0.4</v>
      </c>
      <c r="P1609">
        <v>3</v>
      </c>
      <c r="Q1609" t="str">
        <f>IFERROR(VLOOKUP(E1609,Lookups!$A$5:$B$24,2,FALSE),"Other")</f>
        <v>Organic Search</v>
      </c>
      <c r="R1609" t="str">
        <f>IFERROR(VLOOKUP(F1609,Lookups!$D$5:$F$10,2,FALSE),"Unknown Product")</f>
        <v>Analytics Plus</v>
      </c>
      <c r="S1609" t="str">
        <f>IFERROR(VLOOKUP(F1609,Lookups!$D$5:$F$10,3,FALSE),"Unknown")</f>
        <v>Analytics</v>
      </c>
      <c r="T1609" t="str">
        <f t="shared" si="275"/>
        <v>Mid-Market</v>
      </c>
      <c r="U1609" t="str">
        <f t="shared" si="276"/>
        <v>Open</v>
      </c>
      <c r="V1609" s="3">
        <f t="shared" si="277"/>
        <v>0</v>
      </c>
      <c r="W1609" s="3">
        <f t="shared" si="278"/>
        <v>18280</v>
      </c>
      <c r="X1609" s="5" t="str">
        <f t="shared" si="279"/>
        <v/>
      </c>
      <c r="Y1609" s="5">
        <f>IF(U1609="Open",Lookups!$B$2-B1609,X1609)</f>
        <v>46</v>
      </c>
      <c r="Z1609" t="str">
        <f t="shared" si="280"/>
        <v>STALE</v>
      </c>
      <c r="AA1609" t="str">
        <f t="shared" si="281"/>
        <v>2026-07</v>
      </c>
      <c r="AB1609" t="str">
        <f t="shared" si="282"/>
        <v/>
      </c>
      <c r="AC1609" t="str">
        <f t="shared" si="283"/>
        <v>Q3-2026</v>
      </c>
      <c r="AD1609" s="5">
        <f t="shared" si="284"/>
        <v>65</v>
      </c>
      <c r="AE1609" t="str">
        <f t="shared" si="285"/>
        <v>Pipeline</v>
      </c>
    </row>
    <row r="1610" spans="1:31">
      <c r="A1610" t="s">
        <v>1712</v>
      </c>
      <c r="B1610" s="1">
        <v>46144</v>
      </c>
      <c r="C1610" t="s">
        <v>42</v>
      </c>
      <c r="D1610" t="s">
        <v>43</v>
      </c>
      <c r="E1610" t="s">
        <v>58</v>
      </c>
      <c r="F1610" t="s">
        <v>71</v>
      </c>
      <c r="G1610" t="s">
        <v>112</v>
      </c>
      <c r="H1610" t="s">
        <v>47</v>
      </c>
      <c r="I1610" t="s">
        <v>61</v>
      </c>
      <c r="J1610" s="1">
        <v>46184</v>
      </c>
      <c r="K1610" s="1">
        <v>46184</v>
      </c>
      <c r="L1610" s="3">
        <v>20800</v>
      </c>
      <c r="M1610" s="4">
        <v>0</v>
      </c>
      <c r="N1610" s="4">
        <v>0</v>
      </c>
      <c r="O1610" t="s">
        <v>81</v>
      </c>
      <c r="P1610">
        <v>2</v>
      </c>
      <c r="Q1610" t="str">
        <f>IFERROR(VLOOKUP(E1610,Lookups!$A$5:$B$24,2,FALSE),"Other")</f>
        <v>Email</v>
      </c>
      <c r="R1610" t="str">
        <f>IFERROR(VLOOKUP(F1610,Lookups!$D$5:$F$10,2,FALSE),"Unknown Product")</f>
        <v>Marketing Automation</v>
      </c>
      <c r="S1610" t="str">
        <f>IFERROR(VLOOKUP(F1610,Lookups!$D$5:$F$10,3,FALSE),"Unknown")</f>
        <v>Marketing</v>
      </c>
      <c r="T1610" t="str">
        <f t="shared" si="275"/>
        <v>Mid-Market</v>
      </c>
      <c r="U1610" t="str">
        <f t="shared" si="276"/>
        <v>Lost</v>
      </c>
      <c r="V1610" s="3">
        <f t="shared" si="277"/>
        <v>0</v>
      </c>
      <c r="W1610" s="3">
        <f t="shared" si="278"/>
        <v>0</v>
      </c>
      <c r="X1610" s="5">
        <f t="shared" si="279"/>
        <v>40</v>
      </c>
      <c r="Y1610" s="5">
        <f>IF(U1610="Open",Lookups!$B$2-B1610,X1610)</f>
        <v>40</v>
      </c>
      <c r="Z1610" t="str">
        <f t="shared" si="280"/>
        <v>OK</v>
      </c>
      <c r="AA1610" t="str">
        <f t="shared" si="281"/>
        <v>2026-05</v>
      </c>
      <c r="AB1610" t="str">
        <f t="shared" si="282"/>
        <v>2026-06</v>
      </c>
      <c r="AC1610" t="str">
        <f t="shared" si="283"/>
        <v>Q2-2026</v>
      </c>
      <c r="AD1610" s="5">
        <f t="shared" si="284"/>
        <v>60</v>
      </c>
      <c r="AE1610" t="str">
        <f t="shared" si="285"/>
        <v>Lost</v>
      </c>
    </row>
    <row r="1611" spans="1:31">
      <c r="A1611" t="s">
        <v>1713</v>
      </c>
      <c r="B1611" s="1">
        <v>46197</v>
      </c>
      <c r="C1611" t="s">
        <v>64</v>
      </c>
      <c r="D1611" t="s">
        <v>57</v>
      </c>
      <c r="E1611" t="s">
        <v>44</v>
      </c>
      <c r="F1611" t="s">
        <v>71</v>
      </c>
      <c r="G1611" t="s">
        <v>60</v>
      </c>
      <c r="H1611" t="s">
        <v>53</v>
      </c>
      <c r="I1611" t="s">
        <v>73</v>
      </c>
      <c r="J1611" s="1">
        <v>46258</v>
      </c>
      <c r="K1611" s="1"/>
      <c r="L1611" s="3">
        <v>35300</v>
      </c>
      <c r="M1611" s="4">
        <v>0</v>
      </c>
      <c r="N1611" s="4">
        <v>0.2</v>
      </c>
      <c r="P1611">
        <v>2</v>
      </c>
      <c r="Q1611" t="str">
        <f>IFERROR(VLOOKUP(E1611,Lookups!$A$5:$B$24,2,FALSE),"Other")</f>
        <v>Organic Search</v>
      </c>
      <c r="R1611" t="str">
        <f>IFERROR(VLOOKUP(F1611,Lookups!$D$5:$F$10,2,FALSE),"Unknown Product")</f>
        <v>Marketing Automation</v>
      </c>
      <c r="S1611" t="str">
        <f>IFERROR(VLOOKUP(F1611,Lookups!$D$5:$F$10,3,FALSE),"Unknown")</f>
        <v>Marketing</v>
      </c>
      <c r="T1611" t="str">
        <f t="shared" si="275"/>
        <v>Mid-Market</v>
      </c>
      <c r="U1611" t="str">
        <f t="shared" si="276"/>
        <v>Open</v>
      </c>
      <c r="V1611" s="3">
        <f t="shared" si="277"/>
        <v>0</v>
      </c>
      <c r="W1611" s="3">
        <f t="shared" si="278"/>
        <v>7060</v>
      </c>
      <c r="X1611" s="5" t="str">
        <f t="shared" si="279"/>
        <v/>
      </c>
      <c r="Y1611" s="5">
        <f>IF(U1611="Open",Lookups!$B$2-B1611,X1611)</f>
        <v>69</v>
      </c>
      <c r="Z1611" t="str">
        <f t="shared" si="280"/>
        <v>STALE</v>
      </c>
      <c r="AA1611" t="str">
        <f t="shared" si="281"/>
        <v>2026-06</v>
      </c>
      <c r="AB1611" t="str">
        <f t="shared" si="282"/>
        <v/>
      </c>
      <c r="AC1611" t="str">
        <f t="shared" si="283"/>
        <v>Q2-2026</v>
      </c>
      <c r="AD1611" s="5">
        <f t="shared" si="284"/>
        <v>65</v>
      </c>
      <c r="AE1611" t="str">
        <f t="shared" si="285"/>
        <v>Pipeline</v>
      </c>
    </row>
    <row r="1612" spans="1:31">
      <c r="A1612" t="s">
        <v>1714</v>
      </c>
      <c r="B1612" s="1">
        <v>46210</v>
      </c>
      <c r="C1612" t="s">
        <v>90</v>
      </c>
      <c r="D1612" t="s">
        <v>57</v>
      </c>
      <c r="E1612" t="s">
        <v>127</v>
      </c>
      <c r="F1612" t="s">
        <v>45</v>
      </c>
      <c r="G1612" t="s">
        <v>99</v>
      </c>
      <c r="H1612" t="s">
        <v>53</v>
      </c>
      <c r="I1612" t="s">
        <v>73</v>
      </c>
      <c r="J1612" s="1">
        <v>46239</v>
      </c>
      <c r="K1612" s="1"/>
      <c r="L1612" s="3">
        <v>41700</v>
      </c>
      <c r="M1612" s="4">
        <v>0</v>
      </c>
      <c r="N1612" s="4">
        <v>0.2</v>
      </c>
      <c r="P1612">
        <v>2</v>
      </c>
      <c r="Q1612" t="str">
        <f>IFERROR(VLOOKUP(E1612,Lookups!$A$5:$B$24,2,FALSE),"Other")</f>
        <v>Paid Search</v>
      </c>
      <c r="R1612" t="str">
        <f>IFERROR(VLOOKUP(F1612,Lookups!$D$5:$F$10,2,FALSE),"Unknown Product")</f>
        <v>Service Cloud</v>
      </c>
      <c r="S1612" t="str">
        <f>IFERROR(VLOOKUP(F1612,Lookups!$D$5:$F$10,3,FALSE),"Unknown")</f>
        <v>Customer Service</v>
      </c>
      <c r="T1612" t="str">
        <f t="shared" si="275"/>
        <v>Mid-Market</v>
      </c>
      <c r="U1612" t="str">
        <f t="shared" si="276"/>
        <v>Open</v>
      </c>
      <c r="V1612" s="3">
        <f t="shared" si="277"/>
        <v>0</v>
      </c>
      <c r="W1612" s="3">
        <f t="shared" si="278"/>
        <v>8340</v>
      </c>
      <c r="X1612" s="5" t="str">
        <f t="shared" si="279"/>
        <v/>
      </c>
      <c r="Y1612" s="5">
        <f>IF(U1612="Open",Lookups!$B$2-B1612,X1612)</f>
        <v>56</v>
      </c>
      <c r="Z1612" t="str">
        <f t="shared" si="280"/>
        <v>STALE</v>
      </c>
      <c r="AA1612" t="str">
        <f t="shared" si="281"/>
        <v>2026-07</v>
      </c>
      <c r="AB1612" t="str">
        <f t="shared" si="282"/>
        <v/>
      </c>
      <c r="AC1612" t="str">
        <f t="shared" si="283"/>
        <v>Q3-2026</v>
      </c>
      <c r="AD1612" s="5">
        <f t="shared" si="284"/>
        <v>59</v>
      </c>
      <c r="AE1612" t="str">
        <f t="shared" si="285"/>
        <v>Pipeline</v>
      </c>
    </row>
    <row r="1613" spans="1:31">
      <c r="A1613" t="s">
        <v>1715</v>
      </c>
      <c r="B1613" s="1">
        <v>46028</v>
      </c>
      <c r="C1613" t="s">
        <v>86</v>
      </c>
      <c r="D1613" t="s">
        <v>87</v>
      </c>
      <c r="E1613" t="s">
        <v>92</v>
      </c>
      <c r="F1613" t="s">
        <v>67</v>
      </c>
      <c r="G1613" t="s">
        <v>99</v>
      </c>
      <c r="H1613" t="s">
        <v>53</v>
      </c>
      <c r="I1613" t="s">
        <v>61</v>
      </c>
      <c r="J1613" s="1">
        <v>46064</v>
      </c>
      <c r="K1613" s="1">
        <v>46064</v>
      </c>
      <c r="L1613" s="3">
        <v>73100</v>
      </c>
      <c r="M1613" s="4">
        <v>0</v>
      </c>
      <c r="N1613" s="4">
        <v>0</v>
      </c>
      <c r="O1613" t="s">
        <v>62</v>
      </c>
      <c r="P1613">
        <v>4</v>
      </c>
      <c r="Q1613" t="str">
        <f>IFERROR(VLOOKUP(E1613,Lookups!$A$5:$B$24,2,FALSE),"Other")</f>
        <v>Webinar</v>
      </c>
      <c r="R1613" t="str">
        <f>IFERROR(VLOOKUP(F1613,Lookups!$D$5:$F$10,2,FALSE),"Unknown Product")</f>
        <v>Revenue Operations Suite</v>
      </c>
      <c r="S1613" t="str">
        <f>IFERROR(VLOOKUP(F1613,Lookups!$D$5:$F$10,3,FALSE),"Unknown")</f>
        <v>Revenue Ops</v>
      </c>
      <c r="T1613" t="str">
        <f t="shared" si="275"/>
        <v>Enterprise</v>
      </c>
      <c r="U1613" t="str">
        <f t="shared" si="276"/>
        <v>Lost</v>
      </c>
      <c r="V1613" s="3">
        <f t="shared" si="277"/>
        <v>0</v>
      </c>
      <c r="W1613" s="3">
        <f t="shared" si="278"/>
        <v>0</v>
      </c>
      <c r="X1613" s="5">
        <f t="shared" si="279"/>
        <v>36</v>
      </c>
      <c r="Y1613" s="5">
        <f>IF(U1613="Open",Lookups!$B$2-B1613,X1613)</f>
        <v>36</v>
      </c>
      <c r="Z1613" t="str">
        <f t="shared" si="280"/>
        <v>OK</v>
      </c>
      <c r="AA1613" t="str">
        <f t="shared" si="281"/>
        <v>2026-01</v>
      </c>
      <c r="AB1613" t="str">
        <f t="shared" si="282"/>
        <v>2026-02</v>
      </c>
      <c r="AC1613" t="str">
        <f t="shared" si="283"/>
        <v>Q1-2026</v>
      </c>
      <c r="AD1613" s="5">
        <f t="shared" si="284"/>
        <v>66</v>
      </c>
      <c r="AE1613" t="str">
        <f t="shared" si="285"/>
        <v>Lost</v>
      </c>
    </row>
    <row r="1614" spans="1:31">
      <c r="A1614" t="s">
        <v>1716</v>
      </c>
      <c r="B1614" s="1">
        <v>45912</v>
      </c>
      <c r="C1614" t="s">
        <v>86</v>
      </c>
      <c r="D1614" t="s">
        <v>87</v>
      </c>
      <c r="E1614" t="s">
        <v>107</v>
      </c>
      <c r="F1614" t="s">
        <v>45</v>
      </c>
      <c r="G1614" t="s">
        <v>46</v>
      </c>
      <c r="H1614" t="s">
        <v>53</v>
      </c>
      <c r="I1614" t="s">
        <v>61</v>
      </c>
      <c r="J1614" s="1">
        <v>45948</v>
      </c>
      <c r="K1614" s="1">
        <v>45948</v>
      </c>
      <c r="L1614" s="3">
        <v>46100</v>
      </c>
      <c r="M1614" s="4">
        <v>0</v>
      </c>
      <c r="N1614" s="4">
        <v>0</v>
      </c>
      <c r="O1614" t="s">
        <v>62</v>
      </c>
      <c r="P1614">
        <v>3</v>
      </c>
      <c r="Q1614" t="str">
        <f>IFERROR(VLOOKUP(E1614,Lookups!$A$5:$B$24,2,FALSE),"Other")</f>
        <v>Referral</v>
      </c>
      <c r="R1614" t="str">
        <f>IFERROR(VLOOKUP(F1614,Lookups!$D$5:$F$10,2,FALSE),"Unknown Product")</f>
        <v>Service Cloud</v>
      </c>
      <c r="S1614" t="str">
        <f>IFERROR(VLOOKUP(F1614,Lookups!$D$5:$F$10,3,FALSE),"Unknown")</f>
        <v>Customer Service</v>
      </c>
      <c r="T1614" t="str">
        <f t="shared" si="275"/>
        <v>Mid-Market</v>
      </c>
      <c r="U1614" t="str">
        <f t="shared" si="276"/>
        <v>Lost</v>
      </c>
      <c r="V1614" s="3">
        <f t="shared" si="277"/>
        <v>0</v>
      </c>
      <c r="W1614" s="3">
        <f t="shared" si="278"/>
        <v>0</v>
      </c>
      <c r="X1614" s="5">
        <f t="shared" si="279"/>
        <v>36</v>
      </c>
      <c r="Y1614" s="5">
        <f>IF(U1614="Open",Lookups!$B$2-B1614,X1614)</f>
        <v>36</v>
      </c>
      <c r="Z1614" t="str">
        <f t="shared" si="280"/>
        <v>OK</v>
      </c>
      <c r="AA1614" t="str">
        <f t="shared" si="281"/>
        <v>2025-09</v>
      </c>
      <c r="AB1614" t="str">
        <f t="shared" si="282"/>
        <v>2025-10</v>
      </c>
      <c r="AC1614" t="str">
        <f t="shared" si="283"/>
        <v>Q3-2025</v>
      </c>
      <c r="AD1614" s="5">
        <f t="shared" si="284"/>
        <v>70</v>
      </c>
      <c r="AE1614" t="str">
        <f t="shared" si="285"/>
        <v>Lost</v>
      </c>
    </row>
    <row r="1615" spans="1:31">
      <c r="A1615" t="s">
        <v>1717</v>
      </c>
      <c r="B1615" s="1">
        <v>45727</v>
      </c>
      <c r="C1615" t="s">
        <v>148</v>
      </c>
      <c r="D1615" t="s">
        <v>43</v>
      </c>
      <c r="E1615" t="s">
        <v>160</v>
      </c>
      <c r="F1615" t="s">
        <v>133</v>
      </c>
      <c r="G1615" t="s">
        <v>112</v>
      </c>
      <c r="H1615" t="s">
        <v>47</v>
      </c>
      <c r="I1615" t="s">
        <v>61</v>
      </c>
      <c r="J1615" s="1">
        <v>45735</v>
      </c>
      <c r="K1615" s="1">
        <v>45735</v>
      </c>
      <c r="L1615" s="3">
        <v>24300</v>
      </c>
      <c r="M1615" s="4">
        <v>0</v>
      </c>
      <c r="N1615" s="4">
        <v>0</v>
      </c>
      <c r="O1615" t="s">
        <v>81</v>
      </c>
      <c r="P1615">
        <v>2</v>
      </c>
      <c r="Q1615" t="str">
        <f>IFERROR(VLOOKUP(E1615,Lookups!$A$5:$B$24,2,FALSE),"Other")</f>
        <v>Email</v>
      </c>
      <c r="R1615" t="str">
        <f>IFERROR(VLOOKUP(F1615,Lookups!$D$5:$F$10,2,FALSE),"Unknown Product")</f>
        <v>Analytics Plus</v>
      </c>
      <c r="S1615" t="str">
        <f>IFERROR(VLOOKUP(F1615,Lookups!$D$5:$F$10,3,FALSE),"Unknown")</f>
        <v>Analytics</v>
      </c>
      <c r="T1615" t="str">
        <f t="shared" si="275"/>
        <v>Mid-Market</v>
      </c>
      <c r="U1615" t="str">
        <f t="shared" si="276"/>
        <v>Lost</v>
      </c>
      <c r="V1615" s="3">
        <f t="shared" si="277"/>
        <v>0</v>
      </c>
      <c r="W1615" s="3">
        <f t="shared" si="278"/>
        <v>0</v>
      </c>
      <c r="X1615" s="5">
        <f t="shared" si="279"/>
        <v>8</v>
      </c>
      <c r="Y1615" s="5">
        <f>IF(U1615="Open",Lookups!$B$2-B1615,X1615)</f>
        <v>8</v>
      </c>
      <c r="Z1615" t="str">
        <f t="shared" si="280"/>
        <v>OK</v>
      </c>
      <c r="AA1615" t="str">
        <f t="shared" si="281"/>
        <v>2025-03</v>
      </c>
      <c r="AB1615" t="str">
        <f t="shared" si="282"/>
        <v>2025-03</v>
      </c>
      <c r="AC1615" t="str">
        <f t="shared" si="283"/>
        <v>Q1-2025</v>
      </c>
      <c r="AD1615" s="5">
        <f t="shared" si="284"/>
        <v>60</v>
      </c>
      <c r="AE1615" t="str">
        <f t="shared" si="285"/>
        <v>Lost</v>
      </c>
    </row>
    <row r="1616" spans="1:31">
      <c r="A1616" t="s">
        <v>1718</v>
      </c>
      <c r="B1616" s="1">
        <v>46081</v>
      </c>
      <c r="C1616" t="s">
        <v>86</v>
      </c>
      <c r="D1616" t="s">
        <v>87</v>
      </c>
      <c r="E1616" t="s">
        <v>96</v>
      </c>
      <c r="F1616" t="s">
        <v>52</v>
      </c>
      <c r="G1616" t="s">
        <v>72</v>
      </c>
      <c r="H1616" t="s">
        <v>47</v>
      </c>
      <c r="I1616" t="s">
        <v>77</v>
      </c>
      <c r="J1616" s="1">
        <v>46093</v>
      </c>
      <c r="K1616" s="1">
        <v>46093</v>
      </c>
      <c r="L1616" s="3">
        <v>4600</v>
      </c>
      <c r="M1616" s="4">
        <v>0</v>
      </c>
      <c r="N1616" s="4">
        <v>1</v>
      </c>
      <c r="P1616">
        <v>6</v>
      </c>
      <c r="Q1616" t="str">
        <f>IFERROR(VLOOKUP(E1616,Lookups!$A$5:$B$24,2,FALSE),"Other")</f>
        <v>LinkedIn</v>
      </c>
      <c r="R1616" t="str">
        <f>IFERROR(VLOOKUP(F1616,Lookups!$D$5:$F$10,2,FALSE),"Unknown Product")</f>
        <v>NexaCRM Core</v>
      </c>
      <c r="S1616" t="str">
        <f>IFERROR(VLOOKUP(F1616,Lookups!$D$5:$F$10,3,FALSE),"Unknown")</f>
        <v>CRM</v>
      </c>
      <c r="T1616" t="str">
        <f t="shared" si="275"/>
        <v>SMB</v>
      </c>
      <c r="U1616" t="str">
        <f t="shared" si="276"/>
        <v>Won</v>
      </c>
      <c r="V1616" s="3">
        <f t="shared" si="277"/>
        <v>4600</v>
      </c>
      <c r="W1616" s="3">
        <f t="shared" si="278"/>
        <v>0</v>
      </c>
      <c r="X1616" s="5">
        <f t="shared" si="279"/>
        <v>12</v>
      </c>
      <c r="Y1616" s="5">
        <f>IF(U1616="Open",Lookups!$B$2-B1616,X1616)</f>
        <v>12</v>
      </c>
      <c r="Z1616" t="str">
        <f t="shared" si="280"/>
        <v>OK</v>
      </c>
      <c r="AA1616" t="str">
        <f t="shared" si="281"/>
        <v>2026-02</v>
      </c>
      <c r="AB1616" t="str">
        <f t="shared" si="282"/>
        <v>2026-03</v>
      </c>
      <c r="AC1616" t="str">
        <f t="shared" si="283"/>
        <v>Q1-2026</v>
      </c>
      <c r="AD1616" s="5">
        <f t="shared" si="284"/>
        <v>43</v>
      </c>
      <c r="AE1616" t="str">
        <f t="shared" si="285"/>
        <v>Won</v>
      </c>
    </row>
    <row r="1617" spans="1:31">
      <c r="A1617" t="s">
        <v>1719</v>
      </c>
      <c r="B1617" s="1">
        <v>45660</v>
      </c>
      <c r="C1617" t="s">
        <v>42</v>
      </c>
      <c r="D1617" t="s">
        <v>43</v>
      </c>
      <c r="E1617" t="s">
        <v>166</v>
      </c>
      <c r="F1617" t="s">
        <v>59</v>
      </c>
      <c r="G1617" t="s">
        <v>99</v>
      </c>
      <c r="H1617" t="s">
        <v>53</v>
      </c>
      <c r="I1617" t="s">
        <v>61</v>
      </c>
      <c r="J1617" s="1">
        <v>45717</v>
      </c>
      <c r="K1617" s="1">
        <v>45717</v>
      </c>
      <c r="L1617" s="3">
        <v>25600</v>
      </c>
      <c r="M1617" s="4">
        <v>0</v>
      </c>
      <c r="N1617" s="4">
        <v>0</v>
      </c>
      <c r="O1617" t="s">
        <v>62</v>
      </c>
      <c r="P1617">
        <v>3</v>
      </c>
      <c r="Q1617" t="str">
        <f>IFERROR(VLOOKUP(E1617,Lookups!$A$5:$B$24,2,FALSE),"Other")</f>
        <v>Referral</v>
      </c>
      <c r="R1617" t="str">
        <f>IFERROR(VLOOKUP(F1617,Lookups!$D$5:$F$10,2,FALSE),"Unknown Product")</f>
        <v>NexaCRM Pro</v>
      </c>
      <c r="S1617" t="str">
        <f>IFERROR(VLOOKUP(F1617,Lookups!$D$5:$F$10,3,FALSE),"Unknown")</f>
        <v>CRM</v>
      </c>
      <c r="T1617" t="str">
        <f t="shared" si="275"/>
        <v>Mid-Market</v>
      </c>
      <c r="U1617" t="str">
        <f t="shared" si="276"/>
        <v>Lost</v>
      </c>
      <c r="V1617" s="3">
        <f t="shared" si="277"/>
        <v>0</v>
      </c>
      <c r="W1617" s="3">
        <f t="shared" si="278"/>
        <v>0</v>
      </c>
      <c r="X1617" s="5">
        <f t="shared" si="279"/>
        <v>57</v>
      </c>
      <c r="Y1617" s="5">
        <f>IF(U1617="Open",Lookups!$B$2-B1617,X1617)</f>
        <v>57</v>
      </c>
      <c r="Z1617" t="str">
        <f t="shared" si="280"/>
        <v>OK</v>
      </c>
      <c r="AA1617" t="str">
        <f t="shared" si="281"/>
        <v>2025-01</v>
      </c>
      <c r="AB1617" t="str">
        <f t="shared" si="282"/>
        <v>2025-03</v>
      </c>
      <c r="AC1617" t="str">
        <f t="shared" si="283"/>
        <v>Q1-2025</v>
      </c>
      <c r="AD1617" s="5">
        <f t="shared" si="284"/>
        <v>70</v>
      </c>
      <c r="AE1617" t="str">
        <f t="shared" si="285"/>
        <v>Lost</v>
      </c>
    </row>
    <row r="1618" spans="1:31">
      <c r="A1618" t="s">
        <v>1720</v>
      </c>
      <c r="B1618" s="1">
        <v>46064</v>
      </c>
      <c r="C1618" t="s">
        <v>64</v>
      </c>
      <c r="D1618" t="s">
        <v>57</v>
      </c>
      <c r="E1618" t="s">
        <v>166</v>
      </c>
      <c r="F1618" t="s">
        <v>133</v>
      </c>
      <c r="G1618" t="s">
        <v>112</v>
      </c>
      <c r="H1618" t="s">
        <v>47</v>
      </c>
      <c r="I1618" t="s">
        <v>77</v>
      </c>
      <c r="J1618" s="1">
        <v>46102</v>
      </c>
      <c r="K1618" s="1">
        <v>46102</v>
      </c>
      <c r="L1618" s="3">
        <v>15500</v>
      </c>
      <c r="M1618" s="4">
        <v>0.05</v>
      </c>
      <c r="N1618" s="4">
        <v>1</v>
      </c>
      <c r="P1618">
        <v>6</v>
      </c>
      <c r="Q1618" t="str">
        <f>IFERROR(VLOOKUP(E1618,Lookups!$A$5:$B$24,2,FALSE),"Other")</f>
        <v>Referral</v>
      </c>
      <c r="R1618" t="str">
        <f>IFERROR(VLOOKUP(F1618,Lookups!$D$5:$F$10,2,FALSE),"Unknown Product")</f>
        <v>Analytics Plus</v>
      </c>
      <c r="S1618" t="str">
        <f>IFERROR(VLOOKUP(F1618,Lookups!$D$5:$F$10,3,FALSE),"Unknown")</f>
        <v>Analytics</v>
      </c>
      <c r="T1618" t="str">
        <f t="shared" si="275"/>
        <v>SMB</v>
      </c>
      <c r="U1618" t="str">
        <f t="shared" si="276"/>
        <v>Won</v>
      </c>
      <c r="V1618" s="3">
        <f t="shared" si="277"/>
        <v>14725</v>
      </c>
      <c r="W1618" s="3">
        <f t="shared" si="278"/>
        <v>0</v>
      </c>
      <c r="X1618" s="5">
        <f t="shared" si="279"/>
        <v>38</v>
      </c>
      <c r="Y1618" s="5">
        <f>IF(U1618="Open",Lookups!$B$2-B1618,X1618)</f>
        <v>38</v>
      </c>
      <c r="Z1618" t="str">
        <f t="shared" si="280"/>
        <v>OK</v>
      </c>
      <c r="AA1618" t="str">
        <f t="shared" si="281"/>
        <v>2026-02</v>
      </c>
      <c r="AB1618" t="str">
        <f t="shared" si="282"/>
        <v>2026-03</v>
      </c>
      <c r="AC1618" t="str">
        <f t="shared" si="283"/>
        <v>Q1-2026</v>
      </c>
      <c r="AD1618" s="5">
        <f t="shared" si="284"/>
        <v>59</v>
      </c>
      <c r="AE1618" t="str">
        <f t="shared" si="285"/>
        <v>Won</v>
      </c>
    </row>
    <row r="1619" spans="1:31">
      <c r="A1619" t="s">
        <v>1721</v>
      </c>
      <c r="B1619" s="1">
        <v>46142</v>
      </c>
      <c r="C1619" t="s">
        <v>90</v>
      </c>
      <c r="D1619" t="s">
        <v>57</v>
      </c>
      <c r="E1619" t="s">
        <v>127</v>
      </c>
      <c r="F1619" t="s">
        <v>133</v>
      </c>
      <c r="G1619" t="s">
        <v>112</v>
      </c>
      <c r="H1619" t="s">
        <v>53</v>
      </c>
      <c r="I1619" t="s">
        <v>54</v>
      </c>
      <c r="J1619" s="1">
        <v>46201</v>
      </c>
      <c r="K1619" s="1"/>
      <c r="L1619" s="3">
        <v>38500</v>
      </c>
      <c r="M1619" s="4">
        <v>0.05</v>
      </c>
      <c r="N1619" s="4">
        <v>0.65</v>
      </c>
      <c r="P1619">
        <v>4</v>
      </c>
      <c r="Q1619" t="str">
        <f>IFERROR(VLOOKUP(E1619,Lookups!$A$5:$B$24,2,FALSE),"Other")</f>
        <v>Paid Search</v>
      </c>
      <c r="R1619" t="str">
        <f>IFERROR(VLOOKUP(F1619,Lookups!$D$5:$F$10,2,FALSE),"Unknown Product")</f>
        <v>Analytics Plus</v>
      </c>
      <c r="S1619" t="str">
        <f>IFERROR(VLOOKUP(F1619,Lookups!$D$5:$F$10,3,FALSE),"Unknown")</f>
        <v>Analytics</v>
      </c>
      <c r="T1619" t="str">
        <f t="shared" si="275"/>
        <v>Mid-Market</v>
      </c>
      <c r="U1619" t="str">
        <f t="shared" si="276"/>
        <v>Open</v>
      </c>
      <c r="V1619" s="3">
        <f t="shared" si="277"/>
        <v>0</v>
      </c>
      <c r="W1619" s="3">
        <f t="shared" si="278"/>
        <v>25025</v>
      </c>
      <c r="X1619" s="5" t="str">
        <f t="shared" si="279"/>
        <v/>
      </c>
      <c r="Y1619" s="5">
        <f>IF(U1619="Open",Lookups!$B$2-B1619,X1619)</f>
        <v>124</v>
      </c>
      <c r="Z1619" t="str">
        <f t="shared" si="280"/>
        <v>STALE</v>
      </c>
      <c r="AA1619" t="str">
        <f t="shared" si="281"/>
        <v>2026-04</v>
      </c>
      <c r="AB1619" t="str">
        <f t="shared" si="282"/>
        <v/>
      </c>
      <c r="AC1619" t="str">
        <f t="shared" si="283"/>
        <v>Q2-2026</v>
      </c>
      <c r="AD1619" s="5">
        <f t="shared" si="284"/>
        <v>64</v>
      </c>
      <c r="AE1619" t="str">
        <f t="shared" si="285"/>
        <v>Best Case</v>
      </c>
    </row>
    <row r="1620" spans="1:31">
      <c r="A1620" t="s">
        <v>1722</v>
      </c>
      <c r="B1620" s="1">
        <v>45886</v>
      </c>
      <c r="C1620" t="s">
        <v>148</v>
      </c>
      <c r="D1620" t="s">
        <v>43</v>
      </c>
      <c r="E1620" t="s">
        <v>123</v>
      </c>
      <c r="F1620" t="s">
        <v>45</v>
      </c>
      <c r="G1620" t="s">
        <v>76</v>
      </c>
      <c r="H1620" t="s">
        <v>47</v>
      </c>
      <c r="I1620" t="s">
        <v>77</v>
      </c>
      <c r="J1620" s="1">
        <v>45898</v>
      </c>
      <c r="K1620" s="1">
        <v>45898</v>
      </c>
      <c r="L1620" s="3">
        <v>23100</v>
      </c>
      <c r="M1620" s="4">
        <v>0</v>
      </c>
      <c r="N1620" s="4">
        <v>1</v>
      </c>
      <c r="P1620">
        <v>6</v>
      </c>
      <c r="Q1620" t="str">
        <f>IFERROR(VLOOKUP(E1620,Lookups!$A$5:$B$24,2,FALSE),"Other")</f>
        <v>Email</v>
      </c>
      <c r="R1620" t="str">
        <f>IFERROR(VLOOKUP(F1620,Lookups!$D$5:$F$10,2,FALSE),"Unknown Product")</f>
        <v>Service Cloud</v>
      </c>
      <c r="S1620" t="str">
        <f>IFERROR(VLOOKUP(F1620,Lookups!$D$5:$F$10,3,FALSE),"Unknown")</f>
        <v>Customer Service</v>
      </c>
      <c r="T1620" t="str">
        <f t="shared" si="275"/>
        <v>Mid-Market</v>
      </c>
      <c r="U1620" t="str">
        <f t="shared" si="276"/>
        <v>Won</v>
      </c>
      <c r="V1620" s="3">
        <f t="shared" si="277"/>
        <v>23100</v>
      </c>
      <c r="W1620" s="3">
        <f t="shared" si="278"/>
        <v>0</v>
      </c>
      <c r="X1620" s="5">
        <f t="shared" si="279"/>
        <v>12</v>
      </c>
      <c r="Y1620" s="5">
        <f>IF(U1620="Open",Lookups!$B$2-B1620,X1620)</f>
        <v>12</v>
      </c>
      <c r="Z1620" t="str">
        <f t="shared" si="280"/>
        <v>OK</v>
      </c>
      <c r="AA1620" t="str">
        <f t="shared" si="281"/>
        <v>2025-08</v>
      </c>
      <c r="AB1620" t="str">
        <f t="shared" si="282"/>
        <v>2025-08</v>
      </c>
      <c r="AC1620" t="str">
        <f t="shared" si="283"/>
        <v>Q3-2025</v>
      </c>
      <c r="AD1620" s="5">
        <f t="shared" si="284"/>
        <v>55</v>
      </c>
      <c r="AE1620" t="str">
        <f t="shared" si="285"/>
        <v>Won</v>
      </c>
    </row>
    <row r="1621" spans="1:31">
      <c r="A1621" t="s">
        <v>1723</v>
      </c>
      <c r="B1621" s="1">
        <v>46161</v>
      </c>
      <c r="C1621" t="s">
        <v>42</v>
      </c>
      <c r="D1621" t="s">
        <v>43</v>
      </c>
      <c r="E1621" t="s">
        <v>123</v>
      </c>
      <c r="F1621" t="s">
        <v>67</v>
      </c>
      <c r="G1621" t="s">
        <v>76</v>
      </c>
      <c r="H1621" t="s">
        <v>84</v>
      </c>
      <c r="I1621" t="s">
        <v>61</v>
      </c>
      <c r="J1621" s="1">
        <v>46189</v>
      </c>
      <c r="K1621" s="1">
        <v>46189</v>
      </c>
      <c r="L1621" s="3">
        <v>111500</v>
      </c>
      <c r="M1621" s="4">
        <v>0</v>
      </c>
      <c r="N1621" s="4">
        <v>0</v>
      </c>
      <c r="O1621" t="s">
        <v>116</v>
      </c>
      <c r="P1621">
        <v>4</v>
      </c>
      <c r="Q1621" t="str">
        <f>IFERROR(VLOOKUP(E1621,Lookups!$A$5:$B$24,2,FALSE),"Other")</f>
        <v>Email</v>
      </c>
      <c r="R1621" t="str">
        <f>IFERROR(VLOOKUP(F1621,Lookups!$D$5:$F$10,2,FALSE),"Unknown Product")</f>
        <v>Revenue Operations Suite</v>
      </c>
      <c r="S1621" t="str">
        <f>IFERROR(VLOOKUP(F1621,Lookups!$D$5:$F$10,3,FALSE),"Unknown")</f>
        <v>Revenue Ops</v>
      </c>
      <c r="T1621" t="str">
        <f t="shared" si="275"/>
        <v>Enterprise</v>
      </c>
      <c r="U1621" t="str">
        <f t="shared" si="276"/>
        <v>Lost</v>
      </c>
      <c r="V1621" s="3">
        <f t="shared" si="277"/>
        <v>0</v>
      </c>
      <c r="W1621" s="3">
        <f t="shared" si="278"/>
        <v>0</v>
      </c>
      <c r="X1621" s="5">
        <f t="shared" si="279"/>
        <v>28</v>
      </c>
      <c r="Y1621" s="5">
        <f>IF(U1621="Open",Lookups!$B$2-B1621,X1621)</f>
        <v>28</v>
      </c>
      <c r="Z1621" t="str">
        <f t="shared" si="280"/>
        <v>OK</v>
      </c>
      <c r="AA1621" t="str">
        <f t="shared" si="281"/>
        <v>2026-05</v>
      </c>
      <c r="AB1621" t="str">
        <f t="shared" si="282"/>
        <v>2026-06</v>
      </c>
      <c r="AC1621" t="str">
        <f t="shared" si="283"/>
        <v>Q2-2026</v>
      </c>
      <c r="AD1621" s="5">
        <f t="shared" si="284"/>
        <v>78</v>
      </c>
      <c r="AE1621" t="str">
        <f t="shared" si="285"/>
        <v>Lost</v>
      </c>
    </row>
    <row r="1622" spans="1:31">
      <c r="A1622" t="s">
        <v>1724</v>
      </c>
      <c r="B1622" s="1">
        <v>45982</v>
      </c>
      <c r="C1622" t="s">
        <v>69</v>
      </c>
      <c r="D1622" t="s">
        <v>57</v>
      </c>
      <c r="E1622" t="s">
        <v>83</v>
      </c>
      <c r="F1622" t="s">
        <v>67</v>
      </c>
      <c r="G1622" t="s">
        <v>94</v>
      </c>
      <c r="H1622" t="s">
        <v>53</v>
      </c>
      <c r="I1622" t="s">
        <v>61</v>
      </c>
      <c r="J1622" s="1">
        <v>46062</v>
      </c>
      <c r="K1622" s="1">
        <v>46062</v>
      </c>
      <c r="L1622" s="3">
        <v>77500</v>
      </c>
      <c r="M1622" s="4">
        <v>0</v>
      </c>
      <c r="N1622" s="4">
        <v>0</v>
      </c>
      <c r="O1622" t="s">
        <v>116</v>
      </c>
      <c r="P1622">
        <v>4</v>
      </c>
      <c r="Q1622" t="str">
        <f>IFERROR(VLOOKUP(E1622,Lookups!$A$5:$B$24,2,FALSE),"Other")</f>
        <v>Organic Search</v>
      </c>
      <c r="R1622" t="str">
        <f>IFERROR(VLOOKUP(F1622,Lookups!$D$5:$F$10,2,FALSE),"Unknown Product")</f>
        <v>Revenue Operations Suite</v>
      </c>
      <c r="S1622" t="str">
        <f>IFERROR(VLOOKUP(F1622,Lookups!$D$5:$F$10,3,FALSE),"Unknown")</f>
        <v>Revenue Ops</v>
      </c>
      <c r="T1622" t="str">
        <f t="shared" si="275"/>
        <v>Enterprise</v>
      </c>
      <c r="U1622" t="str">
        <f t="shared" si="276"/>
        <v>Lost</v>
      </c>
      <c r="V1622" s="3">
        <f t="shared" si="277"/>
        <v>0</v>
      </c>
      <c r="W1622" s="3">
        <f t="shared" si="278"/>
        <v>0</v>
      </c>
      <c r="X1622" s="5">
        <f t="shared" si="279"/>
        <v>80</v>
      </c>
      <c r="Y1622" s="5">
        <f>IF(U1622="Open",Lookups!$B$2-B1622,X1622)</f>
        <v>80</v>
      </c>
      <c r="Z1622" t="str">
        <f t="shared" si="280"/>
        <v>OK</v>
      </c>
      <c r="AA1622" t="str">
        <f t="shared" si="281"/>
        <v>2025-11</v>
      </c>
      <c r="AB1622" t="str">
        <f t="shared" si="282"/>
        <v>2026-02</v>
      </c>
      <c r="AC1622" t="str">
        <f t="shared" si="283"/>
        <v>Q4-2025</v>
      </c>
      <c r="AD1622" s="5">
        <f t="shared" si="284"/>
        <v>72</v>
      </c>
      <c r="AE1622" t="str">
        <f t="shared" si="285"/>
        <v>Lost</v>
      </c>
    </row>
    <row r="1623" spans="1:31">
      <c r="A1623" t="s">
        <v>1725</v>
      </c>
      <c r="B1623" s="1">
        <v>46032</v>
      </c>
      <c r="C1623" t="s">
        <v>90</v>
      </c>
      <c r="D1623" t="s">
        <v>57</v>
      </c>
      <c r="E1623" t="s">
        <v>83</v>
      </c>
      <c r="F1623" t="s">
        <v>71</v>
      </c>
      <c r="G1623" t="s">
        <v>99</v>
      </c>
      <c r="H1623" t="s">
        <v>47</v>
      </c>
      <c r="I1623" t="s">
        <v>61</v>
      </c>
      <c r="J1623" s="1">
        <v>46109</v>
      </c>
      <c r="K1623" s="1">
        <v>46109</v>
      </c>
      <c r="L1623" s="3">
        <v>14600</v>
      </c>
      <c r="M1623" s="4">
        <v>0</v>
      </c>
      <c r="N1623" s="4">
        <v>0</v>
      </c>
      <c r="O1623" t="s">
        <v>62</v>
      </c>
      <c r="P1623">
        <v>4</v>
      </c>
      <c r="Q1623" t="str">
        <f>IFERROR(VLOOKUP(E1623,Lookups!$A$5:$B$24,2,FALSE),"Other")</f>
        <v>Organic Search</v>
      </c>
      <c r="R1623" t="str">
        <f>IFERROR(VLOOKUP(F1623,Lookups!$D$5:$F$10,2,FALSE),"Unknown Product")</f>
        <v>Marketing Automation</v>
      </c>
      <c r="S1623" t="str">
        <f>IFERROR(VLOOKUP(F1623,Lookups!$D$5:$F$10,3,FALSE),"Unknown")</f>
        <v>Marketing</v>
      </c>
      <c r="T1623" t="str">
        <f t="shared" si="275"/>
        <v>SMB</v>
      </c>
      <c r="U1623" t="str">
        <f t="shared" si="276"/>
        <v>Lost</v>
      </c>
      <c r="V1623" s="3">
        <f t="shared" si="277"/>
        <v>0</v>
      </c>
      <c r="W1623" s="3">
        <f t="shared" si="278"/>
        <v>0</v>
      </c>
      <c r="X1623" s="5">
        <f t="shared" si="279"/>
        <v>77</v>
      </c>
      <c r="Y1623" s="5">
        <f>IF(U1623="Open",Lookups!$B$2-B1623,X1623)</f>
        <v>77</v>
      </c>
      <c r="Z1623" t="str">
        <f t="shared" si="280"/>
        <v>OK</v>
      </c>
      <c r="AA1623" t="str">
        <f t="shared" si="281"/>
        <v>2026-01</v>
      </c>
      <c r="AB1623" t="str">
        <f t="shared" si="282"/>
        <v>2026-03</v>
      </c>
      <c r="AC1623" t="str">
        <f t="shared" si="283"/>
        <v>Q1-2026</v>
      </c>
      <c r="AD1623" s="5">
        <f t="shared" si="284"/>
        <v>49</v>
      </c>
      <c r="AE1623" t="str">
        <f t="shared" si="285"/>
        <v>Lost</v>
      </c>
    </row>
    <row r="1624" spans="1:31">
      <c r="A1624" t="s">
        <v>1726</v>
      </c>
      <c r="B1624" s="1">
        <v>46006</v>
      </c>
      <c r="C1624" t="s">
        <v>42</v>
      </c>
      <c r="D1624" t="s">
        <v>43</v>
      </c>
      <c r="E1624" t="s">
        <v>127</v>
      </c>
      <c r="F1624" t="s">
        <v>59</v>
      </c>
      <c r="G1624" t="s">
        <v>99</v>
      </c>
      <c r="H1624" t="s">
        <v>53</v>
      </c>
      <c r="I1624" t="s">
        <v>61</v>
      </c>
      <c r="J1624" s="1">
        <v>46050</v>
      </c>
      <c r="K1624" s="1">
        <v>46050</v>
      </c>
      <c r="L1624" s="3">
        <v>20100</v>
      </c>
      <c r="M1624" s="4">
        <v>0</v>
      </c>
      <c r="N1624" s="4">
        <v>0</v>
      </c>
      <c r="O1624" t="s">
        <v>102</v>
      </c>
      <c r="P1624">
        <v>4</v>
      </c>
      <c r="Q1624" t="str">
        <f>IFERROR(VLOOKUP(E1624,Lookups!$A$5:$B$24,2,FALSE),"Other")</f>
        <v>Paid Search</v>
      </c>
      <c r="R1624" t="str">
        <f>IFERROR(VLOOKUP(F1624,Lookups!$D$5:$F$10,2,FALSE),"Unknown Product")</f>
        <v>NexaCRM Pro</v>
      </c>
      <c r="S1624" t="str">
        <f>IFERROR(VLOOKUP(F1624,Lookups!$D$5:$F$10,3,FALSE),"Unknown")</f>
        <v>CRM</v>
      </c>
      <c r="T1624" t="str">
        <f t="shared" si="275"/>
        <v>Mid-Market</v>
      </c>
      <c r="U1624" t="str">
        <f t="shared" si="276"/>
        <v>Lost</v>
      </c>
      <c r="V1624" s="3">
        <f t="shared" si="277"/>
        <v>0</v>
      </c>
      <c r="W1624" s="3">
        <f t="shared" si="278"/>
        <v>0</v>
      </c>
      <c r="X1624" s="5">
        <f t="shared" si="279"/>
        <v>44</v>
      </c>
      <c r="Y1624" s="5">
        <f>IF(U1624="Open",Lookups!$B$2-B1624,X1624)</f>
        <v>44</v>
      </c>
      <c r="Z1624" t="str">
        <f t="shared" si="280"/>
        <v>OK</v>
      </c>
      <c r="AA1624" t="str">
        <f t="shared" si="281"/>
        <v>2025-12</v>
      </c>
      <c r="AB1624" t="str">
        <f t="shared" si="282"/>
        <v>2026-01</v>
      </c>
      <c r="AC1624" t="str">
        <f t="shared" si="283"/>
        <v>Q4-2025</v>
      </c>
      <c r="AD1624" s="5">
        <f t="shared" si="284"/>
        <v>59</v>
      </c>
      <c r="AE1624" t="str">
        <f t="shared" si="285"/>
        <v>Lost</v>
      </c>
    </row>
    <row r="1625" spans="1:31">
      <c r="A1625" t="s">
        <v>1727</v>
      </c>
      <c r="B1625" s="1">
        <v>45873</v>
      </c>
      <c r="C1625" t="s">
        <v>148</v>
      </c>
      <c r="D1625" t="s">
        <v>43</v>
      </c>
      <c r="E1625" t="s">
        <v>127</v>
      </c>
      <c r="F1625" t="s">
        <v>59</v>
      </c>
      <c r="G1625" t="s">
        <v>76</v>
      </c>
      <c r="H1625" t="s">
        <v>47</v>
      </c>
      <c r="I1625" t="s">
        <v>61</v>
      </c>
      <c r="J1625" s="1">
        <v>45918</v>
      </c>
      <c r="K1625" s="1">
        <v>45918</v>
      </c>
      <c r="L1625" s="3">
        <v>15400</v>
      </c>
      <c r="M1625" s="4">
        <v>0</v>
      </c>
      <c r="N1625" s="4">
        <v>0</v>
      </c>
      <c r="O1625" t="s">
        <v>79</v>
      </c>
      <c r="P1625">
        <v>2</v>
      </c>
      <c r="Q1625" t="str">
        <f>IFERROR(VLOOKUP(E1625,Lookups!$A$5:$B$24,2,FALSE),"Other")</f>
        <v>Paid Search</v>
      </c>
      <c r="R1625" t="str">
        <f>IFERROR(VLOOKUP(F1625,Lookups!$D$5:$F$10,2,FALSE),"Unknown Product")</f>
        <v>NexaCRM Pro</v>
      </c>
      <c r="S1625" t="str">
        <f>IFERROR(VLOOKUP(F1625,Lookups!$D$5:$F$10,3,FALSE),"Unknown")</f>
        <v>CRM</v>
      </c>
      <c r="T1625" t="str">
        <f t="shared" si="275"/>
        <v>SMB</v>
      </c>
      <c r="U1625" t="str">
        <f t="shared" si="276"/>
        <v>Lost</v>
      </c>
      <c r="V1625" s="3">
        <f t="shared" si="277"/>
        <v>0</v>
      </c>
      <c r="W1625" s="3">
        <f t="shared" si="278"/>
        <v>0</v>
      </c>
      <c r="X1625" s="5">
        <f t="shared" si="279"/>
        <v>45</v>
      </c>
      <c r="Y1625" s="5">
        <f>IF(U1625="Open",Lookups!$B$2-B1625,X1625)</f>
        <v>45</v>
      </c>
      <c r="Z1625" t="str">
        <f t="shared" si="280"/>
        <v>OK</v>
      </c>
      <c r="AA1625" t="str">
        <f t="shared" si="281"/>
        <v>2025-08</v>
      </c>
      <c r="AB1625" t="str">
        <f t="shared" si="282"/>
        <v>2025-09</v>
      </c>
      <c r="AC1625" t="str">
        <f t="shared" si="283"/>
        <v>Q3-2025</v>
      </c>
      <c r="AD1625" s="5">
        <f t="shared" si="284"/>
        <v>43</v>
      </c>
      <c r="AE1625" t="str">
        <f t="shared" si="285"/>
        <v>Lost</v>
      </c>
    </row>
    <row r="1626" spans="1:31">
      <c r="A1626" t="s">
        <v>1728</v>
      </c>
      <c r="B1626" s="1">
        <v>46186</v>
      </c>
      <c r="C1626" t="s">
        <v>148</v>
      </c>
      <c r="D1626" t="s">
        <v>43</v>
      </c>
      <c r="E1626" t="s">
        <v>123</v>
      </c>
      <c r="F1626" t="s">
        <v>59</v>
      </c>
      <c r="G1626" t="s">
        <v>76</v>
      </c>
      <c r="H1626" t="s">
        <v>53</v>
      </c>
      <c r="I1626" t="s">
        <v>77</v>
      </c>
      <c r="J1626" s="1">
        <v>46200</v>
      </c>
      <c r="K1626" s="1">
        <v>46200</v>
      </c>
      <c r="L1626" s="3">
        <v>22000</v>
      </c>
      <c r="M1626" s="4">
        <v>0.05</v>
      </c>
      <c r="N1626" s="4">
        <v>1</v>
      </c>
      <c r="P1626">
        <v>6</v>
      </c>
      <c r="Q1626" t="str">
        <f>IFERROR(VLOOKUP(E1626,Lookups!$A$5:$B$24,2,FALSE),"Other")</f>
        <v>Email</v>
      </c>
      <c r="R1626" t="str">
        <f>IFERROR(VLOOKUP(F1626,Lookups!$D$5:$F$10,2,FALSE),"Unknown Product")</f>
        <v>NexaCRM Pro</v>
      </c>
      <c r="S1626" t="str">
        <f>IFERROR(VLOOKUP(F1626,Lookups!$D$5:$F$10,3,FALSE),"Unknown")</f>
        <v>CRM</v>
      </c>
      <c r="T1626" t="str">
        <f t="shared" si="275"/>
        <v>Mid-Market</v>
      </c>
      <c r="U1626" t="str">
        <f t="shared" si="276"/>
        <v>Won</v>
      </c>
      <c r="V1626" s="3">
        <f t="shared" si="277"/>
        <v>20900</v>
      </c>
      <c r="W1626" s="3">
        <f t="shared" si="278"/>
        <v>0</v>
      </c>
      <c r="X1626" s="5">
        <f t="shared" si="279"/>
        <v>14</v>
      </c>
      <c r="Y1626" s="5">
        <f>IF(U1626="Open",Lookups!$B$2-B1626,X1626)</f>
        <v>14</v>
      </c>
      <c r="Z1626" t="str">
        <f t="shared" si="280"/>
        <v>OK</v>
      </c>
      <c r="AA1626" t="str">
        <f t="shared" si="281"/>
        <v>2026-06</v>
      </c>
      <c r="AB1626" t="str">
        <f t="shared" si="282"/>
        <v>2026-06</v>
      </c>
      <c r="AC1626" t="str">
        <f t="shared" si="283"/>
        <v>Q2-2026</v>
      </c>
      <c r="AD1626" s="5">
        <f t="shared" si="284"/>
        <v>63</v>
      </c>
      <c r="AE1626" t="str">
        <f t="shared" si="285"/>
        <v>Won</v>
      </c>
    </row>
    <row r="1627" spans="1:31">
      <c r="A1627" t="s">
        <v>1729</v>
      </c>
      <c r="B1627" s="1">
        <v>45769</v>
      </c>
      <c r="C1627" t="s">
        <v>42</v>
      </c>
      <c r="D1627" t="s">
        <v>43</v>
      </c>
      <c r="E1627" t="s">
        <v>119</v>
      </c>
      <c r="F1627" t="s">
        <v>71</v>
      </c>
      <c r="G1627" t="s">
        <v>60</v>
      </c>
      <c r="H1627" t="s">
        <v>84</v>
      </c>
      <c r="I1627" t="s">
        <v>77</v>
      </c>
      <c r="J1627" s="1">
        <v>45827</v>
      </c>
      <c r="K1627" s="1">
        <v>45827</v>
      </c>
      <c r="L1627" s="3">
        <v>65100</v>
      </c>
      <c r="M1627" s="4">
        <v>0.12</v>
      </c>
      <c r="N1627" s="4">
        <v>1</v>
      </c>
      <c r="P1627">
        <v>6</v>
      </c>
      <c r="Q1627" t="str">
        <f>IFERROR(VLOOKUP(E1627,Lookups!$A$5:$B$24,2,FALSE),"Other")</f>
        <v>Referral</v>
      </c>
      <c r="R1627" t="str">
        <f>IFERROR(VLOOKUP(F1627,Lookups!$D$5:$F$10,2,FALSE),"Unknown Product")</f>
        <v>Marketing Automation</v>
      </c>
      <c r="S1627" t="str">
        <f>IFERROR(VLOOKUP(F1627,Lookups!$D$5:$F$10,3,FALSE),"Unknown")</f>
        <v>Marketing</v>
      </c>
      <c r="T1627" t="str">
        <f t="shared" si="275"/>
        <v>Enterprise</v>
      </c>
      <c r="U1627" t="str">
        <f t="shared" si="276"/>
        <v>Won</v>
      </c>
      <c r="V1627" s="3">
        <f t="shared" si="277"/>
        <v>57288</v>
      </c>
      <c r="W1627" s="3">
        <f t="shared" si="278"/>
        <v>0</v>
      </c>
      <c r="X1627" s="5">
        <f t="shared" si="279"/>
        <v>58</v>
      </c>
      <c r="Y1627" s="5">
        <f>IF(U1627="Open",Lookups!$B$2-B1627,X1627)</f>
        <v>58</v>
      </c>
      <c r="Z1627" t="str">
        <f t="shared" si="280"/>
        <v>OK</v>
      </c>
      <c r="AA1627" t="str">
        <f t="shared" si="281"/>
        <v>2025-04</v>
      </c>
      <c r="AB1627" t="str">
        <f t="shared" si="282"/>
        <v>2025-06</v>
      </c>
      <c r="AC1627" t="str">
        <f t="shared" si="283"/>
        <v>Q2-2025</v>
      </c>
      <c r="AD1627" s="5">
        <f t="shared" si="284"/>
        <v>85</v>
      </c>
      <c r="AE1627" t="str">
        <f t="shared" si="285"/>
        <v>Won</v>
      </c>
    </row>
    <row r="1628" spans="1:31">
      <c r="A1628" t="s">
        <v>1730</v>
      </c>
      <c r="B1628" s="1">
        <v>45902</v>
      </c>
      <c r="C1628" t="s">
        <v>50</v>
      </c>
      <c r="D1628" t="s">
        <v>43</v>
      </c>
      <c r="E1628" t="s">
        <v>107</v>
      </c>
      <c r="F1628" t="s">
        <v>45</v>
      </c>
      <c r="G1628" t="s">
        <v>46</v>
      </c>
      <c r="H1628" t="s">
        <v>53</v>
      </c>
      <c r="I1628" t="s">
        <v>61</v>
      </c>
      <c r="J1628" s="1">
        <v>45931</v>
      </c>
      <c r="K1628" s="1">
        <v>45931</v>
      </c>
      <c r="L1628" s="3">
        <v>46400</v>
      </c>
      <c r="M1628" s="4">
        <v>0</v>
      </c>
      <c r="N1628" s="4">
        <v>0</v>
      </c>
      <c r="O1628" t="s">
        <v>102</v>
      </c>
      <c r="P1628">
        <v>4</v>
      </c>
      <c r="Q1628" t="str">
        <f>IFERROR(VLOOKUP(E1628,Lookups!$A$5:$B$24,2,FALSE),"Other")</f>
        <v>Referral</v>
      </c>
      <c r="R1628" t="str">
        <f>IFERROR(VLOOKUP(F1628,Lookups!$D$5:$F$10,2,FALSE),"Unknown Product")</f>
        <v>Service Cloud</v>
      </c>
      <c r="S1628" t="str">
        <f>IFERROR(VLOOKUP(F1628,Lookups!$D$5:$F$10,3,FALSE),"Unknown")</f>
        <v>Customer Service</v>
      </c>
      <c r="T1628" t="str">
        <f t="shared" si="275"/>
        <v>Mid-Market</v>
      </c>
      <c r="U1628" t="str">
        <f t="shared" si="276"/>
        <v>Lost</v>
      </c>
      <c r="V1628" s="3">
        <f t="shared" si="277"/>
        <v>0</v>
      </c>
      <c r="W1628" s="3">
        <f t="shared" si="278"/>
        <v>0</v>
      </c>
      <c r="X1628" s="5">
        <f t="shared" si="279"/>
        <v>29</v>
      </c>
      <c r="Y1628" s="5">
        <f>IF(U1628="Open",Lookups!$B$2-B1628,X1628)</f>
        <v>29</v>
      </c>
      <c r="Z1628" t="str">
        <f t="shared" si="280"/>
        <v>OK</v>
      </c>
      <c r="AA1628" t="str">
        <f t="shared" si="281"/>
        <v>2025-09</v>
      </c>
      <c r="AB1628" t="str">
        <f t="shared" si="282"/>
        <v>2025-10</v>
      </c>
      <c r="AC1628" t="str">
        <f t="shared" si="283"/>
        <v>Q3-2025</v>
      </c>
      <c r="AD1628" s="5">
        <f t="shared" si="284"/>
        <v>70</v>
      </c>
      <c r="AE1628" t="str">
        <f t="shared" si="285"/>
        <v>Lost</v>
      </c>
    </row>
    <row r="1629" spans="1:31">
      <c r="A1629" t="s">
        <v>1731</v>
      </c>
      <c r="B1629" s="1">
        <v>46089</v>
      </c>
      <c r="C1629" t="s">
        <v>56</v>
      </c>
      <c r="D1629" t="s">
        <v>57</v>
      </c>
      <c r="E1629" t="s">
        <v>96</v>
      </c>
      <c r="F1629" t="s">
        <v>45</v>
      </c>
      <c r="G1629" t="s">
        <v>76</v>
      </c>
      <c r="H1629" t="s">
        <v>53</v>
      </c>
      <c r="I1629" t="s">
        <v>61</v>
      </c>
      <c r="J1629" s="1">
        <v>46157</v>
      </c>
      <c r="K1629" s="1">
        <v>46157</v>
      </c>
      <c r="L1629" s="3">
        <v>40000</v>
      </c>
      <c r="M1629" s="4">
        <v>0</v>
      </c>
      <c r="N1629" s="4">
        <v>0</v>
      </c>
      <c r="O1629" t="s">
        <v>110</v>
      </c>
      <c r="P1629">
        <v>4</v>
      </c>
      <c r="Q1629" t="str">
        <f>IFERROR(VLOOKUP(E1629,Lookups!$A$5:$B$24,2,FALSE),"Other")</f>
        <v>LinkedIn</v>
      </c>
      <c r="R1629" t="str">
        <f>IFERROR(VLOOKUP(F1629,Lookups!$D$5:$F$10,2,FALSE),"Unknown Product")</f>
        <v>Service Cloud</v>
      </c>
      <c r="S1629" t="str">
        <f>IFERROR(VLOOKUP(F1629,Lookups!$D$5:$F$10,3,FALSE),"Unknown")</f>
        <v>Customer Service</v>
      </c>
      <c r="T1629" t="str">
        <f t="shared" si="275"/>
        <v>Mid-Market</v>
      </c>
      <c r="U1629" t="str">
        <f t="shared" si="276"/>
        <v>Lost</v>
      </c>
      <c r="V1629" s="3">
        <f t="shared" si="277"/>
        <v>0</v>
      </c>
      <c r="W1629" s="3">
        <f t="shared" si="278"/>
        <v>0</v>
      </c>
      <c r="X1629" s="5">
        <f t="shared" si="279"/>
        <v>68</v>
      </c>
      <c r="Y1629" s="5">
        <f>IF(U1629="Open",Lookups!$B$2-B1629,X1629)</f>
        <v>68</v>
      </c>
      <c r="Z1629" t="str">
        <f t="shared" si="280"/>
        <v>OK</v>
      </c>
      <c r="AA1629" t="str">
        <f t="shared" si="281"/>
        <v>2026-03</v>
      </c>
      <c r="AB1629" t="str">
        <f t="shared" si="282"/>
        <v>2026-05</v>
      </c>
      <c r="AC1629" t="str">
        <f t="shared" si="283"/>
        <v>Q1-2026</v>
      </c>
      <c r="AD1629" s="5">
        <f t="shared" si="284"/>
        <v>59</v>
      </c>
      <c r="AE1629" t="str">
        <f t="shared" si="285"/>
        <v>Lost</v>
      </c>
    </row>
    <row r="1630" spans="1:31">
      <c r="A1630" t="s">
        <v>1732</v>
      </c>
      <c r="B1630" s="1">
        <v>46127</v>
      </c>
      <c r="C1630" t="s">
        <v>69</v>
      </c>
      <c r="D1630" t="s">
        <v>57</v>
      </c>
      <c r="E1630" t="s">
        <v>83</v>
      </c>
      <c r="F1630" t="s">
        <v>71</v>
      </c>
      <c r="G1630" t="s">
        <v>76</v>
      </c>
      <c r="H1630" t="s">
        <v>47</v>
      </c>
      <c r="I1630" t="s">
        <v>61</v>
      </c>
      <c r="J1630" s="1">
        <v>46151</v>
      </c>
      <c r="K1630" s="1">
        <v>46151</v>
      </c>
      <c r="L1630" s="3">
        <v>20700</v>
      </c>
      <c r="M1630" s="4">
        <v>0</v>
      </c>
      <c r="N1630" s="4">
        <v>0</v>
      </c>
      <c r="O1630" t="s">
        <v>110</v>
      </c>
      <c r="P1630">
        <v>2</v>
      </c>
      <c r="Q1630" t="str">
        <f>IFERROR(VLOOKUP(E1630,Lookups!$A$5:$B$24,2,FALSE),"Other")</f>
        <v>Organic Search</v>
      </c>
      <c r="R1630" t="str">
        <f>IFERROR(VLOOKUP(F1630,Lookups!$D$5:$F$10,2,FALSE),"Unknown Product")</f>
        <v>Marketing Automation</v>
      </c>
      <c r="S1630" t="str">
        <f>IFERROR(VLOOKUP(F1630,Lookups!$D$5:$F$10,3,FALSE),"Unknown")</f>
        <v>Marketing</v>
      </c>
      <c r="T1630" t="str">
        <f t="shared" si="275"/>
        <v>Mid-Market</v>
      </c>
      <c r="U1630" t="str">
        <f t="shared" si="276"/>
        <v>Lost</v>
      </c>
      <c r="V1630" s="3">
        <f t="shared" si="277"/>
        <v>0</v>
      </c>
      <c r="W1630" s="3">
        <f t="shared" si="278"/>
        <v>0</v>
      </c>
      <c r="X1630" s="5">
        <f t="shared" si="279"/>
        <v>24</v>
      </c>
      <c r="Y1630" s="5">
        <f>IF(U1630="Open",Lookups!$B$2-B1630,X1630)</f>
        <v>24</v>
      </c>
      <c r="Z1630" t="str">
        <f t="shared" si="280"/>
        <v>OK</v>
      </c>
      <c r="AA1630" t="str">
        <f t="shared" si="281"/>
        <v>2026-04</v>
      </c>
      <c r="AB1630" t="str">
        <f t="shared" si="282"/>
        <v>2026-05</v>
      </c>
      <c r="AC1630" t="str">
        <f t="shared" si="283"/>
        <v>Q2-2026</v>
      </c>
      <c r="AD1630" s="5">
        <f t="shared" si="284"/>
        <v>57</v>
      </c>
      <c r="AE1630" t="str">
        <f t="shared" si="285"/>
        <v>Lost</v>
      </c>
    </row>
    <row r="1631" spans="1:31">
      <c r="A1631" t="s">
        <v>1733</v>
      </c>
      <c r="B1631" s="1">
        <v>45659</v>
      </c>
      <c r="C1631" t="s">
        <v>42</v>
      </c>
      <c r="D1631" t="s">
        <v>43</v>
      </c>
      <c r="E1631" t="s">
        <v>127</v>
      </c>
      <c r="F1631" t="s">
        <v>133</v>
      </c>
      <c r="G1631" t="s">
        <v>76</v>
      </c>
      <c r="H1631" t="s">
        <v>47</v>
      </c>
      <c r="I1631" t="s">
        <v>48</v>
      </c>
      <c r="J1631" s="1">
        <v>45981</v>
      </c>
      <c r="K1631" s="1"/>
      <c r="L1631" s="3">
        <v>25400</v>
      </c>
      <c r="M1631" s="4">
        <v>0.03</v>
      </c>
      <c r="N1631" s="4">
        <v>0.85</v>
      </c>
      <c r="P1631">
        <v>5</v>
      </c>
      <c r="Q1631" t="str">
        <f>IFERROR(VLOOKUP(E1631,Lookups!$A$5:$B$24,2,FALSE),"Other")</f>
        <v>Paid Search</v>
      </c>
      <c r="R1631" t="str">
        <f>IFERROR(VLOOKUP(F1631,Lookups!$D$5:$F$10,2,FALSE),"Unknown Product")</f>
        <v>Analytics Plus</v>
      </c>
      <c r="S1631" t="str">
        <f>IFERROR(VLOOKUP(F1631,Lookups!$D$5:$F$10,3,FALSE),"Unknown")</f>
        <v>Analytics</v>
      </c>
      <c r="T1631" t="str">
        <f t="shared" si="275"/>
        <v>Mid-Market</v>
      </c>
      <c r="U1631" t="str">
        <f t="shared" si="276"/>
        <v>Open</v>
      </c>
      <c r="V1631" s="3">
        <f t="shared" si="277"/>
        <v>0</v>
      </c>
      <c r="W1631" s="3">
        <f t="shared" si="278"/>
        <v>21590</v>
      </c>
      <c r="X1631" s="5" t="str">
        <f t="shared" si="279"/>
        <v/>
      </c>
      <c r="Y1631" s="5">
        <f>IF(U1631="Open",Lookups!$B$2-B1631,X1631)</f>
        <v>607</v>
      </c>
      <c r="Z1631" t="str">
        <f t="shared" si="280"/>
        <v>STALE</v>
      </c>
      <c r="AA1631" t="str">
        <f t="shared" si="281"/>
        <v>2025-01</v>
      </c>
      <c r="AB1631" t="str">
        <f t="shared" si="282"/>
        <v/>
      </c>
      <c r="AC1631" t="str">
        <f t="shared" si="283"/>
        <v>Q1-2025</v>
      </c>
      <c r="AD1631" s="5">
        <f t="shared" si="284"/>
        <v>51</v>
      </c>
      <c r="AE1631" t="str">
        <f t="shared" si="285"/>
        <v>Commit</v>
      </c>
    </row>
    <row r="1632" spans="1:31">
      <c r="A1632" t="s">
        <v>1734</v>
      </c>
      <c r="B1632" s="1">
        <v>45754</v>
      </c>
      <c r="C1632" t="s">
        <v>148</v>
      </c>
      <c r="D1632" t="s">
        <v>43</v>
      </c>
      <c r="E1632" t="s">
        <v>109</v>
      </c>
      <c r="F1632" t="s">
        <v>133</v>
      </c>
      <c r="G1632" t="s">
        <v>94</v>
      </c>
      <c r="H1632" t="s">
        <v>53</v>
      </c>
      <c r="I1632" t="s">
        <v>61</v>
      </c>
      <c r="J1632" s="1">
        <v>45796</v>
      </c>
      <c r="K1632" s="1">
        <v>45796</v>
      </c>
      <c r="L1632" s="3">
        <v>40400</v>
      </c>
      <c r="M1632" s="4">
        <v>0</v>
      </c>
      <c r="N1632" s="4">
        <v>0</v>
      </c>
      <c r="O1632" t="s">
        <v>102</v>
      </c>
      <c r="P1632">
        <v>3</v>
      </c>
      <c r="Q1632" t="str">
        <f>IFERROR(VLOOKUP(E1632,Lookups!$A$5:$B$24,2,FALSE),"Other")</f>
        <v>Outbound</v>
      </c>
      <c r="R1632" t="str">
        <f>IFERROR(VLOOKUP(F1632,Lookups!$D$5:$F$10,2,FALSE),"Unknown Product")</f>
        <v>Analytics Plus</v>
      </c>
      <c r="S1632" t="str">
        <f>IFERROR(VLOOKUP(F1632,Lookups!$D$5:$F$10,3,FALSE),"Unknown")</f>
        <v>Analytics</v>
      </c>
      <c r="T1632" t="str">
        <f t="shared" si="275"/>
        <v>Mid-Market</v>
      </c>
      <c r="U1632" t="str">
        <f t="shared" si="276"/>
        <v>Lost</v>
      </c>
      <c r="V1632" s="3">
        <f t="shared" si="277"/>
        <v>0</v>
      </c>
      <c r="W1632" s="3">
        <f t="shared" si="278"/>
        <v>0</v>
      </c>
      <c r="X1632" s="5">
        <f t="shared" si="279"/>
        <v>42</v>
      </c>
      <c r="Y1632" s="5">
        <f>IF(U1632="Open",Lookups!$B$2-B1632,X1632)</f>
        <v>42</v>
      </c>
      <c r="Z1632" t="str">
        <f t="shared" si="280"/>
        <v>OK</v>
      </c>
      <c r="AA1632" t="str">
        <f t="shared" si="281"/>
        <v>2025-04</v>
      </c>
      <c r="AB1632" t="str">
        <f t="shared" si="282"/>
        <v>2025-05</v>
      </c>
      <c r="AC1632" t="str">
        <f t="shared" si="283"/>
        <v>Q2-2025</v>
      </c>
      <c r="AD1632" s="5">
        <f t="shared" si="284"/>
        <v>59</v>
      </c>
      <c r="AE1632" t="str">
        <f t="shared" si="285"/>
        <v>Lost</v>
      </c>
    </row>
    <row r="1633" spans="1:31">
      <c r="A1633" t="s">
        <v>1735</v>
      </c>
      <c r="B1633" s="1">
        <v>45962</v>
      </c>
      <c r="C1633" t="s">
        <v>42</v>
      </c>
      <c r="D1633" t="s">
        <v>43</v>
      </c>
      <c r="E1633" t="s">
        <v>70</v>
      </c>
      <c r="F1633" t="s">
        <v>52</v>
      </c>
      <c r="G1633" t="s">
        <v>46</v>
      </c>
      <c r="H1633" t="s">
        <v>47</v>
      </c>
      <c r="I1633" t="s">
        <v>61</v>
      </c>
      <c r="J1633" s="1">
        <v>46030</v>
      </c>
      <c r="K1633" s="1">
        <v>46030</v>
      </c>
      <c r="L1633" s="3">
        <v>9400</v>
      </c>
      <c r="M1633" s="4">
        <v>0</v>
      </c>
      <c r="N1633" s="4">
        <v>0</v>
      </c>
      <c r="O1633" t="s">
        <v>81</v>
      </c>
      <c r="P1633">
        <v>4</v>
      </c>
      <c r="Q1633" t="str">
        <f>IFERROR(VLOOKUP(E1633,Lookups!$A$5:$B$24,2,FALSE),"Other")</f>
        <v>LinkedIn</v>
      </c>
      <c r="R1633" t="str">
        <f>IFERROR(VLOOKUP(F1633,Lookups!$D$5:$F$10,2,FALSE),"Unknown Product")</f>
        <v>NexaCRM Core</v>
      </c>
      <c r="S1633" t="str">
        <f>IFERROR(VLOOKUP(F1633,Lookups!$D$5:$F$10,3,FALSE),"Unknown")</f>
        <v>CRM</v>
      </c>
      <c r="T1633" t="str">
        <f t="shared" si="275"/>
        <v>SMB</v>
      </c>
      <c r="U1633" t="str">
        <f t="shared" si="276"/>
        <v>Lost</v>
      </c>
      <c r="V1633" s="3">
        <f t="shared" si="277"/>
        <v>0</v>
      </c>
      <c r="W1633" s="3">
        <f t="shared" si="278"/>
        <v>0</v>
      </c>
      <c r="X1633" s="5">
        <f t="shared" si="279"/>
        <v>68</v>
      </c>
      <c r="Y1633" s="5">
        <f>IF(U1633="Open",Lookups!$B$2-B1633,X1633)</f>
        <v>68</v>
      </c>
      <c r="Z1633" t="str">
        <f t="shared" si="280"/>
        <v>OK</v>
      </c>
      <c r="AA1633" t="str">
        <f t="shared" si="281"/>
        <v>2025-11</v>
      </c>
      <c r="AB1633" t="str">
        <f t="shared" si="282"/>
        <v>2026-01</v>
      </c>
      <c r="AC1633" t="str">
        <f t="shared" si="283"/>
        <v>Q4-2025</v>
      </c>
      <c r="AD1633" s="5">
        <f t="shared" si="284"/>
        <v>43</v>
      </c>
      <c r="AE1633" t="str">
        <f t="shared" si="285"/>
        <v>Lost</v>
      </c>
    </row>
    <row r="1634" spans="1:31">
      <c r="A1634" t="s">
        <v>1736</v>
      </c>
      <c r="B1634" s="1">
        <v>46257</v>
      </c>
      <c r="C1634" t="s">
        <v>148</v>
      </c>
      <c r="D1634" t="s">
        <v>43</v>
      </c>
      <c r="E1634" t="s">
        <v>146</v>
      </c>
      <c r="F1634" t="s">
        <v>52</v>
      </c>
      <c r="G1634" t="s">
        <v>72</v>
      </c>
      <c r="H1634" t="s">
        <v>47</v>
      </c>
      <c r="I1634" t="s">
        <v>73</v>
      </c>
      <c r="J1634" s="1">
        <v>46264</v>
      </c>
      <c r="K1634" s="1"/>
      <c r="L1634" s="3">
        <v>10300</v>
      </c>
      <c r="M1634" s="4">
        <v>0</v>
      </c>
      <c r="N1634" s="4">
        <v>0.2</v>
      </c>
      <c r="P1634">
        <v>2</v>
      </c>
      <c r="Q1634" t="str">
        <f>IFERROR(VLOOKUP(E1634,Lookups!$A$5:$B$24,2,FALSE),"Other")</f>
        <v>LinkedIn</v>
      </c>
      <c r="R1634" t="str">
        <f>IFERROR(VLOOKUP(F1634,Lookups!$D$5:$F$10,2,FALSE),"Unknown Product")</f>
        <v>NexaCRM Core</v>
      </c>
      <c r="S1634" t="str">
        <f>IFERROR(VLOOKUP(F1634,Lookups!$D$5:$F$10,3,FALSE),"Unknown")</f>
        <v>CRM</v>
      </c>
      <c r="T1634" t="str">
        <f t="shared" si="275"/>
        <v>SMB</v>
      </c>
      <c r="U1634" t="str">
        <f t="shared" si="276"/>
        <v>Open</v>
      </c>
      <c r="V1634" s="3">
        <f t="shared" si="277"/>
        <v>0</v>
      </c>
      <c r="W1634" s="3">
        <f t="shared" si="278"/>
        <v>2060</v>
      </c>
      <c r="X1634" s="5" t="str">
        <f t="shared" si="279"/>
        <v/>
      </c>
      <c r="Y1634" s="5">
        <f>IF(U1634="Open",Lookups!$B$2-B1634,X1634)</f>
        <v>9</v>
      </c>
      <c r="Z1634" t="str">
        <f t="shared" si="280"/>
        <v>OK</v>
      </c>
      <c r="AA1634" t="str">
        <f t="shared" si="281"/>
        <v>2026-08</v>
      </c>
      <c r="AB1634" t="str">
        <f t="shared" si="282"/>
        <v/>
      </c>
      <c r="AC1634" t="str">
        <f t="shared" si="283"/>
        <v>Q3-2026</v>
      </c>
      <c r="AD1634" s="5">
        <f t="shared" si="284"/>
        <v>43</v>
      </c>
      <c r="AE1634" t="str">
        <f t="shared" si="285"/>
        <v>Pipeline</v>
      </c>
    </row>
    <row r="1635" spans="1:31">
      <c r="A1635" t="s">
        <v>1737</v>
      </c>
      <c r="B1635" s="1">
        <v>45838</v>
      </c>
      <c r="C1635" t="s">
        <v>90</v>
      </c>
      <c r="D1635" t="s">
        <v>57</v>
      </c>
      <c r="E1635" t="s">
        <v>58</v>
      </c>
      <c r="F1635" t="s">
        <v>67</v>
      </c>
      <c r="G1635" t="s">
        <v>112</v>
      </c>
      <c r="H1635" t="s">
        <v>53</v>
      </c>
      <c r="I1635" t="s">
        <v>61</v>
      </c>
      <c r="J1635" s="1">
        <v>45896</v>
      </c>
      <c r="K1635" s="1">
        <v>45896</v>
      </c>
      <c r="L1635" s="3">
        <v>57900</v>
      </c>
      <c r="M1635" s="4">
        <v>0</v>
      </c>
      <c r="N1635" s="4">
        <v>0</v>
      </c>
      <c r="O1635" t="s">
        <v>102</v>
      </c>
      <c r="P1635">
        <v>4</v>
      </c>
      <c r="Q1635" t="str">
        <f>IFERROR(VLOOKUP(E1635,Lookups!$A$5:$B$24,2,FALSE),"Other")</f>
        <v>Email</v>
      </c>
      <c r="R1635" t="str">
        <f>IFERROR(VLOOKUP(F1635,Lookups!$D$5:$F$10,2,FALSE),"Unknown Product")</f>
        <v>Revenue Operations Suite</v>
      </c>
      <c r="S1635" t="str">
        <f>IFERROR(VLOOKUP(F1635,Lookups!$D$5:$F$10,3,FALSE),"Unknown")</f>
        <v>Revenue Ops</v>
      </c>
      <c r="T1635" t="str">
        <f t="shared" si="275"/>
        <v>Enterprise</v>
      </c>
      <c r="U1635" t="str">
        <f t="shared" si="276"/>
        <v>Lost</v>
      </c>
      <c r="V1635" s="3">
        <f t="shared" si="277"/>
        <v>0</v>
      </c>
      <c r="W1635" s="3">
        <f t="shared" si="278"/>
        <v>0</v>
      </c>
      <c r="X1635" s="5">
        <f t="shared" si="279"/>
        <v>58</v>
      </c>
      <c r="Y1635" s="5">
        <f>IF(U1635="Open",Lookups!$B$2-B1635,X1635)</f>
        <v>58</v>
      </c>
      <c r="Z1635" t="str">
        <f t="shared" si="280"/>
        <v>OK</v>
      </c>
      <c r="AA1635" t="str">
        <f t="shared" si="281"/>
        <v>2025-06</v>
      </c>
      <c r="AB1635" t="str">
        <f t="shared" si="282"/>
        <v>2025-08</v>
      </c>
      <c r="AC1635" t="str">
        <f t="shared" si="283"/>
        <v>Q2-2025</v>
      </c>
      <c r="AD1635" s="5">
        <f t="shared" si="284"/>
        <v>75</v>
      </c>
      <c r="AE1635" t="str">
        <f t="shared" si="285"/>
        <v>Lost</v>
      </c>
    </row>
    <row r="1636" spans="1:31">
      <c r="A1636" t="s">
        <v>1738</v>
      </c>
      <c r="B1636" s="1">
        <v>45957</v>
      </c>
      <c r="C1636" t="s">
        <v>69</v>
      </c>
      <c r="D1636" t="s">
        <v>57</v>
      </c>
      <c r="E1636" t="s">
        <v>51</v>
      </c>
      <c r="F1636" t="s">
        <v>52</v>
      </c>
      <c r="G1636" t="s">
        <v>60</v>
      </c>
      <c r="H1636" t="s">
        <v>47</v>
      </c>
      <c r="I1636" t="s">
        <v>48</v>
      </c>
      <c r="J1636" s="1">
        <v>46119</v>
      </c>
      <c r="K1636" s="1"/>
      <c r="L1636" s="3">
        <v>8500</v>
      </c>
      <c r="M1636" s="4">
        <v>0</v>
      </c>
      <c r="N1636" s="4">
        <v>0.85</v>
      </c>
      <c r="P1636">
        <v>5</v>
      </c>
      <c r="Q1636" t="str">
        <f>IFERROR(VLOOKUP(E1636,Lookups!$A$5:$B$24,2,FALSE),"Other")</f>
        <v>Paid Search</v>
      </c>
      <c r="R1636" t="str">
        <f>IFERROR(VLOOKUP(F1636,Lookups!$D$5:$F$10,2,FALSE),"Unknown Product")</f>
        <v>NexaCRM Core</v>
      </c>
      <c r="S1636" t="str">
        <f>IFERROR(VLOOKUP(F1636,Lookups!$D$5:$F$10,3,FALSE),"Unknown")</f>
        <v>CRM</v>
      </c>
      <c r="T1636" t="str">
        <f t="shared" si="275"/>
        <v>SMB</v>
      </c>
      <c r="U1636" t="str">
        <f t="shared" si="276"/>
        <v>Open</v>
      </c>
      <c r="V1636" s="3">
        <f t="shared" si="277"/>
        <v>0</v>
      </c>
      <c r="W1636" s="3">
        <f t="shared" si="278"/>
        <v>7225</v>
      </c>
      <c r="X1636" s="5" t="str">
        <f t="shared" si="279"/>
        <v/>
      </c>
      <c r="Y1636" s="5">
        <f>IF(U1636="Open",Lookups!$B$2-B1636,X1636)</f>
        <v>309</v>
      </c>
      <c r="Z1636" t="str">
        <f t="shared" si="280"/>
        <v>STALE</v>
      </c>
      <c r="AA1636" t="str">
        <f t="shared" si="281"/>
        <v>2025-10</v>
      </c>
      <c r="AB1636" t="str">
        <f t="shared" si="282"/>
        <v/>
      </c>
      <c r="AC1636" t="str">
        <f t="shared" si="283"/>
        <v>Q4-2025</v>
      </c>
      <c r="AD1636" s="5">
        <f t="shared" si="284"/>
        <v>43</v>
      </c>
      <c r="AE1636" t="str">
        <f t="shared" si="285"/>
        <v>Commit</v>
      </c>
    </row>
    <row r="1637" spans="1:31">
      <c r="A1637" t="s">
        <v>1739</v>
      </c>
      <c r="B1637" s="1">
        <v>46219</v>
      </c>
      <c r="C1637" t="s">
        <v>50</v>
      </c>
      <c r="D1637" t="s">
        <v>43</v>
      </c>
      <c r="E1637" t="s">
        <v>83</v>
      </c>
      <c r="F1637" t="s">
        <v>71</v>
      </c>
      <c r="G1637" t="s">
        <v>46</v>
      </c>
      <c r="H1637" t="s">
        <v>84</v>
      </c>
      <c r="I1637" t="s">
        <v>105</v>
      </c>
      <c r="J1637" s="1">
        <v>46257</v>
      </c>
      <c r="K1637" s="1"/>
      <c r="L1637" s="3">
        <v>56800</v>
      </c>
      <c r="M1637" s="4">
        <v>0</v>
      </c>
      <c r="N1637" s="4">
        <v>0.4</v>
      </c>
      <c r="P1637">
        <v>3</v>
      </c>
      <c r="Q1637" t="str">
        <f>IFERROR(VLOOKUP(E1637,Lookups!$A$5:$B$24,2,FALSE),"Other")</f>
        <v>Organic Search</v>
      </c>
      <c r="R1637" t="str">
        <f>IFERROR(VLOOKUP(F1637,Lookups!$D$5:$F$10,2,FALSE),"Unknown Product")</f>
        <v>Marketing Automation</v>
      </c>
      <c r="S1637" t="str">
        <f>IFERROR(VLOOKUP(F1637,Lookups!$D$5:$F$10,3,FALSE),"Unknown")</f>
        <v>Marketing</v>
      </c>
      <c r="T1637" t="str">
        <f t="shared" si="275"/>
        <v>Enterprise</v>
      </c>
      <c r="U1637" t="str">
        <f t="shared" si="276"/>
        <v>Open</v>
      </c>
      <c r="V1637" s="3">
        <f t="shared" si="277"/>
        <v>0</v>
      </c>
      <c r="W1637" s="3">
        <f t="shared" si="278"/>
        <v>22720</v>
      </c>
      <c r="X1637" s="5" t="str">
        <f t="shared" si="279"/>
        <v/>
      </c>
      <c r="Y1637" s="5">
        <f>IF(U1637="Open",Lookups!$B$2-B1637,X1637)</f>
        <v>47</v>
      </c>
      <c r="Z1637" t="str">
        <f t="shared" si="280"/>
        <v>STALE</v>
      </c>
      <c r="AA1637" t="str">
        <f t="shared" si="281"/>
        <v>2026-07</v>
      </c>
      <c r="AB1637" t="str">
        <f t="shared" si="282"/>
        <v/>
      </c>
      <c r="AC1637" t="str">
        <f t="shared" si="283"/>
        <v>Q3-2026</v>
      </c>
      <c r="AD1637" s="5">
        <f t="shared" si="284"/>
        <v>80</v>
      </c>
      <c r="AE1637" t="str">
        <f t="shared" si="285"/>
        <v>Pipeline</v>
      </c>
    </row>
    <row r="1638" spans="1:31">
      <c r="A1638" t="s">
        <v>1740</v>
      </c>
      <c r="B1638" s="1">
        <v>45830</v>
      </c>
      <c r="C1638" t="s">
        <v>69</v>
      </c>
      <c r="D1638" t="s">
        <v>57</v>
      </c>
      <c r="E1638" t="s">
        <v>44</v>
      </c>
      <c r="F1638" t="s">
        <v>133</v>
      </c>
      <c r="G1638" t="s">
        <v>94</v>
      </c>
      <c r="H1638" t="s">
        <v>47</v>
      </c>
      <c r="I1638" t="s">
        <v>61</v>
      </c>
      <c r="J1638" s="1">
        <v>45894</v>
      </c>
      <c r="K1638" s="1">
        <v>45894</v>
      </c>
      <c r="L1638" s="3">
        <v>13200</v>
      </c>
      <c r="M1638" s="4">
        <v>0</v>
      </c>
      <c r="N1638" s="4">
        <v>0</v>
      </c>
      <c r="O1638" t="s">
        <v>79</v>
      </c>
      <c r="P1638">
        <v>2</v>
      </c>
      <c r="Q1638" t="str">
        <f>IFERROR(VLOOKUP(E1638,Lookups!$A$5:$B$24,2,FALSE),"Other")</f>
        <v>Organic Search</v>
      </c>
      <c r="R1638" t="str">
        <f>IFERROR(VLOOKUP(F1638,Lookups!$D$5:$F$10,2,FALSE),"Unknown Product")</f>
        <v>Analytics Plus</v>
      </c>
      <c r="S1638" t="str">
        <f>IFERROR(VLOOKUP(F1638,Lookups!$D$5:$F$10,3,FALSE),"Unknown")</f>
        <v>Analytics</v>
      </c>
      <c r="T1638" t="str">
        <f t="shared" si="275"/>
        <v>SMB</v>
      </c>
      <c r="U1638" t="str">
        <f t="shared" si="276"/>
        <v>Lost</v>
      </c>
      <c r="V1638" s="3">
        <f t="shared" si="277"/>
        <v>0</v>
      </c>
      <c r="W1638" s="3">
        <f t="shared" si="278"/>
        <v>0</v>
      </c>
      <c r="X1638" s="5">
        <f t="shared" si="279"/>
        <v>64</v>
      </c>
      <c r="Y1638" s="5">
        <f>IF(U1638="Open",Lookups!$B$2-B1638,X1638)</f>
        <v>64</v>
      </c>
      <c r="Z1638" t="str">
        <f t="shared" si="280"/>
        <v>OK</v>
      </c>
      <c r="AA1638" t="str">
        <f t="shared" si="281"/>
        <v>2025-06</v>
      </c>
      <c r="AB1638" t="str">
        <f t="shared" si="282"/>
        <v>2025-08</v>
      </c>
      <c r="AC1638" t="str">
        <f t="shared" si="283"/>
        <v>Q2-2025</v>
      </c>
      <c r="AD1638" s="5">
        <f t="shared" si="284"/>
        <v>49</v>
      </c>
      <c r="AE1638" t="str">
        <f t="shared" si="285"/>
        <v>Lost</v>
      </c>
    </row>
    <row r="1639" spans="1:31">
      <c r="A1639" t="s">
        <v>1741</v>
      </c>
      <c r="B1639" s="1">
        <v>45721</v>
      </c>
      <c r="C1639" t="s">
        <v>50</v>
      </c>
      <c r="D1639" t="s">
        <v>43</v>
      </c>
      <c r="E1639" t="s">
        <v>75</v>
      </c>
      <c r="F1639" t="s">
        <v>67</v>
      </c>
      <c r="G1639" t="s">
        <v>112</v>
      </c>
      <c r="H1639" t="s">
        <v>47</v>
      </c>
      <c r="I1639" t="s">
        <v>61</v>
      </c>
      <c r="J1639" s="1">
        <v>45776</v>
      </c>
      <c r="K1639" s="1">
        <v>45776</v>
      </c>
      <c r="L1639" s="3">
        <v>40400</v>
      </c>
      <c r="M1639" s="4">
        <v>0</v>
      </c>
      <c r="N1639" s="4">
        <v>0</v>
      </c>
      <c r="O1639" t="s">
        <v>102</v>
      </c>
      <c r="P1639">
        <v>3</v>
      </c>
      <c r="Q1639" t="str">
        <f>IFERROR(VLOOKUP(E1639,Lookups!$A$5:$B$24,2,FALSE),"Other")</f>
        <v>Webinar</v>
      </c>
      <c r="R1639" t="str">
        <f>IFERROR(VLOOKUP(F1639,Lookups!$D$5:$F$10,2,FALSE),"Unknown Product")</f>
        <v>Revenue Operations Suite</v>
      </c>
      <c r="S1639" t="str">
        <f>IFERROR(VLOOKUP(F1639,Lookups!$D$5:$F$10,3,FALSE),"Unknown")</f>
        <v>Revenue Ops</v>
      </c>
      <c r="T1639" t="str">
        <f t="shared" si="275"/>
        <v>Mid-Market</v>
      </c>
      <c r="U1639" t="str">
        <f t="shared" si="276"/>
        <v>Lost</v>
      </c>
      <c r="V1639" s="3">
        <f t="shared" si="277"/>
        <v>0</v>
      </c>
      <c r="W1639" s="3">
        <f t="shared" si="278"/>
        <v>0</v>
      </c>
      <c r="X1639" s="5">
        <f t="shared" si="279"/>
        <v>55</v>
      </c>
      <c r="Y1639" s="5">
        <f>IF(U1639="Open",Lookups!$B$2-B1639,X1639)</f>
        <v>55</v>
      </c>
      <c r="Z1639" t="str">
        <f t="shared" si="280"/>
        <v>OK</v>
      </c>
      <c r="AA1639" t="str">
        <f t="shared" si="281"/>
        <v>2025-03</v>
      </c>
      <c r="AB1639" t="str">
        <f t="shared" si="282"/>
        <v>2025-04</v>
      </c>
      <c r="AC1639" t="str">
        <f t="shared" si="283"/>
        <v>Q1-2025</v>
      </c>
      <c r="AD1639" s="5">
        <f t="shared" si="284"/>
        <v>56</v>
      </c>
      <c r="AE1639" t="str">
        <f t="shared" si="285"/>
        <v>Lost</v>
      </c>
    </row>
    <row r="1640" spans="1:31">
      <c r="A1640" t="s">
        <v>1742</v>
      </c>
      <c r="B1640" s="1">
        <v>45787</v>
      </c>
      <c r="C1640" t="s">
        <v>42</v>
      </c>
      <c r="D1640" t="s">
        <v>43</v>
      </c>
      <c r="E1640" t="s">
        <v>70</v>
      </c>
      <c r="F1640" t="s">
        <v>59</v>
      </c>
      <c r="G1640" t="s">
        <v>46</v>
      </c>
      <c r="H1640" t="s">
        <v>84</v>
      </c>
      <c r="I1640" t="s">
        <v>61</v>
      </c>
      <c r="J1640" s="1">
        <v>45853</v>
      </c>
      <c r="K1640" s="1">
        <v>45853</v>
      </c>
      <c r="L1640" s="3">
        <v>87300</v>
      </c>
      <c r="M1640" s="4">
        <v>0</v>
      </c>
      <c r="N1640" s="4">
        <v>0</v>
      </c>
      <c r="O1640" t="s">
        <v>62</v>
      </c>
      <c r="P1640">
        <v>3</v>
      </c>
      <c r="Q1640" t="str">
        <f>IFERROR(VLOOKUP(E1640,Lookups!$A$5:$B$24,2,FALSE),"Other")</f>
        <v>LinkedIn</v>
      </c>
      <c r="R1640" t="str">
        <f>IFERROR(VLOOKUP(F1640,Lookups!$D$5:$F$10,2,FALSE),"Unknown Product")</f>
        <v>NexaCRM Pro</v>
      </c>
      <c r="S1640" t="str">
        <f>IFERROR(VLOOKUP(F1640,Lookups!$D$5:$F$10,3,FALSE),"Unknown")</f>
        <v>CRM</v>
      </c>
      <c r="T1640" t="str">
        <f t="shared" si="275"/>
        <v>Enterprise</v>
      </c>
      <c r="U1640" t="str">
        <f t="shared" si="276"/>
        <v>Lost</v>
      </c>
      <c r="V1640" s="3">
        <f t="shared" si="277"/>
        <v>0</v>
      </c>
      <c r="W1640" s="3">
        <f t="shared" si="278"/>
        <v>0</v>
      </c>
      <c r="X1640" s="5">
        <f t="shared" si="279"/>
        <v>66</v>
      </c>
      <c r="Y1640" s="5">
        <f>IF(U1640="Open",Lookups!$B$2-B1640,X1640)</f>
        <v>66</v>
      </c>
      <c r="Z1640" t="str">
        <f t="shared" si="280"/>
        <v>OK</v>
      </c>
      <c r="AA1640" t="str">
        <f t="shared" si="281"/>
        <v>2025-05</v>
      </c>
      <c r="AB1640" t="str">
        <f t="shared" si="282"/>
        <v>2025-07</v>
      </c>
      <c r="AC1640" t="str">
        <f t="shared" si="283"/>
        <v>Q2-2025</v>
      </c>
      <c r="AD1640" s="5">
        <f t="shared" si="284"/>
        <v>74</v>
      </c>
      <c r="AE1640" t="str">
        <f t="shared" si="285"/>
        <v>Lost</v>
      </c>
    </row>
    <row r="1641" spans="1:31">
      <c r="A1641" t="s">
        <v>1743</v>
      </c>
      <c r="B1641" s="1">
        <v>46002</v>
      </c>
      <c r="C1641" t="s">
        <v>90</v>
      </c>
      <c r="D1641" t="s">
        <v>57</v>
      </c>
      <c r="E1641" t="s">
        <v>51</v>
      </c>
      <c r="F1641" t="s">
        <v>45</v>
      </c>
      <c r="G1641" t="s">
        <v>76</v>
      </c>
      <c r="H1641" t="s">
        <v>84</v>
      </c>
      <c r="I1641" t="s">
        <v>48</v>
      </c>
      <c r="J1641" s="1">
        <v>46137</v>
      </c>
      <c r="K1641" s="1"/>
      <c r="L1641" s="3">
        <v>88500</v>
      </c>
      <c r="M1641" s="4">
        <v>0.03</v>
      </c>
      <c r="N1641" s="4">
        <v>0.85</v>
      </c>
      <c r="P1641">
        <v>5</v>
      </c>
      <c r="Q1641" t="str">
        <f>IFERROR(VLOOKUP(E1641,Lookups!$A$5:$B$24,2,FALSE),"Other")</f>
        <v>Paid Search</v>
      </c>
      <c r="R1641" t="str">
        <f>IFERROR(VLOOKUP(F1641,Lookups!$D$5:$F$10,2,FALSE),"Unknown Product")</f>
        <v>Service Cloud</v>
      </c>
      <c r="S1641" t="str">
        <f>IFERROR(VLOOKUP(F1641,Lookups!$D$5:$F$10,3,FALSE),"Unknown")</f>
        <v>Customer Service</v>
      </c>
      <c r="T1641" t="str">
        <f t="shared" si="275"/>
        <v>Enterprise</v>
      </c>
      <c r="U1641" t="str">
        <f t="shared" si="276"/>
        <v>Open</v>
      </c>
      <c r="V1641" s="3">
        <f t="shared" si="277"/>
        <v>0</v>
      </c>
      <c r="W1641" s="3">
        <f t="shared" si="278"/>
        <v>75225</v>
      </c>
      <c r="X1641" s="5" t="str">
        <f t="shared" si="279"/>
        <v/>
      </c>
      <c r="Y1641" s="5">
        <f>IF(U1641="Open",Lookups!$B$2-B1641,X1641)</f>
        <v>264</v>
      </c>
      <c r="Z1641" t="str">
        <f t="shared" si="280"/>
        <v>STALE</v>
      </c>
      <c r="AA1641" t="str">
        <f t="shared" si="281"/>
        <v>2025-12</v>
      </c>
      <c r="AB1641" t="str">
        <f t="shared" si="282"/>
        <v/>
      </c>
      <c r="AC1641" t="str">
        <f t="shared" si="283"/>
        <v>Q4-2025</v>
      </c>
      <c r="AD1641" s="5">
        <f t="shared" si="284"/>
        <v>74</v>
      </c>
      <c r="AE1641" t="str">
        <f t="shared" si="285"/>
        <v>Commit</v>
      </c>
    </row>
    <row r="1642" spans="1:31">
      <c r="A1642" t="s">
        <v>1744</v>
      </c>
      <c r="B1642" s="1">
        <v>46077</v>
      </c>
      <c r="C1642" t="s">
        <v>69</v>
      </c>
      <c r="D1642" t="s">
        <v>57</v>
      </c>
      <c r="E1642" t="s">
        <v>96</v>
      </c>
      <c r="F1642" t="s">
        <v>45</v>
      </c>
      <c r="G1642" t="s">
        <v>72</v>
      </c>
      <c r="H1642" t="s">
        <v>47</v>
      </c>
      <c r="I1642" t="s">
        <v>61</v>
      </c>
      <c r="J1642" s="1">
        <v>46157</v>
      </c>
      <c r="K1642" s="1">
        <v>46157</v>
      </c>
      <c r="L1642" s="3">
        <v>12100</v>
      </c>
      <c r="M1642" s="4">
        <v>0</v>
      </c>
      <c r="N1642" s="4">
        <v>0</v>
      </c>
      <c r="O1642" t="s">
        <v>110</v>
      </c>
      <c r="P1642">
        <v>4</v>
      </c>
      <c r="Q1642" t="str">
        <f>IFERROR(VLOOKUP(E1642,Lookups!$A$5:$B$24,2,FALSE),"Other")</f>
        <v>LinkedIn</v>
      </c>
      <c r="R1642" t="str">
        <f>IFERROR(VLOOKUP(F1642,Lookups!$D$5:$F$10,2,FALSE),"Unknown Product")</f>
        <v>Service Cloud</v>
      </c>
      <c r="S1642" t="str">
        <f>IFERROR(VLOOKUP(F1642,Lookups!$D$5:$F$10,3,FALSE),"Unknown")</f>
        <v>Customer Service</v>
      </c>
      <c r="T1642" t="str">
        <f t="shared" si="275"/>
        <v>SMB</v>
      </c>
      <c r="U1642" t="str">
        <f t="shared" si="276"/>
        <v>Lost</v>
      </c>
      <c r="V1642" s="3">
        <f t="shared" si="277"/>
        <v>0</v>
      </c>
      <c r="W1642" s="3">
        <f t="shared" si="278"/>
        <v>0</v>
      </c>
      <c r="X1642" s="5">
        <f t="shared" si="279"/>
        <v>80</v>
      </c>
      <c r="Y1642" s="5">
        <f>IF(U1642="Open",Lookups!$B$2-B1642,X1642)</f>
        <v>80</v>
      </c>
      <c r="Z1642" t="str">
        <f t="shared" si="280"/>
        <v>OK</v>
      </c>
      <c r="AA1642" t="str">
        <f t="shared" si="281"/>
        <v>2026-02</v>
      </c>
      <c r="AB1642" t="str">
        <f t="shared" si="282"/>
        <v>2026-05</v>
      </c>
      <c r="AC1642" t="str">
        <f t="shared" si="283"/>
        <v>Q1-2026</v>
      </c>
      <c r="AD1642" s="5">
        <f t="shared" si="284"/>
        <v>43</v>
      </c>
      <c r="AE1642" t="str">
        <f t="shared" si="285"/>
        <v>Lost</v>
      </c>
    </row>
    <row r="1643" spans="1:31">
      <c r="A1643" t="s">
        <v>1745</v>
      </c>
      <c r="B1643" s="1">
        <v>45740</v>
      </c>
      <c r="C1643" t="s">
        <v>86</v>
      </c>
      <c r="D1643" t="s">
        <v>87</v>
      </c>
      <c r="E1643" t="s">
        <v>98</v>
      </c>
      <c r="F1643" t="s">
        <v>67</v>
      </c>
      <c r="G1643" t="s">
        <v>60</v>
      </c>
      <c r="H1643" t="s">
        <v>84</v>
      </c>
      <c r="I1643" t="s">
        <v>48</v>
      </c>
      <c r="J1643" s="1">
        <v>46188</v>
      </c>
      <c r="K1643" s="1"/>
      <c r="L1643" s="3">
        <v>86100</v>
      </c>
      <c r="M1643" s="4">
        <v>0</v>
      </c>
      <c r="N1643" s="4">
        <v>0.85</v>
      </c>
      <c r="P1643">
        <v>5</v>
      </c>
      <c r="Q1643" t="str">
        <f>IFERROR(VLOOKUP(E1643,Lookups!$A$5:$B$24,2,FALSE),"Other")</f>
        <v>Outbound</v>
      </c>
      <c r="R1643" t="str">
        <f>IFERROR(VLOOKUP(F1643,Lookups!$D$5:$F$10,2,FALSE),"Unknown Product")</f>
        <v>Revenue Operations Suite</v>
      </c>
      <c r="S1643" t="str">
        <f>IFERROR(VLOOKUP(F1643,Lookups!$D$5:$F$10,3,FALSE),"Unknown")</f>
        <v>Revenue Ops</v>
      </c>
      <c r="T1643" t="str">
        <f t="shared" si="275"/>
        <v>Enterprise</v>
      </c>
      <c r="U1643" t="str">
        <f t="shared" si="276"/>
        <v>Open</v>
      </c>
      <c r="V1643" s="3">
        <f t="shared" si="277"/>
        <v>0</v>
      </c>
      <c r="W1643" s="3">
        <f t="shared" si="278"/>
        <v>73185</v>
      </c>
      <c r="X1643" s="5" t="str">
        <f t="shared" si="279"/>
        <v/>
      </c>
      <c r="Y1643" s="5">
        <f>IF(U1643="Open",Lookups!$B$2-B1643,X1643)</f>
        <v>526</v>
      </c>
      <c r="Z1643" t="str">
        <f t="shared" si="280"/>
        <v>STALE</v>
      </c>
      <c r="AA1643" t="str">
        <f t="shared" si="281"/>
        <v>2025-03</v>
      </c>
      <c r="AB1643" t="str">
        <f t="shared" si="282"/>
        <v/>
      </c>
      <c r="AC1643" t="str">
        <f t="shared" si="283"/>
        <v>Q1-2025</v>
      </c>
      <c r="AD1643" s="5">
        <f t="shared" si="284"/>
        <v>74</v>
      </c>
      <c r="AE1643" t="str">
        <f t="shared" si="285"/>
        <v>Commit</v>
      </c>
    </row>
    <row r="1644" spans="1:31">
      <c r="A1644" t="s">
        <v>1746</v>
      </c>
      <c r="B1644" s="1">
        <v>45669</v>
      </c>
      <c r="C1644" t="s">
        <v>86</v>
      </c>
      <c r="D1644" t="s">
        <v>87</v>
      </c>
      <c r="E1644" t="s">
        <v>83</v>
      </c>
      <c r="F1644" t="s">
        <v>59</v>
      </c>
      <c r="G1644" t="s">
        <v>60</v>
      </c>
      <c r="H1644" t="s">
        <v>47</v>
      </c>
      <c r="I1644" t="s">
        <v>61</v>
      </c>
      <c r="J1644" s="1">
        <v>45724</v>
      </c>
      <c r="K1644" s="1">
        <v>45724</v>
      </c>
      <c r="L1644" s="3">
        <v>21400</v>
      </c>
      <c r="M1644" s="4">
        <v>0</v>
      </c>
      <c r="N1644" s="4">
        <v>0</v>
      </c>
      <c r="O1644" t="s">
        <v>110</v>
      </c>
      <c r="P1644">
        <v>2</v>
      </c>
      <c r="Q1644" t="str">
        <f>IFERROR(VLOOKUP(E1644,Lookups!$A$5:$B$24,2,FALSE),"Other")</f>
        <v>Organic Search</v>
      </c>
      <c r="R1644" t="str">
        <f>IFERROR(VLOOKUP(F1644,Lookups!$D$5:$F$10,2,FALSE),"Unknown Product")</f>
        <v>NexaCRM Pro</v>
      </c>
      <c r="S1644" t="str">
        <f>IFERROR(VLOOKUP(F1644,Lookups!$D$5:$F$10,3,FALSE),"Unknown")</f>
        <v>CRM</v>
      </c>
      <c r="T1644" t="str">
        <f t="shared" si="275"/>
        <v>Mid-Market</v>
      </c>
      <c r="U1644" t="str">
        <f t="shared" si="276"/>
        <v>Lost</v>
      </c>
      <c r="V1644" s="3">
        <f t="shared" si="277"/>
        <v>0</v>
      </c>
      <c r="W1644" s="3">
        <f t="shared" si="278"/>
        <v>0</v>
      </c>
      <c r="X1644" s="5">
        <f t="shared" si="279"/>
        <v>55</v>
      </c>
      <c r="Y1644" s="5">
        <f>IF(U1644="Open",Lookups!$B$2-B1644,X1644)</f>
        <v>55</v>
      </c>
      <c r="Z1644" t="str">
        <f t="shared" si="280"/>
        <v>OK</v>
      </c>
      <c r="AA1644" t="str">
        <f t="shared" si="281"/>
        <v>2025-01</v>
      </c>
      <c r="AB1644" t="str">
        <f t="shared" si="282"/>
        <v>2025-03</v>
      </c>
      <c r="AC1644" t="str">
        <f t="shared" si="283"/>
        <v>Q1-2025</v>
      </c>
      <c r="AD1644" s="5">
        <f t="shared" si="284"/>
        <v>57</v>
      </c>
      <c r="AE1644" t="str">
        <f t="shared" si="285"/>
        <v>Lost</v>
      </c>
    </row>
    <row r="1645" spans="1:31">
      <c r="A1645" t="s">
        <v>1747</v>
      </c>
      <c r="B1645" s="1">
        <v>46194</v>
      </c>
      <c r="C1645" t="s">
        <v>148</v>
      </c>
      <c r="D1645" t="s">
        <v>43</v>
      </c>
      <c r="E1645" t="s">
        <v>166</v>
      </c>
      <c r="F1645" t="s">
        <v>59</v>
      </c>
      <c r="G1645" t="s">
        <v>112</v>
      </c>
      <c r="H1645" t="s">
        <v>47</v>
      </c>
      <c r="I1645" t="s">
        <v>61</v>
      </c>
      <c r="J1645" s="1">
        <v>46225</v>
      </c>
      <c r="K1645" s="1">
        <v>46225</v>
      </c>
      <c r="L1645" s="3">
        <v>17300</v>
      </c>
      <c r="M1645" s="4">
        <v>0</v>
      </c>
      <c r="N1645" s="4">
        <v>0</v>
      </c>
      <c r="O1645" t="s">
        <v>79</v>
      </c>
      <c r="P1645">
        <v>2</v>
      </c>
      <c r="Q1645" t="str">
        <f>IFERROR(VLOOKUP(E1645,Lookups!$A$5:$B$24,2,FALSE),"Other")</f>
        <v>Referral</v>
      </c>
      <c r="R1645" t="str">
        <f>IFERROR(VLOOKUP(F1645,Lookups!$D$5:$F$10,2,FALSE),"Unknown Product")</f>
        <v>NexaCRM Pro</v>
      </c>
      <c r="S1645" t="str">
        <f>IFERROR(VLOOKUP(F1645,Lookups!$D$5:$F$10,3,FALSE),"Unknown")</f>
        <v>CRM</v>
      </c>
      <c r="T1645" t="str">
        <f t="shared" si="275"/>
        <v>SMB</v>
      </c>
      <c r="U1645" t="str">
        <f t="shared" si="276"/>
        <v>Lost</v>
      </c>
      <c r="V1645" s="3">
        <f t="shared" si="277"/>
        <v>0</v>
      </c>
      <c r="W1645" s="3">
        <f t="shared" si="278"/>
        <v>0</v>
      </c>
      <c r="X1645" s="5">
        <f t="shared" si="279"/>
        <v>31</v>
      </c>
      <c r="Y1645" s="5">
        <f>IF(U1645="Open",Lookups!$B$2-B1645,X1645)</f>
        <v>31</v>
      </c>
      <c r="Z1645" t="str">
        <f t="shared" si="280"/>
        <v>OK</v>
      </c>
      <c r="AA1645" t="str">
        <f t="shared" si="281"/>
        <v>2026-06</v>
      </c>
      <c r="AB1645" t="str">
        <f t="shared" si="282"/>
        <v>2026-07</v>
      </c>
      <c r="AC1645" t="str">
        <f t="shared" si="283"/>
        <v>Q2-2026</v>
      </c>
      <c r="AD1645" s="5">
        <f t="shared" si="284"/>
        <v>59</v>
      </c>
      <c r="AE1645" t="str">
        <f t="shared" si="285"/>
        <v>Lost</v>
      </c>
    </row>
    <row r="1646" spans="1:31">
      <c r="A1646" t="s">
        <v>1748</v>
      </c>
      <c r="B1646" s="1">
        <v>45687</v>
      </c>
      <c r="C1646" t="s">
        <v>50</v>
      </c>
      <c r="D1646" t="s">
        <v>43</v>
      </c>
      <c r="E1646" t="s">
        <v>44</v>
      </c>
      <c r="F1646" t="s">
        <v>59</v>
      </c>
      <c r="G1646" t="s">
        <v>99</v>
      </c>
      <c r="H1646" t="s">
        <v>47</v>
      </c>
      <c r="I1646" t="s">
        <v>77</v>
      </c>
      <c r="J1646" s="1">
        <v>45757</v>
      </c>
      <c r="K1646" s="1">
        <v>45757</v>
      </c>
      <c r="L1646" s="3">
        <v>12700</v>
      </c>
      <c r="M1646" s="4">
        <v>0.05</v>
      </c>
      <c r="N1646" s="4">
        <v>1</v>
      </c>
      <c r="P1646">
        <v>6</v>
      </c>
      <c r="Q1646" t="str">
        <f>IFERROR(VLOOKUP(E1646,Lookups!$A$5:$B$24,2,FALSE),"Other")</f>
        <v>Organic Search</v>
      </c>
      <c r="R1646" t="str">
        <f>IFERROR(VLOOKUP(F1646,Lookups!$D$5:$F$10,2,FALSE),"Unknown Product")</f>
        <v>NexaCRM Pro</v>
      </c>
      <c r="S1646" t="str">
        <f>IFERROR(VLOOKUP(F1646,Lookups!$D$5:$F$10,3,FALSE),"Unknown")</f>
        <v>CRM</v>
      </c>
      <c r="T1646" t="str">
        <f t="shared" si="275"/>
        <v>SMB</v>
      </c>
      <c r="U1646" t="str">
        <f t="shared" si="276"/>
        <v>Won</v>
      </c>
      <c r="V1646" s="3">
        <f t="shared" si="277"/>
        <v>12065</v>
      </c>
      <c r="W1646" s="3">
        <f t="shared" si="278"/>
        <v>0</v>
      </c>
      <c r="X1646" s="5">
        <f t="shared" si="279"/>
        <v>70</v>
      </c>
      <c r="Y1646" s="5">
        <f>IF(U1646="Open",Lookups!$B$2-B1646,X1646)</f>
        <v>70</v>
      </c>
      <c r="Z1646" t="str">
        <f t="shared" si="280"/>
        <v>OK</v>
      </c>
      <c r="AA1646" t="str">
        <f t="shared" si="281"/>
        <v>2025-01</v>
      </c>
      <c r="AB1646" t="str">
        <f t="shared" si="282"/>
        <v>2025-04</v>
      </c>
      <c r="AC1646" t="str">
        <f t="shared" si="283"/>
        <v>Q1-2025</v>
      </c>
      <c r="AD1646" s="5">
        <f t="shared" si="284"/>
        <v>49</v>
      </c>
      <c r="AE1646" t="str">
        <f t="shared" si="285"/>
        <v>Won</v>
      </c>
    </row>
    <row r="1647" spans="1:31">
      <c r="A1647" t="s">
        <v>1749</v>
      </c>
      <c r="B1647" s="1">
        <v>45901</v>
      </c>
      <c r="C1647" t="s">
        <v>90</v>
      </c>
      <c r="D1647" t="s">
        <v>57</v>
      </c>
      <c r="E1647" t="s">
        <v>65</v>
      </c>
      <c r="F1647" t="s">
        <v>52</v>
      </c>
      <c r="G1647" t="s">
        <v>99</v>
      </c>
      <c r="H1647" t="s">
        <v>53</v>
      </c>
      <c r="I1647" t="s">
        <v>61</v>
      </c>
      <c r="J1647" s="1">
        <v>45965</v>
      </c>
      <c r="K1647" s="1">
        <v>45965</v>
      </c>
      <c r="L1647" s="3">
        <v>10300</v>
      </c>
      <c r="M1647" s="4">
        <v>0</v>
      </c>
      <c r="N1647" s="4">
        <v>0</v>
      </c>
      <c r="O1647" t="s">
        <v>81</v>
      </c>
      <c r="P1647">
        <v>5</v>
      </c>
      <c r="Q1647" t="str">
        <f>IFERROR(VLOOKUP(E1647,Lookups!$A$5:$B$24,2,FALSE),"Other")</f>
        <v>Paid Search</v>
      </c>
      <c r="R1647" t="str">
        <f>IFERROR(VLOOKUP(F1647,Lookups!$D$5:$F$10,2,FALSE),"Unknown Product")</f>
        <v>NexaCRM Core</v>
      </c>
      <c r="S1647" t="str">
        <f>IFERROR(VLOOKUP(F1647,Lookups!$D$5:$F$10,3,FALSE),"Unknown")</f>
        <v>CRM</v>
      </c>
      <c r="T1647" t="str">
        <f t="shared" si="275"/>
        <v>SMB</v>
      </c>
      <c r="U1647" t="str">
        <f t="shared" si="276"/>
        <v>Lost</v>
      </c>
      <c r="V1647" s="3">
        <f t="shared" si="277"/>
        <v>0</v>
      </c>
      <c r="W1647" s="3">
        <f t="shared" si="278"/>
        <v>0</v>
      </c>
      <c r="X1647" s="5">
        <f t="shared" si="279"/>
        <v>64</v>
      </c>
      <c r="Y1647" s="5">
        <f>IF(U1647="Open",Lookups!$B$2-B1647,X1647)</f>
        <v>64</v>
      </c>
      <c r="Z1647" t="str">
        <f t="shared" si="280"/>
        <v>OK</v>
      </c>
      <c r="AA1647" t="str">
        <f t="shared" si="281"/>
        <v>2025-09</v>
      </c>
      <c r="AB1647" t="str">
        <f t="shared" si="282"/>
        <v>2025-11</v>
      </c>
      <c r="AC1647" t="str">
        <f t="shared" si="283"/>
        <v>Q3-2025</v>
      </c>
      <c r="AD1647" s="5">
        <f t="shared" si="284"/>
        <v>51</v>
      </c>
      <c r="AE1647" t="str">
        <f t="shared" si="285"/>
        <v>Lost</v>
      </c>
    </row>
    <row r="1648" spans="1:31">
      <c r="A1648" t="s">
        <v>1750</v>
      </c>
      <c r="B1648" s="1">
        <v>46047</v>
      </c>
      <c r="C1648" t="s">
        <v>86</v>
      </c>
      <c r="D1648" t="s">
        <v>87</v>
      </c>
      <c r="E1648" t="s">
        <v>92</v>
      </c>
      <c r="F1648" t="s">
        <v>45</v>
      </c>
      <c r="G1648" t="s">
        <v>99</v>
      </c>
      <c r="H1648" t="s">
        <v>53</v>
      </c>
      <c r="I1648" t="s">
        <v>61</v>
      </c>
      <c r="J1648" s="1">
        <v>46082</v>
      </c>
      <c r="K1648" s="1">
        <v>46082</v>
      </c>
      <c r="L1648" s="3">
        <v>32600</v>
      </c>
      <c r="M1648" s="4">
        <v>0</v>
      </c>
      <c r="N1648" s="4">
        <v>0</v>
      </c>
      <c r="O1648" t="s">
        <v>102</v>
      </c>
      <c r="P1648">
        <v>3</v>
      </c>
      <c r="Q1648" t="str">
        <f>IFERROR(VLOOKUP(E1648,Lookups!$A$5:$B$24,2,FALSE),"Other")</f>
        <v>Webinar</v>
      </c>
      <c r="R1648" t="str">
        <f>IFERROR(VLOOKUP(F1648,Lookups!$D$5:$F$10,2,FALSE),"Unknown Product")</f>
        <v>Service Cloud</v>
      </c>
      <c r="S1648" t="str">
        <f>IFERROR(VLOOKUP(F1648,Lookups!$D$5:$F$10,3,FALSE),"Unknown")</f>
        <v>Customer Service</v>
      </c>
      <c r="T1648" t="str">
        <f t="shared" si="275"/>
        <v>Mid-Market</v>
      </c>
      <c r="U1648" t="str">
        <f t="shared" si="276"/>
        <v>Lost</v>
      </c>
      <c r="V1648" s="3">
        <f t="shared" si="277"/>
        <v>0</v>
      </c>
      <c r="W1648" s="3">
        <f t="shared" si="278"/>
        <v>0</v>
      </c>
      <c r="X1648" s="5">
        <f t="shared" si="279"/>
        <v>35</v>
      </c>
      <c r="Y1648" s="5">
        <f>IF(U1648="Open",Lookups!$B$2-B1648,X1648)</f>
        <v>35</v>
      </c>
      <c r="Z1648" t="str">
        <f t="shared" si="280"/>
        <v>OK</v>
      </c>
      <c r="AA1648" t="str">
        <f t="shared" si="281"/>
        <v>2026-01</v>
      </c>
      <c r="AB1648" t="str">
        <f t="shared" si="282"/>
        <v>2026-03</v>
      </c>
      <c r="AC1648" t="str">
        <f t="shared" si="283"/>
        <v>Q1-2026</v>
      </c>
      <c r="AD1648" s="5">
        <f t="shared" si="284"/>
        <v>59</v>
      </c>
      <c r="AE1648" t="str">
        <f t="shared" si="285"/>
        <v>Lost</v>
      </c>
    </row>
    <row r="1649" spans="1:31">
      <c r="A1649" t="s">
        <v>1751</v>
      </c>
      <c r="B1649" s="1">
        <v>46247</v>
      </c>
      <c r="C1649" t="s">
        <v>42</v>
      </c>
      <c r="D1649" t="s">
        <v>43</v>
      </c>
      <c r="E1649" t="s">
        <v>44</v>
      </c>
      <c r="F1649" t="s">
        <v>52</v>
      </c>
      <c r="G1649" t="s">
        <v>94</v>
      </c>
      <c r="H1649" t="s">
        <v>53</v>
      </c>
      <c r="I1649" t="s">
        <v>187</v>
      </c>
      <c r="J1649" s="1">
        <v>46257</v>
      </c>
      <c r="K1649" s="1"/>
      <c r="L1649" s="3">
        <v>18700</v>
      </c>
      <c r="M1649" s="4">
        <v>0.03</v>
      </c>
      <c r="N1649" s="4">
        <v>0.05</v>
      </c>
      <c r="P1649">
        <v>1</v>
      </c>
      <c r="Q1649" t="str">
        <f>IFERROR(VLOOKUP(E1649,Lookups!$A$5:$B$24,2,FALSE),"Other")</f>
        <v>Organic Search</v>
      </c>
      <c r="R1649" t="str">
        <f>IFERROR(VLOOKUP(F1649,Lookups!$D$5:$F$10,2,FALSE),"Unknown Product")</f>
        <v>NexaCRM Core</v>
      </c>
      <c r="S1649" t="str">
        <f>IFERROR(VLOOKUP(F1649,Lookups!$D$5:$F$10,3,FALSE),"Unknown")</f>
        <v>CRM</v>
      </c>
      <c r="T1649" t="str">
        <f t="shared" si="275"/>
        <v>SMB</v>
      </c>
      <c r="U1649" t="str">
        <f t="shared" si="276"/>
        <v>Open</v>
      </c>
      <c r="V1649" s="3">
        <f t="shared" si="277"/>
        <v>0</v>
      </c>
      <c r="W1649" s="3">
        <f t="shared" si="278"/>
        <v>935</v>
      </c>
      <c r="X1649" s="5" t="str">
        <f t="shared" si="279"/>
        <v/>
      </c>
      <c r="Y1649" s="5">
        <f>IF(U1649="Open",Lookups!$B$2-B1649,X1649)</f>
        <v>19</v>
      </c>
      <c r="Z1649" t="str">
        <f t="shared" si="280"/>
        <v>OK</v>
      </c>
      <c r="AA1649" t="str">
        <f t="shared" si="281"/>
        <v>2026-08</v>
      </c>
      <c r="AB1649" t="str">
        <f t="shared" si="282"/>
        <v/>
      </c>
      <c r="AC1649" t="str">
        <f t="shared" si="283"/>
        <v>Q3-2026</v>
      </c>
      <c r="AD1649" s="5">
        <f t="shared" si="284"/>
        <v>57</v>
      </c>
      <c r="AE1649" t="str">
        <f t="shared" si="285"/>
        <v>Pipeline</v>
      </c>
    </row>
    <row r="1650" spans="1:31">
      <c r="A1650" t="s">
        <v>1752</v>
      </c>
      <c r="B1650" s="1">
        <v>45987</v>
      </c>
      <c r="C1650" t="s">
        <v>90</v>
      </c>
      <c r="D1650" t="s">
        <v>57</v>
      </c>
      <c r="E1650" t="s">
        <v>160</v>
      </c>
      <c r="F1650" t="s">
        <v>52</v>
      </c>
      <c r="G1650" t="s">
        <v>94</v>
      </c>
      <c r="H1650" t="s">
        <v>47</v>
      </c>
      <c r="I1650" t="s">
        <v>61</v>
      </c>
      <c r="J1650" s="1">
        <v>46009</v>
      </c>
      <c r="K1650" s="1">
        <v>46009</v>
      </c>
      <c r="L1650" s="3">
        <v>6300</v>
      </c>
      <c r="M1650" s="4">
        <v>0</v>
      </c>
      <c r="N1650" s="4">
        <v>0</v>
      </c>
      <c r="O1650" t="s">
        <v>81</v>
      </c>
      <c r="P1650">
        <v>3</v>
      </c>
      <c r="Q1650" t="str">
        <f>IFERROR(VLOOKUP(E1650,Lookups!$A$5:$B$24,2,FALSE),"Other")</f>
        <v>Email</v>
      </c>
      <c r="R1650" t="str">
        <f>IFERROR(VLOOKUP(F1650,Lookups!$D$5:$F$10,2,FALSE),"Unknown Product")</f>
        <v>NexaCRM Core</v>
      </c>
      <c r="S1650" t="str">
        <f>IFERROR(VLOOKUP(F1650,Lookups!$D$5:$F$10,3,FALSE),"Unknown")</f>
        <v>CRM</v>
      </c>
      <c r="T1650" t="str">
        <f t="shared" si="275"/>
        <v>SMB</v>
      </c>
      <c r="U1650" t="str">
        <f t="shared" si="276"/>
        <v>Lost</v>
      </c>
      <c r="V1650" s="3">
        <f t="shared" si="277"/>
        <v>0</v>
      </c>
      <c r="W1650" s="3">
        <f t="shared" si="278"/>
        <v>0</v>
      </c>
      <c r="X1650" s="5">
        <f t="shared" si="279"/>
        <v>22</v>
      </c>
      <c r="Y1650" s="5">
        <f>IF(U1650="Open",Lookups!$B$2-B1650,X1650)</f>
        <v>22</v>
      </c>
      <c r="Z1650" t="str">
        <f t="shared" si="280"/>
        <v>OK</v>
      </c>
      <c r="AA1650" t="str">
        <f t="shared" si="281"/>
        <v>2025-11</v>
      </c>
      <c r="AB1650" t="str">
        <f t="shared" si="282"/>
        <v>2025-12</v>
      </c>
      <c r="AC1650" t="str">
        <f t="shared" si="283"/>
        <v>Q4-2025</v>
      </c>
      <c r="AD1650" s="5">
        <f t="shared" si="284"/>
        <v>47</v>
      </c>
      <c r="AE1650" t="str">
        <f t="shared" si="285"/>
        <v>Lost</v>
      </c>
    </row>
    <row r="1651" spans="1:31">
      <c r="A1651" t="s">
        <v>1753</v>
      </c>
      <c r="B1651" s="1">
        <v>46125</v>
      </c>
      <c r="C1651" t="s">
        <v>86</v>
      </c>
      <c r="D1651" t="s">
        <v>87</v>
      </c>
      <c r="E1651" t="s">
        <v>138</v>
      </c>
      <c r="F1651" t="s">
        <v>71</v>
      </c>
      <c r="G1651" t="s">
        <v>46</v>
      </c>
      <c r="H1651" t="s">
        <v>47</v>
      </c>
      <c r="I1651" t="s">
        <v>61</v>
      </c>
      <c r="J1651" s="1">
        <v>46148</v>
      </c>
      <c r="K1651" s="1">
        <v>46148</v>
      </c>
      <c r="L1651" s="3">
        <v>15300</v>
      </c>
      <c r="M1651" s="4">
        <v>0</v>
      </c>
      <c r="N1651" s="4">
        <v>0</v>
      </c>
      <c r="O1651" t="s">
        <v>62</v>
      </c>
      <c r="P1651">
        <v>4</v>
      </c>
      <c r="Q1651" t="str">
        <f>IFERROR(VLOOKUP(E1651,Lookups!$A$5:$B$24,2,FALSE),"Other")</f>
        <v>Organic Search</v>
      </c>
      <c r="R1651" t="str">
        <f>IFERROR(VLOOKUP(F1651,Lookups!$D$5:$F$10,2,FALSE),"Unknown Product")</f>
        <v>Marketing Automation</v>
      </c>
      <c r="S1651" t="str">
        <f>IFERROR(VLOOKUP(F1651,Lookups!$D$5:$F$10,3,FALSE),"Unknown")</f>
        <v>Marketing</v>
      </c>
      <c r="T1651" t="str">
        <f t="shared" si="275"/>
        <v>SMB</v>
      </c>
      <c r="U1651" t="str">
        <f t="shared" si="276"/>
        <v>Lost</v>
      </c>
      <c r="V1651" s="3">
        <f t="shared" si="277"/>
        <v>0</v>
      </c>
      <c r="W1651" s="3">
        <f t="shared" si="278"/>
        <v>0</v>
      </c>
      <c r="X1651" s="5">
        <f t="shared" si="279"/>
        <v>23</v>
      </c>
      <c r="Y1651" s="5">
        <f>IF(U1651="Open",Lookups!$B$2-B1651,X1651)</f>
        <v>23</v>
      </c>
      <c r="Z1651" t="str">
        <f t="shared" si="280"/>
        <v>OK</v>
      </c>
      <c r="AA1651" t="str">
        <f t="shared" si="281"/>
        <v>2026-04</v>
      </c>
      <c r="AB1651" t="str">
        <f t="shared" si="282"/>
        <v>2026-05</v>
      </c>
      <c r="AC1651" t="str">
        <f t="shared" si="283"/>
        <v>Q2-2026</v>
      </c>
      <c r="AD1651" s="5">
        <f t="shared" si="284"/>
        <v>49</v>
      </c>
      <c r="AE1651" t="str">
        <f t="shared" si="285"/>
        <v>Lost</v>
      </c>
    </row>
    <row r="1652" spans="1:31">
      <c r="A1652" t="s">
        <v>1754</v>
      </c>
      <c r="B1652" s="1">
        <v>45978</v>
      </c>
      <c r="C1652" t="s">
        <v>90</v>
      </c>
      <c r="D1652" t="s">
        <v>57</v>
      </c>
      <c r="E1652" t="s">
        <v>70</v>
      </c>
      <c r="F1652" t="s">
        <v>67</v>
      </c>
      <c r="G1652" t="s">
        <v>72</v>
      </c>
      <c r="H1652" t="s">
        <v>84</v>
      </c>
      <c r="I1652" t="s">
        <v>77</v>
      </c>
      <c r="J1652" s="1">
        <v>46044</v>
      </c>
      <c r="K1652" s="1">
        <v>46044</v>
      </c>
      <c r="L1652" s="3">
        <v>125200</v>
      </c>
      <c r="M1652" s="4">
        <v>0.03</v>
      </c>
      <c r="N1652" s="4">
        <v>1</v>
      </c>
      <c r="P1652">
        <v>6</v>
      </c>
      <c r="Q1652" t="str">
        <f>IFERROR(VLOOKUP(E1652,Lookups!$A$5:$B$24,2,FALSE),"Other")</f>
        <v>LinkedIn</v>
      </c>
      <c r="R1652" t="str">
        <f>IFERROR(VLOOKUP(F1652,Lookups!$D$5:$F$10,2,FALSE),"Unknown Product")</f>
        <v>Revenue Operations Suite</v>
      </c>
      <c r="S1652" t="str">
        <f>IFERROR(VLOOKUP(F1652,Lookups!$D$5:$F$10,3,FALSE),"Unknown")</f>
        <v>Revenue Ops</v>
      </c>
      <c r="T1652" t="str">
        <f t="shared" si="275"/>
        <v>Enterprise</v>
      </c>
      <c r="U1652" t="str">
        <f t="shared" si="276"/>
        <v>Won</v>
      </c>
      <c r="V1652" s="3">
        <f t="shared" si="277"/>
        <v>121444</v>
      </c>
      <c r="W1652" s="3">
        <f t="shared" si="278"/>
        <v>0</v>
      </c>
      <c r="X1652" s="5">
        <f t="shared" si="279"/>
        <v>66</v>
      </c>
      <c r="Y1652" s="5">
        <f>IF(U1652="Open",Lookups!$B$2-B1652,X1652)</f>
        <v>66</v>
      </c>
      <c r="Z1652" t="str">
        <f t="shared" si="280"/>
        <v>OK</v>
      </c>
      <c r="AA1652" t="str">
        <f t="shared" si="281"/>
        <v>2025-11</v>
      </c>
      <c r="AB1652" t="str">
        <f t="shared" si="282"/>
        <v>2026-01</v>
      </c>
      <c r="AC1652" t="str">
        <f t="shared" si="283"/>
        <v>Q4-2025</v>
      </c>
      <c r="AD1652" s="5">
        <f t="shared" si="284"/>
        <v>74</v>
      </c>
      <c r="AE1652" t="str">
        <f t="shared" si="285"/>
        <v>Won</v>
      </c>
    </row>
    <row r="1653" spans="1:31">
      <c r="A1653" t="s">
        <v>1755</v>
      </c>
      <c r="B1653" s="1">
        <v>46194</v>
      </c>
      <c r="C1653" t="s">
        <v>56</v>
      </c>
      <c r="D1653" t="s">
        <v>57</v>
      </c>
      <c r="E1653" t="s">
        <v>138</v>
      </c>
      <c r="F1653" t="s">
        <v>67</v>
      </c>
      <c r="G1653" t="s">
        <v>112</v>
      </c>
      <c r="H1653" t="s">
        <v>47</v>
      </c>
      <c r="I1653" t="s">
        <v>61</v>
      </c>
      <c r="J1653" s="1">
        <v>46202</v>
      </c>
      <c r="K1653" s="1">
        <v>46202</v>
      </c>
      <c r="L1653" s="3">
        <v>21100</v>
      </c>
      <c r="M1653" s="4">
        <v>0</v>
      </c>
      <c r="N1653" s="4">
        <v>0</v>
      </c>
      <c r="O1653" t="s">
        <v>81</v>
      </c>
      <c r="P1653">
        <v>4</v>
      </c>
      <c r="Q1653" t="str">
        <f>IFERROR(VLOOKUP(E1653,Lookups!$A$5:$B$24,2,FALSE),"Other")</f>
        <v>Organic Search</v>
      </c>
      <c r="R1653" t="str">
        <f>IFERROR(VLOOKUP(F1653,Lookups!$D$5:$F$10,2,FALSE),"Unknown Product")</f>
        <v>Revenue Operations Suite</v>
      </c>
      <c r="S1653" t="str">
        <f>IFERROR(VLOOKUP(F1653,Lookups!$D$5:$F$10,3,FALSE),"Unknown")</f>
        <v>Revenue Ops</v>
      </c>
      <c r="T1653" t="str">
        <f t="shared" si="275"/>
        <v>Mid-Market</v>
      </c>
      <c r="U1653" t="str">
        <f t="shared" si="276"/>
        <v>Lost</v>
      </c>
      <c r="V1653" s="3">
        <f t="shared" si="277"/>
        <v>0</v>
      </c>
      <c r="W1653" s="3">
        <f t="shared" si="278"/>
        <v>0</v>
      </c>
      <c r="X1653" s="5">
        <f t="shared" si="279"/>
        <v>8</v>
      </c>
      <c r="Y1653" s="5">
        <f>IF(U1653="Open",Lookups!$B$2-B1653,X1653)</f>
        <v>8</v>
      </c>
      <c r="Z1653" t="str">
        <f t="shared" si="280"/>
        <v>OK</v>
      </c>
      <c r="AA1653" t="str">
        <f t="shared" si="281"/>
        <v>2026-06</v>
      </c>
      <c r="AB1653" t="str">
        <f t="shared" si="282"/>
        <v>2026-06</v>
      </c>
      <c r="AC1653" t="str">
        <f t="shared" si="283"/>
        <v>Q2-2026</v>
      </c>
      <c r="AD1653" s="5">
        <f t="shared" si="284"/>
        <v>62</v>
      </c>
      <c r="AE1653" t="str">
        <f t="shared" si="285"/>
        <v>Lost</v>
      </c>
    </row>
    <row r="1654" spans="1:31">
      <c r="A1654" t="s">
        <v>1756</v>
      </c>
      <c r="B1654" s="1">
        <v>45939</v>
      </c>
      <c r="C1654" t="s">
        <v>148</v>
      </c>
      <c r="D1654" t="s">
        <v>43</v>
      </c>
      <c r="E1654" t="s">
        <v>96</v>
      </c>
      <c r="F1654" t="s">
        <v>59</v>
      </c>
      <c r="G1654" t="s">
        <v>76</v>
      </c>
      <c r="H1654" t="s">
        <v>47</v>
      </c>
      <c r="I1654" t="s">
        <v>61</v>
      </c>
      <c r="J1654" s="1">
        <v>45972</v>
      </c>
      <c r="K1654" s="1">
        <v>45972</v>
      </c>
      <c r="L1654" s="3">
        <v>25500</v>
      </c>
      <c r="M1654" s="4">
        <v>0</v>
      </c>
      <c r="N1654" s="4">
        <v>0</v>
      </c>
      <c r="O1654" t="s">
        <v>102</v>
      </c>
      <c r="P1654">
        <v>2</v>
      </c>
      <c r="Q1654" t="str">
        <f>IFERROR(VLOOKUP(E1654,Lookups!$A$5:$B$24,2,FALSE),"Other")</f>
        <v>LinkedIn</v>
      </c>
      <c r="R1654" t="str">
        <f>IFERROR(VLOOKUP(F1654,Lookups!$D$5:$F$10,2,FALSE),"Unknown Product")</f>
        <v>NexaCRM Pro</v>
      </c>
      <c r="S1654" t="str">
        <f>IFERROR(VLOOKUP(F1654,Lookups!$D$5:$F$10,3,FALSE),"Unknown")</f>
        <v>CRM</v>
      </c>
      <c r="T1654" t="str">
        <f t="shared" si="275"/>
        <v>Mid-Market</v>
      </c>
      <c r="U1654" t="str">
        <f t="shared" si="276"/>
        <v>Lost</v>
      </c>
      <c r="V1654" s="3">
        <f t="shared" si="277"/>
        <v>0</v>
      </c>
      <c r="W1654" s="3">
        <f t="shared" si="278"/>
        <v>0</v>
      </c>
      <c r="X1654" s="5">
        <f t="shared" si="279"/>
        <v>33</v>
      </c>
      <c r="Y1654" s="5">
        <f>IF(U1654="Open",Lookups!$B$2-B1654,X1654)</f>
        <v>33</v>
      </c>
      <c r="Z1654" t="str">
        <f t="shared" si="280"/>
        <v>OK</v>
      </c>
      <c r="AA1654" t="str">
        <f t="shared" si="281"/>
        <v>2025-10</v>
      </c>
      <c r="AB1654" t="str">
        <f t="shared" si="282"/>
        <v>2025-11</v>
      </c>
      <c r="AC1654" t="str">
        <f t="shared" si="283"/>
        <v>Q4-2025</v>
      </c>
      <c r="AD1654" s="5">
        <f t="shared" si="284"/>
        <v>51</v>
      </c>
      <c r="AE1654" t="str">
        <f t="shared" si="285"/>
        <v>Lost</v>
      </c>
    </row>
    <row r="1655" spans="1:31">
      <c r="A1655" t="s">
        <v>1757</v>
      </c>
      <c r="B1655" s="1">
        <v>45835</v>
      </c>
      <c r="C1655" t="s">
        <v>86</v>
      </c>
      <c r="D1655" t="s">
        <v>87</v>
      </c>
      <c r="E1655" t="s">
        <v>115</v>
      </c>
      <c r="F1655" t="s">
        <v>45</v>
      </c>
      <c r="G1655" t="s">
        <v>76</v>
      </c>
      <c r="H1655" t="s">
        <v>53</v>
      </c>
      <c r="I1655" t="s">
        <v>61</v>
      </c>
      <c r="J1655" s="1">
        <v>45869</v>
      </c>
      <c r="K1655" s="1">
        <v>45869</v>
      </c>
      <c r="L1655" s="3">
        <v>43000</v>
      </c>
      <c r="M1655" s="4">
        <v>0</v>
      </c>
      <c r="N1655" s="4">
        <v>0</v>
      </c>
      <c r="O1655" t="s">
        <v>110</v>
      </c>
      <c r="P1655">
        <v>3</v>
      </c>
      <c r="Q1655" t="str">
        <f>IFERROR(VLOOKUP(E1655,Lookups!$A$5:$B$24,2,FALSE),"Other")</f>
        <v>Outbound</v>
      </c>
      <c r="R1655" t="str">
        <f>IFERROR(VLOOKUP(F1655,Lookups!$D$5:$F$10,2,FALSE),"Unknown Product")</f>
        <v>Service Cloud</v>
      </c>
      <c r="S1655" t="str">
        <f>IFERROR(VLOOKUP(F1655,Lookups!$D$5:$F$10,3,FALSE),"Unknown")</f>
        <v>Customer Service</v>
      </c>
      <c r="T1655" t="str">
        <f t="shared" si="275"/>
        <v>Mid-Market</v>
      </c>
      <c r="U1655" t="str">
        <f t="shared" si="276"/>
        <v>Lost</v>
      </c>
      <c r="V1655" s="3">
        <f t="shared" si="277"/>
        <v>0</v>
      </c>
      <c r="W1655" s="3">
        <f t="shared" si="278"/>
        <v>0</v>
      </c>
      <c r="X1655" s="5">
        <f t="shared" si="279"/>
        <v>34</v>
      </c>
      <c r="Y1655" s="5">
        <f>IF(U1655="Open",Lookups!$B$2-B1655,X1655)</f>
        <v>34</v>
      </c>
      <c r="Z1655" t="str">
        <f t="shared" si="280"/>
        <v>OK</v>
      </c>
      <c r="AA1655" t="str">
        <f t="shared" si="281"/>
        <v>2025-06</v>
      </c>
      <c r="AB1655" t="str">
        <f t="shared" si="282"/>
        <v>2025-07</v>
      </c>
      <c r="AC1655" t="str">
        <f t="shared" si="283"/>
        <v>Q2-2025</v>
      </c>
      <c r="AD1655" s="5">
        <f t="shared" si="284"/>
        <v>59</v>
      </c>
      <c r="AE1655" t="str">
        <f t="shared" si="285"/>
        <v>Lost</v>
      </c>
    </row>
    <row r="1656" spans="1:31">
      <c r="A1656" t="s">
        <v>1758</v>
      </c>
      <c r="B1656" s="1">
        <v>46002</v>
      </c>
      <c r="C1656" t="s">
        <v>86</v>
      </c>
      <c r="D1656" t="s">
        <v>87</v>
      </c>
      <c r="E1656" t="s">
        <v>109</v>
      </c>
      <c r="F1656" t="s">
        <v>45</v>
      </c>
      <c r="G1656" t="s">
        <v>72</v>
      </c>
      <c r="H1656" t="s">
        <v>53</v>
      </c>
      <c r="I1656" t="s">
        <v>61</v>
      </c>
      <c r="J1656" s="1">
        <v>46070</v>
      </c>
      <c r="K1656" s="1">
        <v>46070</v>
      </c>
      <c r="L1656" s="3">
        <v>21100</v>
      </c>
      <c r="M1656" s="4">
        <v>0</v>
      </c>
      <c r="N1656" s="4">
        <v>0</v>
      </c>
      <c r="O1656" t="s">
        <v>79</v>
      </c>
      <c r="P1656">
        <v>3</v>
      </c>
      <c r="Q1656" t="str">
        <f>IFERROR(VLOOKUP(E1656,Lookups!$A$5:$B$24,2,FALSE),"Other")</f>
        <v>Outbound</v>
      </c>
      <c r="R1656" t="str">
        <f>IFERROR(VLOOKUP(F1656,Lookups!$D$5:$F$10,2,FALSE),"Unknown Product")</f>
        <v>Service Cloud</v>
      </c>
      <c r="S1656" t="str">
        <f>IFERROR(VLOOKUP(F1656,Lookups!$D$5:$F$10,3,FALSE),"Unknown")</f>
        <v>Customer Service</v>
      </c>
      <c r="T1656" t="str">
        <f t="shared" si="275"/>
        <v>Mid-Market</v>
      </c>
      <c r="U1656" t="str">
        <f t="shared" si="276"/>
        <v>Lost</v>
      </c>
      <c r="V1656" s="3">
        <f t="shared" si="277"/>
        <v>0</v>
      </c>
      <c r="W1656" s="3">
        <f t="shared" si="278"/>
        <v>0</v>
      </c>
      <c r="X1656" s="5">
        <f t="shared" si="279"/>
        <v>68</v>
      </c>
      <c r="Y1656" s="5">
        <f>IF(U1656="Open",Lookups!$B$2-B1656,X1656)</f>
        <v>68</v>
      </c>
      <c r="Z1656" t="str">
        <f t="shared" si="280"/>
        <v>OK</v>
      </c>
      <c r="AA1656" t="str">
        <f t="shared" si="281"/>
        <v>2025-12</v>
      </c>
      <c r="AB1656" t="str">
        <f t="shared" si="282"/>
        <v>2026-02</v>
      </c>
      <c r="AC1656" t="str">
        <f t="shared" si="283"/>
        <v>Q4-2025</v>
      </c>
      <c r="AD1656" s="5">
        <f t="shared" si="284"/>
        <v>59</v>
      </c>
      <c r="AE1656" t="str">
        <f t="shared" si="285"/>
        <v>Lost</v>
      </c>
    </row>
    <row r="1657" spans="1:31">
      <c r="A1657" t="s">
        <v>1759</v>
      </c>
      <c r="B1657" s="1">
        <v>45739</v>
      </c>
      <c r="C1657" t="s">
        <v>64</v>
      </c>
      <c r="D1657" t="s">
        <v>57</v>
      </c>
      <c r="E1657" t="s">
        <v>166</v>
      </c>
      <c r="F1657" t="s">
        <v>52</v>
      </c>
      <c r="G1657" t="s">
        <v>94</v>
      </c>
      <c r="H1657" t="s">
        <v>47</v>
      </c>
      <c r="I1657" t="s">
        <v>48</v>
      </c>
      <c r="J1657" s="1">
        <v>46077</v>
      </c>
      <c r="K1657" s="1"/>
      <c r="L1657" s="3">
        <v>5200</v>
      </c>
      <c r="M1657" s="4">
        <v>0.03</v>
      </c>
      <c r="N1657" s="4">
        <v>0.85</v>
      </c>
      <c r="P1657">
        <v>5</v>
      </c>
      <c r="Q1657" t="str">
        <f>IFERROR(VLOOKUP(E1657,Lookups!$A$5:$B$24,2,FALSE),"Other")</f>
        <v>Referral</v>
      </c>
      <c r="R1657" t="str">
        <f>IFERROR(VLOOKUP(F1657,Lookups!$D$5:$F$10,2,FALSE),"Unknown Product")</f>
        <v>NexaCRM Core</v>
      </c>
      <c r="S1657" t="str">
        <f>IFERROR(VLOOKUP(F1657,Lookups!$D$5:$F$10,3,FALSE),"Unknown")</f>
        <v>CRM</v>
      </c>
      <c r="T1657" t="str">
        <f t="shared" si="275"/>
        <v>SMB</v>
      </c>
      <c r="U1657" t="str">
        <f t="shared" si="276"/>
        <v>Open</v>
      </c>
      <c r="V1657" s="3">
        <f t="shared" si="277"/>
        <v>0</v>
      </c>
      <c r="W1657" s="3">
        <f t="shared" si="278"/>
        <v>4420</v>
      </c>
      <c r="X1657" s="5" t="str">
        <f t="shared" si="279"/>
        <v/>
      </c>
      <c r="Y1657" s="5">
        <f>IF(U1657="Open",Lookups!$B$2-B1657,X1657)</f>
        <v>527</v>
      </c>
      <c r="Z1657" t="str">
        <f t="shared" si="280"/>
        <v>STALE</v>
      </c>
      <c r="AA1657" t="str">
        <f t="shared" si="281"/>
        <v>2025-03</v>
      </c>
      <c r="AB1657" t="str">
        <f t="shared" si="282"/>
        <v/>
      </c>
      <c r="AC1657" t="str">
        <f t="shared" si="283"/>
        <v>Q1-2025</v>
      </c>
      <c r="AD1657" s="5">
        <f t="shared" si="284"/>
        <v>54</v>
      </c>
      <c r="AE1657" t="str">
        <f t="shared" si="285"/>
        <v>Commit</v>
      </c>
    </row>
    <row r="1658" spans="1:31">
      <c r="A1658" t="s">
        <v>1760</v>
      </c>
      <c r="B1658" s="1">
        <v>45664</v>
      </c>
      <c r="C1658" t="s">
        <v>56</v>
      </c>
      <c r="D1658" t="s">
        <v>57</v>
      </c>
      <c r="E1658" t="s">
        <v>138</v>
      </c>
      <c r="F1658" t="s">
        <v>52</v>
      </c>
      <c r="G1658" t="s">
        <v>112</v>
      </c>
      <c r="H1658" t="s">
        <v>53</v>
      </c>
      <c r="I1658" t="s">
        <v>61</v>
      </c>
      <c r="J1658" s="1">
        <v>45688</v>
      </c>
      <c r="K1658" s="1">
        <v>45688</v>
      </c>
      <c r="L1658" s="3">
        <v>15500</v>
      </c>
      <c r="M1658" s="4">
        <v>0</v>
      </c>
      <c r="N1658" s="4">
        <v>0</v>
      </c>
      <c r="O1658" t="s">
        <v>81</v>
      </c>
      <c r="P1658">
        <v>5</v>
      </c>
      <c r="Q1658" t="str">
        <f>IFERROR(VLOOKUP(E1658,Lookups!$A$5:$B$24,2,FALSE),"Other")</f>
        <v>Organic Search</v>
      </c>
      <c r="R1658" t="str">
        <f>IFERROR(VLOOKUP(F1658,Lookups!$D$5:$F$10,2,FALSE),"Unknown Product")</f>
        <v>NexaCRM Core</v>
      </c>
      <c r="S1658" t="str">
        <f>IFERROR(VLOOKUP(F1658,Lookups!$D$5:$F$10,3,FALSE),"Unknown")</f>
        <v>CRM</v>
      </c>
      <c r="T1658" t="str">
        <f t="shared" si="275"/>
        <v>SMB</v>
      </c>
      <c r="U1658" t="str">
        <f t="shared" si="276"/>
        <v>Lost</v>
      </c>
      <c r="V1658" s="3">
        <f t="shared" si="277"/>
        <v>0</v>
      </c>
      <c r="W1658" s="3">
        <f t="shared" si="278"/>
        <v>0</v>
      </c>
      <c r="X1658" s="5">
        <f t="shared" si="279"/>
        <v>24</v>
      </c>
      <c r="Y1658" s="5">
        <f>IF(U1658="Open",Lookups!$B$2-B1658,X1658)</f>
        <v>24</v>
      </c>
      <c r="Z1658" t="str">
        <f t="shared" si="280"/>
        <v>OK</v>
      </c>
      <c r="AA1658" t="str">
        <f t="shared" si="281"/>
        <v>2025-01</v>
      </c>
      <c r="AB1658" t="str">
        <f t="shared" si="282"/>
        <v>2025-01</v>
      </c>
      <c r="AC1658" t="str">
        <f t="shared" si="283"/>
        <v>Q1-2025</v>
      </c>
      <c r="AD1658" s="5">
        <f t="shared" si="284"/>
        <v>62</v>
      </c>
      <c r="AE1658" t="str">
        <f t="shared" si="285"/>
        <v>Lost</v>
      </c>
    </row>
    <row r="1659" spans="1:31">
      <c r="A1659" t="s">
        <v>1761</v>
      </c>
      <c r="B1659" s="1">
        <v>45966</v>
      </c>
      <c r="C1659" t="s">
        <v>42</v>
      </c>
      <c r="D1659" t="s">
        <v>43</v>
      </c>
      <c r="E1659" t="s">
        <v>109</v>
      </c>
      <c r="F1659" t="s">
        <v>59</v>
      </c>
      <c r="G1659" t="s">
        <v>76</v>
      </c>
      <c r="H1659" t="s">
        <v>47</v>
      </c>
      <c r="I1659" t="s">
        <v>48</v>
      </c>
      <c r="J1659" s="1">
        <v>46200</v>
      </c>
      <c r="K1659" s="1"/>
      <c r="L1659" s="3">
        <v>24300</v>
      </c>
      <c r="M1659" s="4">
        <v>0</v>
      </c>
      <c r="N1659" s="4">
        <v>0.85</v>
      </c>
      <c r="P1659">
        <v>5</v>
      </c>
      <c r="Q1659" t="str">
        <f>IFERROR(VLOOKUP(E1659,Lookups!$A$5:$B$24,2,FALSE),"Other")</f>
        <v>Outbound</v>
      </c>
      <c r="R1659" t="str">
        <f>IFERROR(VLOOKUP(F1659,Lookups!$D$5:$F$10,2,FALSE),"Unknown Product")</f>
        <v>NexaCRM Pro</v>
      </c>
      <c r="S1659" t="str">
        <f>IFERROR(VLOOKUP(F1659,Lookups!$D$5:$F$10,3,FALSE),"Unknown")</f>
        <v>CRM</v>
      </c>
      <c r="T1659" t="str">
        <f t="shared" si="275"/>
        <v>Mid-Market</v>
      </c>
      <c r="U1659" t="str">
        <f t="shared" si="276"/>
        <v>Open</v>
      </c>
      <c r="V1659" s="3">
        <f t="shared" si="277"/>
        <v>0</v>
      </c>
      <c r="W1659" s="3">
        <f t="shared" si="278"/>
        <v>20655</v>
      </c>
      <c r="X1659" s="5" t="str">
        <f t="shared" si="279"/>
        <v/>
      </c>
      <c r="Y1659" s="5">
        <f>IF(U1659="Open",Lookups!$B$2-B1659,X1659)</f>
        <v>300</v>
      </c>
      <c r="Z1659" t="str">
        <f t="shared" si="280"/>
        <v>STALE</v>
      </c>
      <c r="AA1659" t="str">
        <f t="shared" si="281"/>
        <v>2025-11</v>
      </c>
      <c r="AB1659" t="str">
        <f t="shared" si="282"/>
        <v/>
      </c>
      <c r="AC1659" t="str">
        <f t="shared" si="283"/>
        <v>Q4-2025</v>
      </c>
      <c r="AD1659" s="5">
        <f t="shared" si="284"/>
        <v>51</v>
      </c>
      <c r="AE1659" t="str">
        <f t="shared" si="285"/>
        <v>Commit</v>
      </c>
    </row>
    <row r="1660" spans="1:31">
      <c r="A1660" t="s">
        <v>1762</v>
      </c>
      <c r="B1660" s="1">
        <v>45688</v>
      </c>
      <c r="C1660" t="s">
        <v>69</v>
      </c>
      <c r="D1660" t="s">
        <v>57</v>
      </c>
      <c r="E1660" t="s">
        <v>92</v>
      </c>
      <c r="F1660" t="s">
        <v>71</v>
      </c>
      <c r="G1660" t="s">
        <v>60</v>
      </c>
      <c r="H1660" t="s">
        <v>47</v>
      </c>
      <c r="I1660" t="s">
        <v>61</v>
      </c>
      <c r="J1660" s="1">
        <v>45746</v>
      </c>
      <c r="K1660" s="1">
        <v>45746</v>
      </c>
      <c r="L1660" s="3">
        <v>19600</v>
      </c>
      <c r="M1660" s="4">
        <v>0</v>
      </c>
      <c r="N1660" s="4">
        <v>0</v>
      </c>
      <c r="O1660" t="s">
        <v>116</v>
      </c>
      <c r="P1660">
        <v>3</v>
      </c>
      <c r="Q1660" t="str">
        <f>IFERROR(VLOOKUP(E1660,Lookups!$A$5:$B$24,2,FALSE),"Other")</f>
        <v>Webinar</v>
      </c>
      <c r="R1660" t="str">
        <f>IFERROR(VLOOKUP(F1660,Lookups!$D$5:$F$10,2,FALSE),"Unknown Product")</f>
        <v>Marketing Automation</v>
      </c>
      <c r="S1660" t="str">
        <f>IFERROR(VLOOKUP(F1660,Lookups!$D$5:$F$10,3,FALSE),"Unknown")</f>
        <v>Marketing</v>
      </c>
      <c r="T1660" t="str">
        <f t="shared" si="275"/>
        <v>SMB</v>
      </c>
      <c r="U1660" t="str">
        <f t="shared" si="276"/>
        <v>Lost</v>
      </c>
      <c r="V1660" s="3">
        <f t="shared" si="277"/>
        <v>0</v>
      </c>
      <c r="W1660" s="3">
        <f t="shared" si="278"/>
        <v>0</v>
      </c>
      <c r="X1660" s="5">
        <f t="shared" si="279"/>
        <v>58</v>
      </c>
      <c r="Y1660" s="5">
        <f>IF(U1660="Open",Lookups!$B$2-B1660,X1660)</f>
        <v>58</v>
      </c>
      <c r="Z1660" t="str">
        <f t="shared" si="280"/>
        <v>OK</v>
      </c>
      <c r="AA1660" t="str">
        <f t="shared" si="281"/>
        <v>2025-01</v>
      </c>
      <c r="AB1660" t="str">
        <f t="shared" si="282"/>
        <v>2025-03</v>
      </c>
      <c r="AC1660" t="str">
        <f t="shared" si="283"/>
        <v>Q1-2025</v>
      </c>
      <c r="AD1660" s="5">
        <f t="shared" si="284"/>
        <v>43</v>
      </c>
      <c r="AE1660" t="str">
        <f t="shared" si="285"/>
        <v>Lost</v>
      </c>
    </row>
    <row r="1661" spans="1:31">
      <c r="A1661" t="s">
        <v>1763</v>
      </c>
      <c r="B1661" s="1">
        <v>45948</v>
      </c>
      <c r="C1661" t="s">
        <v>90</v>
      </c>
      <c r="D1661" t="s">
        <v>57</v>
      </c>
      <c r="E1661" t="s">
        <v>119</v>
      </c>
      <c r="F1661" t="s">
        <v>133</v>
      </c>
      <c r="G1661" t="s">
        <v>72</v>
      </c>
      <c r="H1661" t="s">
        <v>47</v>
      </c>
      <c r="I1661" t="s">
        <v>61</v>
      </c>
      <c r="J1661" s="1">
        <v>45979</v>
      </c>
      <c r="K1661" s="1">
        <v>45979</v>
      </c>
      <c r="L1661" s="3">
        <v>14700</v>
      </c>
      <c r="M1661" s="4">
        <v>0</v>
      </c>
      <c r="N1661" s="4">
        <v>0</v>
      </c>
      <c r="O1661" t="s">
        <v>79</v>
      </c>
      <c r="P1661">
        <v>4</v>
      </c>
      <c r="Q1661" t="str">
        <f>IFERROR(VLOOKUP(E1661,Lookups!$A$5:$B$24,2,FALSE),"Other")</f>
        <v>Referral</v>
      </c>
      <c r="R1661" t="str">
        <f>IFERROR(VLOOKUP(F1661,Lookups!$D$5:$F$10,2,FALSE),"Unknown Product")</f>
        <v>Analytics Plus</v>
      </c>
      <c r="S1661" t="str">
        <f>IFERROR(VLOOKUP(F1661,Lookups!$D$5:$F$10,3,FALSE),"Unknown")</f>
        <v>Analytics</v>
      </c>
      <c r="T1661" t="str">
        <f t="shared" si="275"/>
        <v>SMB</v>
      </c>
      <c r="U1661" t="str">
        <f t="shared" si="276"/>
        <v>Lost</v>
      </c>
      <c r="V1661" s="3">
        <f t="shared" si="277"/>
        <v>0</v>
      </c>
      <c r="W1661" s="3">
        <f t="shared" si="278"/>
        <v>0</v>
      </c>
      <c r="X1661" s="5">
        <f t="shared" si="279"/>
        <v>31</v>
      </c>
      <c r="Y1661" s="5">
        <f>IF(U1661="Open",Lookups!$B$2-B1661,X1661)</f>
        <v>31</v>
      </c>
      <c r="Z1661" t="str">
        <f t="shared" si="280"/>
        <v>OK</v>
      </c>
      <c r="AA1661" t="str">
        <f t="shared" si="281"/>
        <v>2025-10</v>
      </c>
      <c r="AB1661" t="str">
        <f t="shared" si="282"/>
        <v>2025-11</v>
      </c>
      <c r="AC1661" t="str">
        <f t="shared" si="283"/>
        <v>Q4-2025</v>
      </c>
      <c r="AD1661" s="5">
        <f t="shared" si="284"/>
        <v>54</v>
      </c>
      <c r="AE1661" t="str">
        <f t="shared" si="285"/>
        <v>Lost</v>
      </c>
    </row>
    <row r="1662" spans="1:31">
      <c r="A1662" t="s">
        <v>1764</v>
      </c>
      <c r="B1662" s="1">
        <v>46028</v>
      </c>
      <c r="C1662" t="s">
        <v>148</v>
      </c>
      <c r="D1662" t="s">
        <v>43</v>
      </c>
      <c r="E1662" t="s">
        <v>160</v>
      </c>
      <c r="F1662" t="s">
        <v>52</v>
      </c>
      <c r="G1662" t="s">
        <v>60</v>
      </c>
      <c r="H1662" t="s">
        <v>47</v>
      </c>
      <c r="I1662" t="s">
        <v>61</v>
      </c>
      <c r="J1662" s="1">
        <v>46066</v>
      </c>
      <c r="K1662" s="1">
        <v>46066</v>
      </c>
      <c r="L1662" s="3">
        <v>9600</v>
      </c>
      <c r="M1662" s="4">
        <v>0</v>
      </c>
      <c r="N1662" s="4">
        <v>0</v>
      </c>
      <c r="O1662" t="s">
        <v>79</v>
      </c>
      <c r="P1662">
        <v>5</v>
      </c>
      <c r="Q1662" t="str">
        <f>IFERROR(VLOOKUP(E1662,Lookups!$A$5:$B$24,2,FALSE),"Other")</f>
        <v>Email</v>
      </c>
      <c r="R1662" t="str">
        <f>IFERROR(VLOOKUP(F1662,Lookups!$D$5:$F$10,2,FALSE),"Unknown Product")</f>
        <v>NexaCRM Core</v>
      </c>
      <c r="S1662" t="str">
        <f>IFERROR(VLOOKUP(F1662,Lookups!$D$5:$F$10,3,FALSE),"Unknown")</f>
        <v>CRM</v>
      </c>
      <c r="T1662" t="str">
        <f t="shared" si="275"/>
        <v>SMB</v>
      </c>
      <c r="U1662" t="str">
        <f t="shared" si="276"/>
        <v>Lost</v>
      </c>
      <c r="V1662" s="3">
        <f t="shared" si="277"/>
        <v>0</v>
      </c>
      <c r="W1662" s="3">
        <f t="shared" si="278"/>
        <v>0</v>
      </c>
      <c r="X1662" s="5">
        <f t="shared" si="279"/>
        <v>38</v>
      </c>
      <c r="Y1662" s="5">
        <f>IF(U1662="Open",Lookups!$B$2-B1662,X1662)</f>
        <v>38</v>
      </c>
      <c r="Z1662" t="str">
        <f t="shared" si="280"/>
        <v>OK</v>
      </c>
      <c r="AA1662" t="str">
        <f t="shared" si="281"/>
        <v>2026-01</v>
      </c>
      <c r="AB1662" t="str">
        <f t="shared" si="282"/>
        <v>2026-02</v>
      </c>
      <c r="AC1662" t="str">
        <f t="shared" si="283"/>
        <v>Q1-2026</v>
      </c>
      <c r="AD1662" s="5">
        <f t="shared" si="284"/>
        <v>47</v>
      </c>
      <c r="AE1662" t="str">
        <f t="shared" si="285"/>
        <v>Lost</v>
      </c>
    </row>
    <row r="1663" spans="1:31">
      <c r="A1663" t="s">
        <v>1765</v>
      </c>
      <c r="B1663" s="1">
        <v>46069</v>
      </c>
      <c r="C1663" t="s">
        <v>90</v>
      </c>
      <c r="D1663" t="s">
        <v>57</v>
      </c>
      <c r="E1663" t="s">
        <v>65</v>
      </c>
      <c r="F1663" t="s">
        <v>45</v>
      </c>
      <c r="G1663" t="s">
        <v>99</v>
      </c>
      <c r="H1663" t="s">
        <v>47</v>
      </c>
      <c r="I1663" t="s">
        <v>61</v>
      </c>
      <c r="J1663" s="1">
        <v>46109</v>
      </c>
      <c r="K1663" s="1">
        <v>46109</v>
      </c>
      <c r="L1663" s="3">
        <v>18900</v>
      </c>
      <c r="M1663" s="4">
        <v>0</v>
      </c>
      <c r="N1663" s="4">
        <v>0</v>
      </c>
      <c r="O1663" t="s">
        <v>116</v>
      </c>
      <c r="P1663">
        <v>5</v>
      </c>
      <c r="Q1663" t="str">
        <f>IFERROR(VLOOKUP(E1663,Lookups!$A$5:$B$24,2,FALSE),"Other")</f>
        <v>Paid Search</v>
      </c>
      <c r="R1663" t="str">
        <f>IFERROR(VLOOKUP(F1663,Lookups!$D$5:$F$10,2,FALSE),"Unknown Product")</f>
        <v>Service Cloud</v>
      </c>
      <c r="S1663" t="str">
        <f>IFERROR(VLOOKUP(F1663,Lookups!$D$5:$F$10,3,FALSE),"Unknown")</f>
        <v>Customer Service</v>
      </c>
      <c r="T1663" t="str">
        <f t="shared" si="275"/>
        <v>SMB</v>
      </c>
      <c r="U1663" t="str">
        <f t="shared" si="276"/>
        <v>Lost</v>
      </c>
      <c r="V1663" s="3">
        <f t="shared" si="277"/>
        <v>0</v>
      </c>
      <c r="W1663" s="3">
        <f t="shared" si="278"/>
        <v>0</v>
      </c>
      <c r="X1663" s="5">
        <f t="shared" si="279"/>
        <v>40</v>
      </c>
      <c r="Y1663" s="5">
        <f>IF(U1663="Open",Lookups!$B$2-B1663,X1663)</f>
        <v>40</v>
      </c>
      <c r="Z1663" t="str">
        <f t="shared" si="280"/>
        <v>OK</v>
      </c>
      <c r="AA1663" t="str">
        <f t="shared" si="281"/>
        <v>2026-02</v>
      </c>
      <c r="AB1663" t="str">
        <f t="shared" si="282"/>
        <v>2026-03</v>
      </c>
      <c r="AC1663" t="str">
        <f t="shared" si="283"/>
        <v>Q1-2026</v>
      </c>
      <c r="AD1663" s="5">
        <f t="shared" si="284"/>
        <v>43</v>
      </c>
      <c r="AE1663" t="str">
        <f t="shared" si="285"/>
        <v>Lost</v>
      </c>
    </row>
    <row r="1664" spans="1:31">
      <c r="A1664" t="s">
        <v>1766</v>
      </c>
      <c r="B1664" s="1">
        <v>45850</v>
      </c>
      <c r="C1664" t="s">
        <v>64</v>
      </c>
      <c r="D1664" t="s">
        <v>57</v>
      </c>
      <c r="E1664" t="s">
        <v>44</v>
      </c>
      <c r="F1664" t="s">
        <v>59</v>
      </c>
      <c r="G1664" t="s">
        <v>72</v>
      </c>
      <c r="H1664" t="s">
        <v>47</v>
      </c>
      <c r="I1664" t="s">
        <v>61</v>
      </c>
      <c r="J1664" s="1">
        <v>45884</v>
      </c>
      <c r="K1664" s="1">
        <v>45884</v>
      </c>
      <c r="L1664" s="3">
        <v>20700</v>
      </c>
      <c r="M1664" s="4">
        <v>0</v>
      </c>
      <c r="N1664" s="4">
        <v>0</v>
      </c>
      <c r="O1664" t="s">
        <v>79</v>
      </c>
      <c r="P1664">
        <v>5</v>
      </c>
      <c r="Q1664" t="str">
        <f>IFERROR(VLOOKUP(E1664,Lookups!$A$5:$B$24,2,FALSE),"Other")</f>
        <v>Organic Search</v>
      </c>
      <c r="R1664" t="str">
        <f>IFERROR(VLOOKUP(F1664,Lookups!$D$5:$F$10,2,FALSE),"Unknown Product")</f>
        <v>NexaCRM Pro</v>
      </c>
      <c r="S1664" t="str">
        <f>IFERROR(VLOOKUP(F1664,Lookups!$D$5:$F$10,3,FALSE),"Unknown")</f>
        <v>CRM</v>
      </c>
      <c r="T1664" t="str">
        <f t="shared" si="275"/>
        <v>Mid-Market</v>
      </c>
      <c r="U1664" t="str">
        <f t="shared" si="276"/>
        <v>Lost</v>
      </c>
      <c r="V1664" s="3">
        <f t="shared" si="277"/>
        <v>0</v>
      </c>
      <c r="W1664" s="3">
        <f t="shared" si="278"/>
        <v>0</v>
      </c>
      <c r="X1664" s="5">
        <f t="shared" si="279"/>
        <v>34</v>
      </c>
      <c r="Y1664" s="5">
        <f>IF(U1664="Open",Lookups!$B$2-B1664,X1664)</f>
        <v>34</v>
      </c>
      <c r="Z1664" t="str">
        <f t="shared" si="280"/>
        <v>OK</v>
      </c>
      <c r="AA1664" t="str">
        <f t="shared" si="281"/>
        <v>2025-07</v>
      </c>
      <c r="AB1664" t="str">
        <f t="shared" si="282"/>
        <v>2025-08</v>
      </c>
      <c r="AC1664" t="str">
        <f t="shared" si="283"/>
        <v>Q3-2025</v>
      </c>
      <c r="AD1664" s="5">
        <f t="shared" si="284"/>
        <v>57</v>
      </c>
      <c r="AE1664" t="str">
        <f t="shared" si="285"/>
        <v>Lost</v>
      </c>
    </row>
    <row r="1665" spans="1:31">
      <c r="A1665" t="s">
        <v>1767</v>
      </c>
      <c r="B1665" s="1">
        <v>45886</v>
      </c>
      <c r="C1665" t="s">
        <v>148</v>
      </c>
      <c r="D1665" t="s">
        <v>43</v>
      </c>
      <c r="E1665" t="s">
        <v>166</v>
      </c>
      <c r="F1665" t="s">
        <v>59</v>
      </c>
      <c r="G1665" t="s">
        <v>72</v>
      </c>
      <c r="H1665" t="s">
        <v>53</v>
      </c>
      <c r="I1665" t="s">
        <v>61</v>
      </c>
      <c r="J1665" s="1">
        <v>45928</v>
      </c>
      <c r="K1665" s="1">
        <v>45928</v>
      </c>
      <c r="L1665" s="3">
        <v>22100</v>
      </c>
      <c r="M1665" s="4">
        <v>0</v>
      </c>
      <c r="N1665" s="4">
        <v>0</v>
      </c>
      <c r="O1665" t="s">
        <v>110</v>
      </c>
      <c r="P1665">
        <v>3</v>
      </c>
      <c r="Q1665" t="str">
        <f>IFERROR(VLOOKUP(E1665,Lookups!$A$5:$B$24,2,FALSE),"Other")</f>
        <v>Referral</v>
      </c>
      <c r="R1665" t="str">
        <f>IFERROR(VLOOKUP(F1665,Lookups!$D$5:$F$10,2,FALSE),"Unknown Product")</f>
        <v>NexaCRM Pro</v>
      </c>
      <c r="S1665" t="str">
        <f>IFERROR(VLOOKUP(F1665,Lookups!$D$5:$F$10,3,FALSE),"Unknown")</f>
        <v>CRM</v>
      </c>
      <c r="T1665" t="str">
        <f t="shared" si="275"/>
        <v>Mid-Market</v>
      </c>
      <c r="U1665" t="str">
        <f t="shared" si="276"/>
        <v>Lost</v>
      </c>
      <c r="V1665" s="3">
        <f t="shared" si="277"/>
        <v>0</v>
      </c>
      <c r="W1665" s="3">
        <f t="shared" si="278"/>
        <v>0</v>
      </c>
      <c r="X1665" s="5">
        <f t="shared" si="279"/>
        <v>42</v>
      </c>
      <c r="Y1665" s="5">
        <f>IF(U1665="Open",Lookups!$B$2-B1665,X1665)</f>
        <v>42</v>
      </c>
      <c r="Z1665" t="str">
        <f t="shared" si="280"/>
        <v>OK</v>
      </c>
      <c r="AA1665" t="str">
        <f t="shared" si="281"/>
        <v>2025-08</v>
      </c>
      <c r="AB1665" t="str">
        <f t="shared" si="282"/>
        <v>2025-09</v>
      </c>
      <c r="AC1665" t="str">
        <f t="shared" si="283"/>
        <v>Q3-2025</v>
      </c>
      <c r="AD1665" s="5">
        <f t="shared" si="284"/>
        <v>70</v>
      </c>
      <c r="AE1665" t="str">
        <f t="shared" si="285"/>
        <v>Lost</v>
      </c>
    </row>
    <row r="1666" spans="1:31">
      <c r="A1666" t="s">
        <v>1768</v>
      </c>
      <c r="B1666" s="1">
        <v>46107</v>
      </c>
      <c r="C1666" t="s">
        <v>148</v>
      </c>
      <c r="D1666" t="s">
        <v>43</v>
      </c>
      <c r="E1666" t="s">
        <v>127</v>
      </c>
      <c r="F1666" t="s">
        <v>52</v>
      </c>
      <c r="G1666" t="s">
        <v>72</v>
      </c>
      <c r="H1666" t="s">
        <v>84</v>
      </c>
      <c r="I1666" t="s">
        <v>77</v>
      </c>
      <c r="J1666" s="1">
        <v>46174</v>
      </c>
      <c r="K1666" s="1">
        <v>46174</v>
      </c>
      <c r="L1666" s="3">
        <v>28800</v>
      </c>
      <c r="M1666" s="4">
        <v>0</v>
      </c>
      <c r="N1666" s="4">
        <v>1</v>
      </c>
      <c r="P1666">
        <v>6</v>
      </c>
      <c r="Q1666" t="str">
        <f>IFERROR(VLOOKUP(E1666,Lookups!$A$5:$B$24,2,FALSE),"Other")</f>
        <v>Paid Search</v>
      </c>
      <c r="R1666" t="str">
        <f>IFERROR(VLOOKUP(F1666,Lookups!$D$5:$F$10,2,FALSE),"Unknown Product")</f>
        <v>NexaCRM Core</v>
      </c>
      <c r="S1666" t="str">
        <f>IFERROR(VLOOKUP(F1666,Lookups!$D$5:$F$10,3,FALSE),"Unknown")</f>
        <v>CRM</v>
      </c>
      <c r="T1666" t="str">
        <f t="shared" ref="T1666:T1729" si="286">IF(L1666&gt;=50000,"Enterprise",IF(L1666&gt;=20000,"Mid-Market","SMB"))</f>
        <v>Mid-Market</v>
      </c>
      <c r="U1666" t="str">
        <f t="shared" ref="U1666:U1729" si="287">IF(I1666="Closed Won","Won",IF(I1666="Closed Lost","Lost","Open"))</f>
        <v>Won</v>
      </c>
      <c r="V1666" s="3">
        <f t="shared" ref="V1666:V1729" si="288">IF(U1666="Won",L1666*(1-M1666),0)</f>
        <v>28800</v>
      </c>
      <c r="W1666" s="3">
        <f t="shared" ref="W1666:W1729" si="289">IF(U1666="Open",L1666*N1666,0)</f>
        <v>0</v>
      </c>
      <c r="X1666" s="5">
        <f t="shared" ref="X1666:X1729" si="290">IF(U1666="Open","",IFERROR(K1666-B1666,""))</f>
        <v>67</v>
      </c>
      <c r="Y1666" s="5">
        <f>IF(U1666="Open",Lookups!$B$2-B1666,X1666)</f>
        <v>67</v>
      </c>
      <c r="Z1666" t="str">
        <f t="shared" ref="Z1666:Z1729" si="291">IF(AND(U1666="Open",Y1666&gt;30),"STALE","OK")</f>
        <v>OK</v>
      </c>
      <c r="AA1666" t="str">
        <f t="shared" ref="AA1666:AA1729" si="292">TEXT(B1666,"yyyy-mm")</f>
        <v>2026-03</v>
      </c>
      <c r="AB1666" t="str">
        <f t="shared" ref="AB1666:AB1729" si="293">IF(K1666="","",TEXT(K1666,"yyyy-mm"))</f>
        <v>2026-06</v>
      </c>
      <c r="AC1666" t="str">
        <f t="shared" ref="AC1666:AC1729" si="294">"Q"&amp;ROUNDUP(MONTH(B1666)/3,0)&amp;"-"&amp;YEAR(B1666)</f>
        <v>Q1-2026</v>
      </c>
      <c r="AD1666" s="5">
        <f t="shared" ref="AD1666:AD1729" si="295">MIN(100,IF(H1666="Enterprise",30,IF(H1666="Mid-Market",22,14))+IF(T1666="Enterprise",25,IF(T1666="Mid-Market",18,10))+IF(Q1666="Referral",25,IF(Q1666="Organic Search",20,IF(Q1666="Email",18,14)))+IF(G1666="Technology",10,5))</f>
        <v>67</v>
      </c>
      <c r="AE1666" t="str">
        <f t="shared" ref="AE1666:AE1729" si="296">IF(U1666&lt;&gt;"Open",U1666,IF(N1666&gt;=0.8,"Commit",IF(N1666&gt;=0.5,"Best Case","Pipeline")))</f>
        <v>Won</v>
      </c>
    </row>
    <row r="1667" spans="1:31">
      <c r="A1667" t="s">
        <v>1769</v>
      </c>
      <c r="B1667" s="1">
        <v>45710</v>
      </c>
      <c r="C1667" t="s">
        <v>90</v>
      </c>
      <c r="D1667" t="s">
        <v>57</v>
      </c>
      <c r="E1667" t="s">
        <v>109</v>
      </c>
      <c r="F1667" t="s">
        <v>133</v>
      </c>
      <c r="G1667" t="s">
        <v>46</v>
      </c>
      <c r="H1667" t="s">
        <v>84</v>
      </c>
      <c r="I1667" t="s">
        <v>61</v>
      </c>
      <c r="J1667" s="1">
        <v>45745</v>
      </c>
      <c r="K1667" s="1">
        <v>45745</v>
      </c>
      <c r="L1667" s="3">
        <v>96500</v>
      </c>
      <c r="M1667" s="4">
        <v>0</v>
      </c>
      <c r="N1667" s="4">
        <v>0</v>
      </c>
      <c r="O1667" t="s">
        <v>62</v>
      </c>
      <c r="P1667">
        <v>3</v>
      </c>
      <c r="Q1667" t="str">
        <f>IFERROR(VLOOKUP(E1667,Lookups!$A$5:$B$24,2,FALSE),"Other")</f>
        <v>Outbound</v>
      </c>
      <c r="R1667" t="str">
        <f>IFERROR(VLOOKUP(F1667,Lookups!$D$5:$F$10,2,FALSE),"Unknown Product")</f>
        <v>Analytics Plus</v>
      </c>
      <c r="S1667" t="str">
        <f>IFERROR(VLOOKUP(F1667,Lookups!$D$5:$F$10,3,FALSE),"Unknown")</f>
        <v>Analytics</v>
      </c>
      <c r="T1667" t="str">
        <f t="shared" si="286"/>
        <v>Enterprise</v>
      </c>
      <c r="U1667" t="str">
        <f t="shared" si="287"/>
        <v>Lost</v>
      </c>
      <c r="V1667" s="3">
        <f t="shared" si="288"/>
        <v>0</v>
      </c>
      <c r="W1667" s="3">
        <f t="shared" si="289"/>
        <v>0</v>
      </c>
      <c r="X1667" s="5">
        <f t="shared" si="290"/>
        <v>35</v>
      </c>
      <c r="Y1667" s="5">
        <f>IF(U1667="Open",Lookups!$B$2-B1667,X1667)</f>
        <v>35</v>
      </c>
      <c r="Z1667" t="str">
        <f t="shared" si="291"/>
        <v>OK</v>
      </c>
      <c r="AA1667" t="str">
        <f t="shared" si="292"/>
        <v>2025-02</v>
      </c>
      <c r="AB1667" t="str">
        <f t="shared" si="293"/>
        <v>2025-03</v>
      </c>
      <c r="AC1667" t="str">
        <f t="shared" si="294"/>
        <v>Q1-2025</v>
      </c>
      <c r="AD1667" s="5">
        <f t="shared" si="295"/>
        <v>74</v>
      </c>
      <c r="AE1667" t="str">
        <f t="shared" si="296"/>
        <v>Lost</v>
      </c>
    </row>
    <row r="1668" spans="1:31">
      <c r="A1668" t="s">
        <v>1770</v>
      </c>
      <c r="B1668" s="1">
        <v>45702</v>
      </c>
      <c r="C1668" t="s">
        <v>42</v>
      </c>
      <c r="D1668" t="s">
        <v>43</v>
      </c>
      <c r="E1668" t="s">
        <v>51</v>
      </c>
      <c r="F1668" t="s">
        <v>45</v>
      </c>
      <c r="G1668" t="s">
        <v>76</v>
      </c>
      <c r="H1668" t="s">
        <v>47</v>
      </c>
      <c r="I1668" t="s">
        <v>77</v>
      </c>
      <c r="J1668" s="1">
        <v>45762</v>
      </c>
      <c r="K1668" s="1">
        <v>45762</v>
      </c>
      <c r="L1668" s="3">
        <v>23000</v>
      </c>
      <c r="M1668" s="4">
        <v>0.1</v>
      </c>
      <c r="N1668" s="4">
        <v>1</v>
      </c>
      <c r="P1668">
        <v>6</v>
      </c>
      <c r="Q1668" t="str">
        <f>IFERROR(VLOOKUP(E1668,Lookups!$A$5:$B$24,2,FALSE),"Other")</f>
        <v>Paid Search</v>
      </c>
      <c r="R1668" t="str">
        <f>IFERROR(VLOOKUP(F1668,Lookups!$D$5:$F$10,2,FALSE),"Unknown Product")</f>
        <v>Service Cloud</v>
      </c>
      <c r="S1668" t="str">
        <f>IFERROR(VLOOKUP(F1668,Lookups!$D$5:$F$10,3,FALSE),"Unknown")</f>
        <v>Customer Service</v>
      </c>
      <c r="T1668" t="str">
        <f t="shared" si="286"/>
        <v>Mid-Market</v>
      </c>
      <c r="U1668" t="str">
        <f t="shared" si="287"/>
        <v>Won</v>
      </c>
      <c r="V1668" s="3">
        <f t="shared" si="288"/>
        <v>20700</v>
      </c>
      <c r="W1668" s="3">
        <f t="shared" si="289"/>
        <v>0</v>
      </c>
      <c r="X1668" s="5">
        <f t="shared" si="290"/>
        <v>60</v>
      </c>
      <c r="Y1668" s="5">
        <f>IF(U1668="Open",Lookups!$B$2-B1668,X1668)</f>
        <v>60</v>
      </c>
      <c r="Z1668" t="str">
        <f t="shared" si="291"/>
        <v>OK</v>
      </c>
      <c r="AA1668" t="str">
        <f t="shared" si="292"/>
        <v>2025-02</v>
      </c>
      <c r="AB1668" t="str">
        <f t="shared" si="293"/>
        <v>2025-04</v>
      </c>
      <c r="AC1668" t="str">
        <f t="shared" si="294"/>
        <v>Q1-2025</v>
      </c>
      <c r="AD1668" s="5">
        <f t="shared" si="295"/>
        <v>51</v>
      </c>
      <c r="AE1668" t="str">
        <f t="shared" si="296"/>
        <v>Won</v>
      </c>
    </row>
    <row r="1669" spans="1:31">
      <c r="A1669" t="s">
        <v>1771</v>
      </c>
      <c r="B1669" s="1">
        <v>45823</v>
      </c>
      <c r="C1669" t="s">
        <v>64</v>
      </c>
      <c r="D1669" t="s">
        <v>57</v>
      </c>
      <c r="E1669" t="s">
        <v>92</v>
      </c>
      <c r="F1669" t="s">
        <v>52</v>
      </c>
      <c r="G1669" t="s">
        <v>99</v>
      </c>
      <c r="H1669" t="s">
        <v>84</v>
      </c>
      <c r="I1669" t="s">
        <v>61</v>
      </c>
      <c r="J1669" s="1">
        <v>45855</v>
      </c>
      <c r="K1669" s="1">
        <v>45855</v>
      </c>
      <c r="L1669" s="3">
        <v>18000</v>
      </c>
      <c r="M1669" s="4">
        <v>0</v>
      </c>
      <c r="N1669" s="4">
        <v>0</v>
      </c>
      <c r="O1669" t="s">
        <v>79</v>
      </c>
      <c r="P1669">
        <v>5</v>
      </c>
      <c r="Q1669" t="str">
        <f>IFERROR(VLOOKUP(E1669,Lookups!$A$5:$B$24,2,FALSE),"Other")</f>
        <v>Webinar</v>
      </c>
      <c r="R1669" t="str">
        <f>IFERROR(VLOOKUP(F1669,Lookups!$D$5:$F$10,2,FALSE),"Unknown Product")</f>
        <v>NexaCRM Core</v>
      </c>
      <c r="S1669" t="str">
        <f>IFERROR(VLOOKUP(F1669,Lookups!$D$5:$F$10,3,FALSE),"Unknown")</f>
        <v>CRM</v>
      </c>
      <c r="T1669" t="str">
        <f t="shared" si="286"/>
        <v>SMB</v>
      </c>
      <c r="U1669" t="str">
        <f t="shared" si="287"/>
        <v>Lost</v>
      </c>
      <c r="V1669" s="3">
        <f t="shared" si="288"/>
        <v>0</v>
      </c>
      <c r="W1669" s="3">
        <f t="shared" si="289"/>
        <v>0</v>
      </c>
      <c r="X1669" s="5">
        <f t="shared" si="290"/>
        <v>32</v>
      </c>
      <c r="Y1669" s="5">
        <f>IF(U1669="Open",Lookups!$B$2-B1669,X1669)</f>
        <v>32</v>
      </c>
      <c r="Z1669" t="str">
        <f t="shared" si="291"/>
        <v>OK</v>
      </c>
      <c r="AA1669" t="str">
        <f t="shared" si="292"/>
        <v>2025-06</v>
      </c>
      <c r="AB1669" t="str">
        <f t="shared" si="293"/>
        <v>2025-07</v>
      </c>
      <c r="AC1669" t="str">
        <f t="shared" si="294"/>
        <v>Q2-2025</v>
      </c>
      <c r="AD1669" s="5">
        <f t="shared" si="295"/>
        <v>59</v>
      </c>
      <c r="AE1669" t="str">
        <f t="shared" si="296"/>
        <v>Lost</v>
      </c>
    </row>
    <row r="1670" spans="1:31">
      <c r="A1670" t="s">
        <v>1772</v>
      </c>
      <c r="B1670" s="1">
        <v>45664</v>
      </c>
      <c r="C1670" t="s">
        <v>42</v>
      </c>
      <c r="D1670" t="s">
        <v>43</v>
      </c>
      <c r="E1670" t="s">
        <v>88</v>
      </c>
      <c r="F1670" t="s">
        <v>67</v>
      </c>
      <c r="G1670" t="s">
        <v>99</v>
      </c>
      <c r="H1670" t="s">
        <v>53</v>
      </c>
      <c r="I1670" t="s">
        <v>61</v>
      </c>
      <c r="J1670" s="1">
        <v>45721</v>
      </c>
      <c r="K1670" s="1">
        <v>45721</v>
      </c>
      <c r="L1670" s="3">
        <v>80300</v>
      </c>
      <c r="M1670" s="4">
        <v>0</v>
      </c>
      <c r="N1670" s="4">
        <v>0</v>
      </c>
      <c r="O1670" t="s">
        <v>62</v>
      </c>
      <c r="P1670">
        <v>2</v>
      </c>
      <c r="Q1670" t="str">
        <f>IFERROR(VLOOKUP(E1670,Lookups!$A$5:$B$24,2,FALSE),"Other")</f>
        <v>Other</v>
      </c>
      <c r="R1670" t="str">
        <f>IFERROR(VLOOKUP(F1670,Lookups!$D$5:$F$10,2,FALSE),"Unknown Product")</f>
        <v>Revenue Operations Suite</v>
      </c>
      <c r="S1670" t="str">
        <f>IFERROR(VLOOKUP(F1670,Lookups!$D$5:$F$10,3,FALSE),"Unknown")</f>
        <v>Revenue Ops</v>
      </c>
      <c r="T1670" t="str">
        <f t="shared" si="286"/>
        <v>Enterprise</v>
      </c>
      <c r="U1670" t="str">
        <f t="shared" si="287"/>
        <v>Lost</v>
      </c>
      <c r="V1670" s="3">
        <f t="shared" si="288"/>
        <v>0</v>
      </c>
      <c r="W1670" s="3">
        <f t="shared" si="289"/>
        <v>0</v>
      </c>
      <c r="X1670" s="5">
        <f t="shared" si="290"/>
        <v>57</v>
      </c>
      <c r="Y1670" s="5">
        <f>IF(U1670="Open",Lookups!$B$2-B1670,X1670)</f>
        <v>57</v>
      </c>
      <c r="Z1670" t="str">
        <f t="shared" si="291"/>
        <v>OK</v>
      </c>
      <c r="AA1670" t="str">
        <f t="shared" si="292"/>
        <v>2025-01</v>
      </c>
      <c r="AB1670" t="str">
        <f t="shared" si="293"/>
        <v>2025-03</v>
      </c>
      <c r="AC1670" t="str">
        <f t="shared" si="294"/>
        <v>Q1-2025</v>
      </c>
      <c r="AD1670" s="5">
        <f t="shared" si="295"/>
        <v>66</v>
      </c>
      <c r="AE1670" t="str">
        <f t="shared" si="296"/>
        <v>Lost</v>
      </c>
    </row>
    <row r="1671" spans="1:31">
      <c r="A1671" t="s">
        <v>1773</v>
      </c>
      <c r="B1671" s="1">
        <v>45762</v>
      </c>
      <c r="C1671" t="s">
        <v>56</v>
      </c>
      <c r="D1671" t="s">
        <v>57</v>
      </c>
      <c r="E1671" t="s">
        <v>75</v>
      </c>
      <c r="F1671" t="s">
        <v>45</v>
      </c>
      <c r="G1671" t="s">
        <v>60</v>
      </c>
      <c r="H1671" t="s">
        <v>47</v>
      </c>
      <c r="I1671" t="s">
        <v>48</v>
      </c>
      <c r="J1671" s="1">
        <v>46030</v>
      </c>
      <c r="K1671" s="1"/>
      <c r="L1671" s="3">
        <v>25000</v>
      </c>
      <c r="M1671" s="4">
        <v>0.05</v>
      </c>
      <c r="N1671" s="4">
        <v>0.85</v>
      </c>
      <c r="P1671">
        <v>5</v>
      </c>
      <c r="Q1671" t="str">
        <f>IFERROR(VLOOKUP(E1671,Lookups!$A$5:$B$24,2,FALSE),"Other")</f>
        <v>Webinar</v>
      </c>
      <c r="R1671" t="str">
        <f>IFERROR(VLOOKUP(F1671,Lookups!$D$5:$F$10,2,FALSE),"Unknown Product")</f>
        <v>Service Cloud</v>
      </c>
      <c r="S1671" t="str">
        <f>IFERROR(VLOOKUP(F1671,Lookups!$D$5:$F$10,3,FALSE),"Unknown")</f>
        <v>Customer Service</v>
      </c>
      <c r="T1671" t="str">
        <f t="shared" si="286"/>
        <v>Mid-Market</v>
      </c>
      <c r="U1671" t="str">
        <f t="shared" si="287"/>
        <v>Open</v>
      </c>
      <c r="V1671" s="3">
        <f t="shared" si="288"/>
        <v>0</v>
      </c>
      <c r="W1671" s="3">
        <f t="shared" si="289"/>
        <v>21250</v>
      </c>
      <c r="X1671" s="5" t="str">
        <f t="shared" si="290"/>
        <v/>
      </c>
      <c r="Y1671" s="5">
        <f>IF(U1671="Open",Lookups!$B$2-B1671,X1671)</f>
        <v>504</v>
      </c>
      <c r="Z1671" t="str">
        <f t="shared" si="291"/>
        <v>STALE</v>
      </c>
      <c r="AA1671" t="str">
        <f t="shared" si="292"/>
        <v>2025-04</v>
      </c>
      <c r="AB1671" t="str">
        <f t="shared" si="293"/>
        <v/>
      </c>
      <c r="AC1671" t="str">
        <f t="shared" si="294"/>
        <v>Q2-2025</v>
      </c>
      <c r="AD1671" s="5">
        <f t="shared" si="295"/>
        <v>51</v>
      </c>
      <c r="AE1671" t="str">
        <f t="shared" si="296"/>
        <v>Commit</v>
      </c>
    </row>
    <row r="1672" spans="1:31">
      <c r="A1672" t="s">
        <v>1774</v>
      </c>
      <c r="B1672" s="1">
        <v>45919</v>
      </c>
      <c r="C1672" t="s">
        <v>86</v>
      </c>
      <c r="D1672" t="s">
        <v>87</v>
      </c>
      <c r="E1672" t="s">
        <v>146</v>
      </c>
      <c r="F1672" t="s">
        <v>59</v>
      </c>
      <c r="G1672" t="s">
        <v>94</v>
      </c>
      <c r="H1672" t="s">
        <v>47</v>
      </c>
      <c r="I1672" t="s">
        <v>77</v>
      </c>
      <c r="J1672" s="1">
        <v>45931</v>
      </c>
      <c r="K1672" s="1">
        <v>45931</v>
      </c>
      <c r="L1672" s="3">
        <v>18700</v>
      </c>
      <c r="M1672" s="4">
        <v>0</v>
      </c>
      <c r="N1672" s="4">
        <v>1</v>
      </c>
      <c r="P1672">
        <v>6</v>
      </c>
      <c r="Q1672" t="str">
        <f>IFERROR(VLOOKUP(E1672,Lookups!$A$5:$B$24,2,FALSE),"Other")</f>
        <v>LinkedIn</v>
      </c>
      <c r="R1672" t="str">
        <f>IFERROR(VLOOKUP(F1672,Lookups!$D$5:$F$10,2,FALSE),"Unknown Product")</f>
        <v>NexaCRM Pro</v>
      </c>
      <c r="S1672" t="str">
        <f>IFERROR(VLOOKUP(F1672,Lookups!$D$5:$F$10,3,FALSE),"Unknown")</f>
        <v>CRM</v>
      </c>
      <c r="T1672" t="str">
        <f t="shared" si="286"/>
        <v>SMB</v>
      </c>
      <c r="U1672" t="str">
        <f t="shared" si="287"/>
        <v>Won</v>
      </c>
      <c r="V1672" s="3">
        <f t="shared" si="288"/>
        <v>18700</v>
      </c>
      <c r="W1672" s="3">
        <f t="shared" si="289"/>
        <v>0</v>
      </c>
      <c r="X1672" s="5">
        <f t="shared" si="290"/>
        <v>12</v>
      </c>
      <c r="Y1672" s="5">
        <f>IF(U1672="Open",Lookups!$B$2-B1672,X1672)</f>
        <v>12</v>
      </c>
      <c r="Z1672" t="str">
        <f t="shared" si="291"/>
        <v>OK</v>
      </c>
      <c r="AA1672" t="str">
        <f t="shared" si="292"/>
        <v>2025-09</v>
      </c>
      <c r="AB1672" t="str">
        <f t="shared" si="293"/>
        <v>2025-10</v>
      </c>
      <c r="AC1672" t="str">
        <f t="shared" si="294"/>
        <v>Q3-2025</v>
      </c>
      <c r="AD1672" s="5">
        <f t="shared" si="295"/>
        <v>43</v>
      </c>
      <c r="AE1672" t="str">
        <f t="shared" si="296"/>
        <v>Won</v>
      </c>
    </row>
    <row r="1673" spans="1:31">
      <c r="A1673" t="s">
        <v>1775</v>
      </c>
      <c r="B1673" s="1">
        <v>45719</v>
      </c>
      <c r="C1673" t="s">
        <v>42</v>
      </c>
      <c r="D1673" t="s">
        <v>43</v>
      </c>
      <c r="E1673" t="s">
        <v>92</v>
      </c>
      <c r="F1673" t="s">
        <v>71</v>
      </c>
      <c r="G1673" t="s">
        <v>46</v>
      </c>
      <c r="H1673" t="s">
        <v>47</v>
      </c>
      <c r="I1673" t="s">
        <v>61</v>
      </c>
      <c r="J1673" s="1">
        <v>45762</v>
      </c>
      <c r="K1673" s="1">
        <v>45762</v>
      </c>
      <c r="L1673" s="3">
        <v>9800</v>
      </c>
      <c r="M1673" s="4">
        <v>0</v>
      </c>
      <c r="N1673" s="4">
        <v>0</v>
      </c>
      <c r="O1673" t="s">
        <v>79</v>
      </c>
      <c r="P1673">
        <v>2</v>
      </c>
      <c r="Q1673" t="str">
        <f>IFERROR(VLOOKUP(E1673,Lookups!$A$5:$B$24,2,FALSE),"Other")</f>
        <v>Webinar</v>
      </c>
      <c r="R1673" t="str">
        <f>IFERROR(VLOOKUP(F1673,Lookups!$D$5:$F$10,2,FALSE),"Unknown Product")</f>
        <v>Marketing Automation</v>
      </c>
      <c r="S1673" t="str">
        <f>IFERROR(VLOOKUP(F1673,Lookups!$D$5:$F$10,3,FALSE),"Unknown")</f>
        <v>Marketing</v>
      </c>
      <c r="T1673" t="str">
        <f t="shared" si="286"/>
        <v>SMB</v>
      </c>
      <c r="U1673" t="str">
        <f t="shared" si="287"/>
        <v>Lost</v>
      </c>
      <c r="V1673" s="3">
        <f t="shared" si="288"/>
        <v>0</v>
      </c>
      <c r="W1673" s="3">
        <f t="shared" si="289"/>
        <v>0</v>
      </c>
      <c r="X1673" s="5">
        <f t="shared" si="290"/>
        <v>43</v>
      </c>
      <c r="Y1673" s="5">
        <f>IF(U1673="Open",Lookups!$B$2-B1673,X1673)</f>
        <v>43</v>
      </c>
      <c r="Z1673" t="str">
        <f t="shared" si="291"/>
        <v>OK</v>
      </c>
      <c r="AA1673" t="str">
        <f t="shared" si="292"/>
        <v>2025-03</v>
      </c>
      <c r="AB1673" t="str">
        <f t="shared" si="293"/>
        <v>2025-04</v>
      </c>
      <c r="AC1673" t="str">
        <f t="shared" si="294"/>
        <v>Q1-2025</v>
      </c>
      <c r="AD1673" s="5">
        <f t="shared" si="295"/>
        <v>43</v>
      </c>
      <c r="AE1673" t="str">
        <f t="shared" si="296"/>
        <v>Lost</v>
      </c>
    </row>
    <row r="1674" spans="1:31">
      <c r="A1674" t="s">
        <v>1776</v>
      </c>
      <c r="B1674" s="1">
        <v>45934</v>
      </c>
      <c r="C1674" t="s">
        <v>50</v>
      </c>
      <c r="D1674" t="s">
        <v>43</v>
      </c>
      <c r="E1674" t="s">
        <v>146</v>
      </c>
      <c r="F1674" t="s">
        <v>133</v>
      </c>
      <c r="G1674" t="s">
        <v>99</v>
      </c>
      <c r="H1674" t="s">
        <v>84</v>
      </c>
      <c r="I1674" t="s">
        <v>61</v>
      </c>
      <c r="J1674" s="1">
        <v>45984</v>
      </c>
      <c r="K1674" s="1">
        <v>45984</v>
      </c>
      <c r="L1674" s="3">
        <v>91100</v>
      </c>
      <c r="M1674" s="4">
        <v>0</v>
      </c>
      <c r="N1674" s="4">
        <v>0</v>
      </c>
      <c r="O1674" t="s">
        <v>62</v>
      </c>
      <c r="P1674">
        <v>2</v>
      </c>
      <c r="Q1674" t="str">
        <f>IFERROR(VLOOKUP(E1674,Lookups!$A$5:$B$24,2,FALSE),"Other")</f>
        <v>LinkedIn</v>
      </c>
      <c r="R1674" t="str">
        <f>IFERROR(VLOOKUP(F1674,Lookups!$D$5:$F$10,2,FALSE),"Unknown Product")</f>
        <v>Analytics Plus</v>
      </c>
      <c r="S1674" t="str">
        <f>IFERROR(VLOOKUP(F1674,Lookups!$D$5:$F$10,3,FALSE),"Unknown")</f>
        <v>Analytics</v>
      </c>
      <c r="T1674" t="str">
        <f t="shared" si="286"/>
        <v>Enterprise</v>
      </c>
      <c r="U1674" t="str">
        <f t="shared" si="287"/>
        <v>Lost</v>
      </c>
      <c r="V1674" s="3">
        <f t="shared" si="288"/>
        <v>0</v>
      </c>
      <c r="W1674" s="3">
        <f t="shared" si="289"/>
        <v>0</v>
      </c>
      <c r="X1674" s="5">
        <f t="shared" si="290"/>
        <v>50</v>
      </c>
      <c r="Y1674" s="5">
        <f>IF(U1674="Open",Lookups!$B$2-B1674,X1674)</f>
        <v>50</v>
      </c>
      <c r="Z1674" t="str">
        <f t="shared" si="291"/>
        <v>OK</v>
      </c>
      <c r="AA1674" t="str">
        <f t="shared" si="292"/>
        <v>2025-10</v>
      </c>
      <c r="AB1674" t="str">
        <f t="shared" si="293"/>
        <v>2025-11</v>
      </c>
      <c r="AC1674" t="str">
        <f t="shared" si="294"/>
        <v>Q4-2025</v>
      </c>
      <c r="AD1674" s="5">
        <f t="shared" si="295"/>
        <v>74</v>
      </c>
      <c r="AE1674" t="str">
        <f t="shared" si="296"/>
        <v>Lost</v>
      </c>
    </row>
    <row r="1675" spans="1:31">
      <c r="A1675" t="s">
        <v>1777</v>
      </c>
      <c r="B1675" s="1">
        <v>46051</v>
      </c>
      <c r="C1675" t="s">
        <v>50</v>
      </c>
      <c r="D1675" t="s">
        <v>43</v>
      </c>
      <c r="E1675" t="s">
        <v>51</v>
      </c>
      <c r="F1675" t="s">
        <v>133</v>
      </c>
      <c r="G1675" t="s">
        <v>94</v>
      </c>
      <c r="H1675" t="s">
        <v>53</v>
      </c>
      <c r="I1675" t="s">
        <v>61</v>
      </c>
      <c r="J1675" s="1">
        <v>46121</v>
      </c>
      <c r="K1675" s="1">
        <v>46121</v>
      </c>
      <c r="L1675" s="3">
        <v>41600</v>
      </c>
      <c r="M1675" s="4">
        <v>0</v>
      </c>
      <c r="N1675" s="4">
        <v>0</v>
      </c>
      <c r="O1675" t="s">
        <v>62</v>
      </c>
      <c r="P1675">
        <v>4</v>
      </c>
      <c r="Q1675" t="str">
        <f>IFERROR(VLOOKUP(E1675,Lookups!$A$5:$B$24,2,FALSE),"Other")</f>
        <v>Paid Search</v>
      </c>
      <c r="R1675" t="str">
        <f>IFERROR(VLOOKUP(F1675,Lookups!$D$5:$F$10,2,FALSE),"Unknown Product")</f>
        <v>Analytics Plus</v>
      </c>
      <c r="S1675" t="str">
        <f>IFERROR(VLOOKUP(F1675,Lookups!$D$5:$F$10,3,FALSE),"Unknown")</f>
        <v>Analytics</v>
      </c>
      <c r="T1675" t="str">
        <f t="shared" si="286"/>
        <v>Mid-Market</v>
      </c>
      <c r="U1675" t="str">
        <f t="shared" si="287"/>
        <v>Lost</v>
      </c>
      <c r="V1675" s="3">
        <f t="shared" si="288"/>
        <v>0</v>
      </c>
      <c r="W1675" s="3">
        <f t="shared" si="289"/>
        <v>0</v>
      </c>
      <c r="X1675" s="5">
        <f t="shared" si="290"/>
        <v>70</v>
      </c>
      <c r="Y1675" s="5">
        <f>IF(U1675="Open",Lookups!$B$2-B1675,X1675)</f>
        <v>70</v>
      </c>
      <c r="Z1675" t="str">
        <f t="shared" si="291"/>
        <v>OK</v>
      </c>
      <c r="AA1675" t="str">
        <f t="shared" si="292"/>
        <v>2026-01</v>
      </c>
      <c r="AB1675" t="str">
        <f t="shared" si="293"/>
        <v>2026-04</v>
      </c>
      <c r="AC1675" t="str">
        <f t="shared" si="294"/>
        <v>Q1-2026</v>
      </c>
      <c r="AD1675" s="5">
        <f t="shared" si="295"/>
        <v>59</v>
      </c>
      <c r="AE1675" t="str">
        <f t="shared" si="296"/>
        <v>Lost</v>
      </c>
    </row>
    <row r="1676" spans="1:31">
      <c r="A1676" t="s">
        <v>1778</v>
      </c>
      <c r="B1676" s="1">
        <v>45754</v>
      </c>
      <c r="C1676" t="s">
        <v>64</v>
      </c>
      <c r="D1676" t="s">
        <v>57</v>
      </c>
      <c r="E1676" t="s">
        <v>88</v>
      </c>
      <c r="F1676" t="s">
        <v>133</v>
      </c>
      <c r="G1676" t="s">
        <v>76</v>
      </c>
      <c r="H1676" t="s">
        <v>53</v>
      </c>
      <c r="I1676" t="s">
        <v>61</v>
      </c>
      <c r="J1676" s="1">
        <v>45784</v>
      </c>
      <c r="K1676" s="1">
        <v>45784</v>
      </c>
      <c r="L1676" s="3">
        <v>23500</v>
      </c>
      <c r="M1676" s="4">
        <v>0</v>
      </c>
      <c r="N1676" s="4">
        <v>0</v>
      </c>
      <c r="O1676" t="s">
        <v>116</v>
      </c>
      <c r="P1676">
        <v>4</v>
      </c>
      <c r="Q1676" t="str">
        <f>IFERROR(VLOOKUP(E1676,Lookups!$A$5:$B$24,2,FALSE),"Other")</f>
        <v>Other</v>
      </c>
      <c r="R1676" t="str">
        <f>IFERROR(VLOOKUP(F1676,Lookups!$D$5:$F$10,2,FALSE),"Unknown Product")</f>
        <v>Analytics Plus</v>
      </c>
      <c r="S1676" t="str">
        <f>IFERROR(VLOOKUP(F1676,Lookups!$D$5:$F$10,3,FALSE),"Unknown")</f>
        <v>Analytics</v>
      </c>
      <c r="T1676" t="str">
        <f t="shared" si="286"/>
        <v>Mid-Market</v>
      </c>
      <c r="U1676" t="str">
        <f t="shared" si="287"/>
        <v>Lost</v>
      </c>
      <c r="V1676" s="3">
        <f t="shared" si="288"/>
        <v>0</v>
      </c>
      <c r="W1676" s="3">
        <f t="shared" si="289"/>
        <v>0</v>
      </c>
      <c r="X1676" s="5">
        <f t="shared" si="290"/>
        <v>30</v>
      </c>
      <c r="Y1676" s="5">
        <f>IF(U1676="Open",Lookups!$B$2-B1676,X1676)</f>
        <v>30</v>
      </c>
      <c r="Z1676" t="str">
        <f t="shared" si="291"/>
        <v>OK</v>
      </c>
      <c r="AA1676" t="str">
        <f t="shared" si="292"/>
        <v>2025-04</v>
      </c>
      <c r="AB1676" t="str">
        <f t="shared" si="293"/>
        <v>2025-05</v>
      </c>
      <c r="AC1676" t="str">
        <f t="shared" si="294"/>
        <v>Q2-2025</v>
      </c>
      <c r="AD1676" s="5">
        <f t="shared" si="295"/>
        <v>59</v>
      </c>
      <c r="AE1676" t="str">
        <f t="shared" si="296"/>
        <v>Lost</v>
      </c>
    </row>
    <row r="1677" spans="1:31">
      <c r="A1677" t="s">
        <v>1779</v>
      </c>
      <c r="B1677" s="1">
        <v>46250</v>
      </c>
      <c r="C1677" t="s">
        <v>56</v>
      </c>
      <c r="D1677" t="s">
        <v>57</v>
      </c>
      <c r="E1677" t="s">
        <v>115</v>
      </c>
      <c r="F1677" t="s">
        <v>71</v>
      </c>
      <c r="G1677" t="s">
        <v>112</v>
      </c>
      <c r="H1677" t="s">
        <v>47</v>
      </c>
      <c r="I1677" t="s">
        <v>61</v>
      </c>
      <c r="J1677" s="1">
        <v>46266</v>
      </c>
      <c r="K1677" s="1">
        <v>46266</v>
      </c>
      <c r="L1677" s="3">
        <v>15000</v>
      </c>
      <c r="M1677" s="4">
        <v>0</v>
      </c>
      <c r="N1677" s="4">
        <v>0</v>
      </c>
      <c r="O1677" t="s">
        <v>79</v>
      </c>
      <c r="P1677">
        <v>2</v>
      </c>
      <c r="Q1677" t="str">
        <f>IFERROR(VLOOKUP(E1677,Lookups!$A$5:$B$24,2,FALSE),"Other")</f>
        <v>Outbound</v>
      </c>
      <c r="R1677" t="str">
        <f>IFERROR(VLOOKUP(F1677,Lookups!$D$5:$F$10,2,FALSE),"Unknown Product")</f>
        <v>Marketing Automation</v>
      </c>
      <c r="S1677" t="str">
        <f>IFERROR(VLOOKUP(F1677,Lookups!$D$5:$F$10,3,FALSE),"Unknown")</f>
        <v>Marketing</v>
      </c>
      <c r="T1677" t="str">
        <f t="shared" si="286"/>
        <v>SMB</v>
      </c>
      <c r="U1677" t="str">
        <f t="shared" si="287"/>
        <v>Lost</v>
      </c>
      <c r="V1677" s="3">
        <f t="shared" si="288"/>
        <v>0</v>
      </c>
      <c r="W1677" s="3">
        <f t="shared" si="289"/>
        <v>0</v>
      </c>
      <c r="X1677" s="5">
        <f t="shared" si="290"/>
        <v>16</v>
      </c>
      <c r="Y1677" s="5">
        <f>IF(U1677="Open",Lookups!$B$2-B1677,X1677)</f>
        <v>16</v>
      </c>
      <c r="Z1677" t="str">
        <f t="shared" si="291"/>
        <v>OK</v>
      </c>
      <c r="AA1677" t="str">
        <f t="shared" si="292"/>
        <v>2026-08</v>
      </c>
      <c r="AB1677" t="str">
        <f t="shared" si="293"/>
        <v>2026-09</v>
      </c>
      <c r="AC1677" t="str">
        <f t="shared" si="294"/>
        <v>Q3-2026</v>
      </c>
      <c r="AD1677" s="5">
        <f t="shared" si="295"/>
        <v>48</v>
      </c>
      <c r="AE1677" t="str">
        <f t="shared" si="296"/>
        <v>Lost</v>
      </c>
    </row>
    <row r="1678" spans="1:31">
      <c r="A1678" t="s">
        <v>1780</v>
      </c>
      <c r="B1678" s="1">
        <v>45783</v>
      </c>
      <c r="C1678" t="s">
        <v>69</v>
      </c>
      <c r="D1678" t="s">
        <v>57</v>
      </c>
      <c r="E1678" t="s">
        <v>75</v>
      </c>
      <c r="F1678" t="s">
        <v>71</v>
      </c>
      <c r="G1678" t="s">
        <v>60</v>
      </c>
      <c r="H1678" t="s">
        <v>47</v>
      </c>
      <c r="I1678" t="s">
        <v>61</v>
      </c>
      <c r="J1678" s="1">
        <v>45807</v>
      </c>
      <c r="K1678" s="1">
        <v>45807</v>
      </c>
      <c r="L1678" s="3">
        <v>9900</v>
      </c>
      <c r="M1678" s="4">
        <v>0</v>
      </c>
      <c r="N1678" s="4">
        <v>0</v>
      </c>
      <c r="O1678" t="s">
        <v>116</v>
      </c>
      <c r="P1678">
        <v>4</v>
      </c>
      <c r="Q1678" t="str">
        <f>IFERROR(VLOOKUP(E1678,Lookups!$A$5:$B$24,2,FALSE),"Other")</f>
        <v>Webinar</v>
      </c>
      <c r="R1678" t="str">
        <f>IFERROR(VLOOKUP(F1678,Lookups!$D$5:$F$10,2,FALSE),"Unknown Product")</f>
        <v>Marketing Automation</v>
      </c>
      <c r="S1678" t="str">
        <f>IFERROR(VLOOKUP(F1678,Lookups!$D$5:$F$10,3,FALSE),"Unknown")</f>
        <v>Marketing</v>
      </c>
      <c r="T1678" t="str">
        <f t="shared" si="286"/>
        <v>SMB</v>
      </c>
      <c r="U1678" t="str">
        <f t="shared" si="287"/>
        <v>Lost</v>
      </c>
      <c r="V1678" s="3">
        <f t="shared" si="288"/>
        <v>0</v>
      </c>
      <c r="W1678" s="3">
        <f t="shared" si="289"/>
        <v>0</v>
      </c>
      <c r="X1678" s="5">
        <f t="shared" si="290"/>
        <v>24</v>
      </c>
      <c r="Y1678" s="5">
        <f>IF(U1678="Open",Lookups!$B$2-B1678,X1678)</f>
        <v>24</v>
      </c>
      <c r="Z1678" t="str">
        <f t="shared" si="291"/>
        <v>OK</v>
      </c>
      <c r="AA1678" t="str">
        <f t="shared" si="292"/>
        <v>2025-05</v>
      </c>
      <c r="AB1678" t="str">
        <f t="shared" si="293"/>
        <v>2025-05</v>
      </c>
      <c r="AC1678" t="str">
        <f t="shared" si="294"/>
        <v>Q2-2025</v>
      </c>
      <c r="AD1678" s="5">
        <f t="shared" si="295"/>
        <v>43</v>
      </c>
      <c r="AE1678" t="str">
        <f t="shared" si="296"/>
        <v>Lost</v>
      </c>
    </row>
    <row r="1679" spans="1:31">
      <c r="A1679" t="s">
        <v>1781</v>
      </c>
      <c r="B1679" s="1">
        <v>45809</v>
      </c>
      <c r="C1679" t="s">
        <v>90</v>
      </c>
      <c r="D1679" t="s">
        <v>57</v>
      </c>
      <c r="E1679" t="s">
        <v>51</v>
      </c>
      <c r="F1679" t="s">
        <v>52</v>
      </c>
      <c r="G1679" t="s">
        <v>99</v>
      </c>
      <c r="H1679" t="s">
        <v>53</v>
      </c>
      <c r="I1679" t="s">
        <v>48</v>
      </c>
      <c r="J1679" s="1">
        <v>46089</v>
      </c>
      <c r="K1679" s="1"/>
      <c r="L1679" s="3">
        <v>13100</v>
      </c>
      <c r="M1679" s="4">
        <v>0.05</v>
      </c>
      <c r="N1679" s="4">
        <v>0.85</v>
      </c>
      <c r="P1679">
        <v>5</v>
      </c>
      <c r="Q1679" t="str">
        <f>IFERROR(VLOOKUP(E1679,Lookups!$A$5:$B$24,2,FALSE),"Other")</f>
        <v>Paid Search</v>
      </c>
      <c r="R1679" t="str">
        <f>IFERROR(VLOOKUP(F1679,Lookups!$D$5:$F$10,2,FALSE),"Unknown Product")</f>
        <v>NexaCRM Core</v>
      </c>
      <c r="S1679" t="str">
        <f>IFERROR(VLOOKUP(F1679,Lookups!$D$5:$F$10,3,FALSE),"Unknown")</f>
        <v>CRM</v>
      </c>
      <c r="T1679" t="str">
        <f t="shared" si="286"/>
        <v>SMB</v>
      </c>
      <c r="U1679" t="str">
        <f t="shared" si="287"/>
        <v>Open</v>
      </c>
      <c r="V1679" s="3">
        <f t="shared" si="288"/>
        <v>0</v>
      </c>
      <c r="W1679" s="3">
        <f t="shared" si="289"/>
        <v>11135</v>
      </c>
      <c r="X1679" s="5" t="str">
        <f t="shared" si="290"/>
        <v/>
      </c>
      <c r="Y1679" s="5">
        <f>IF(U1679="Open",Lookups!$B$2-B1679,X1679)</f>
        <v>457</v>
      </c>
      <c r="Z1679" t="str">
        <f t="shared" si="291"/>
        <v>STALE</v>
      </c>
      <c r="AA1679" t="str">
        <f t="shared" si="292"/>
        <v>2025-06</v>
      </c>
      <c r="AB1679" t="str">
        <f t="shared" si="293"/>
        <v/>
      </c>
      <c r="AC1679" t="str">
        <f t="shared" si="294"/>
        <v>Q2-2025</v>
      </c>
      <c r="AD1679" s="5">
        <f t="shared" si="295"/>
        <v>51</v>
      </c>
      <c r="AE1679" t="str">
        <f t="shared" si="296"/>
        <v>Commit</v>
      </c>
    </row>
    <row r="1680" spans="1:31">
      <c r="A1680" t="s">
        <v>1782</v>
      </c>
      <c r="B1680" s="1">
        <v>46224</v>
      </c>
      <c r="C1680" t="s">
        <v>64</v>
      </c>
      <c r="D1680" t="s">
        <v>57</v>
      </c>
      <c r="E1680" t="s">
        <v>127</v>
      </c>
      <c r="F1680" t="s">
        <v>52</v>
      </c>
      <c r="G1680" t="s">
        <v>60</v>
      </c>
      <c r="H1680" t="s">
        <v>47</v>
      </c>
      <c r="I1680" t="s">
        <v>73</v>
      </c>
      <c r="J1680" s="1">
        <v>46241</v>
      </c>
      <c r="K1680" s="1"/>
      <c r="L1680" s="3">
        <v>6500</v>
      </c>
      <c r="M1680" s="4">
        <v>0.03</v>
      </c>
      <c r="N1680" s="4">
        <v>0.2</v>
      </c>
      <c r="P1680">
        <v>2</v>
      </c>
      <c r="Q1680" t="str">
        <f>IFERROR(VLOOKUP(E1680,Lookups!$A$5:$B$24,2,FALSE),"Other")</f>
        <v>Paid Search</v>
      </c>
      <c r="R1680" t="str">
        <f>IFERROR(VLOOKUP(F1680,Lookups!$D$5:$F$10,2,FALSE),"Unknown Product")</f>
        <v>NexaCRM Core</v>
      </c>
      <c r="S1680" t="str">
        <f>IFERROR(VLOOKUP(F1680,Lookups!$D$5:$F$10,3,FALSE),"Unknown")</f>
        <v>CRM</v>
      </c>
      <c r="T1680" t="str">
        <f t="shared" si="286"/>
        <v>SMB</v>
      </c>
      <c r="U1680" t="str">
        <f t="shared" si="287"/>
        <v>Open</v>
      </c>
      <c r="V1680" s="3">
        <f t="shared" si="288"/>
        <v>0</v>
      </c>
      <c r="W1680" s="3">
        <f t="shared" si="289"/>
        <v>1300</v>
      </c>
      <c r="X1680" s="5" t="str">
        <f t="shared" si="290"/>
        <v/>
      </c>
      <c r="Y1680" s="5">
        <f>IF(U1680="Open",Lookups!$B$2-B1680,X1680)</f>
        <v>42</v>
      </c>
      <c r="Z1680" t="str">
        <f t="shared" si="291"/>
        <v>STALE</v>
      </c>
      <c r="AA1680" t="str">
        <f t="shared" si="292"/>
        <v>2026-07</v>
      </c>
      <c r="AB1680" t="str">
        <f t="shared" si="293"/>
        <v/>
      </c>
      <c r="AC1680" t="str">
        <f t="shared" si="294"/>
        <v>Q3-2026</v>
      </c>
      <c r="AD1680" s="5">
        <f t="shared" si="295"/>
        <v>43</v>
      </c>
      <c r="AE1680" t="str">
        <f t="shared" si="296"/>
        <v>Pipeline</v>
      </c>
    </row>
    <row r="1681" spans="1:31">
      <c r="A1681" t="s">
        <v>1783</v>
      </c>
      <c r="B1681" s="1">
        <v>45723</v>
      </c>
      <c r="C1681" t="s">
        <v>50</v>
      </c>
      <c r="D1681" t="s">
        <v>43</v>
      </c>
      <c r="E1681" t="s">
        <v>51</v>
      </c>
      <c r="F1681" t="s">
        <v>59</v>
      </c>
      <c r="G1681" t="s">
        <v>76</v>
      </c>
      <c r="H1681" t="s">
        <v>47</v>
      </c>
      <c r="I1681" t="s">
        <v>77</v>
      </c>
      <c r="J1681" s="1">
        <v>45809</v>
      </c>
      <c r="K1681" s="1">
        <v>45809</v>
      </c>
      <c r="L1681" s="3">
        <v>21200</v>
      </c>
      <c r="M1681" s="4">
        <v>0.12</v>
      </c>
      <c r="N1681" s="4">
        <v>1</v>
      </c>
      <c r="P1681">
        <v>6</v>
      </c>
      <c r="Q1681" t="str">
        <f>IFERROR(VLOOKUP(E1681,Lookups!$A$5:$B$24,2,FALSE),"Other")</f>
        <v>Paid Search</v>
      </c>
      <c r="R1681" t="str">
        <f>IFERROR(VLOOKUP(F1681,Lookups!$D$5:$F$10,2,FALSE),"Unknown Product")</f>
        <v>NexaCRM Pro</v>
      </c>
      <c r="S1681" t="str">
        <f>IFERROR(VLOOKUP(F1681,Lookups!$D$5:$F$10,3,FALSE),"Unknown")</f>
        <v>CRM</v>
      </c>
      <c r="T1681" t="str">
        <f t="shared" si="286"/>
        <v>Mid-Market</v>
      </c>
      <c r="U1681" t="str">
        <f t="shared" si="287"/>
        <v>Won</v>
      </c>
      <c r="V1681" s="3">
        <f t="shared" si="288"/>
        <v>18656</v>
      </c>
      <c r="W1681" s="3">
        <f t="shared" si="289"/>
        <v>0</v>
      </c>
      <c r="X1681" s="5">
        <f t="shared" si="290"/>
        <v>86</v>
      </c>
      <c r="Y1681" s="5">
        <f>IF(U1681="Open",Lookups!$B$2-B1681,X1681)</f>
        <v>86</v>
      </c>
      <c r="Z1681" t="str">
        <f t="shared" si="291"/>
        <v>OK</v>
      </c>
      <c r="AA1681" t="str">
        <f t="shared" si="292"/>
        <v>2025-03</v>
      </c>
      <c r="AB1681" t="str">
        <f t="shared" si="293"/>
        <v>2025-06</v>
      </c>
      <c r="AC1681" t="str">
        <f t="shared" si="294"/>
        <v>Q1-2025</v>
      </c>
      <c r="AD1681" s="5">
        <f t="shared" si="295"/>
        <v>51</v>
      </c>
      <c r="AE1681" t="str">
        <f t="shared" si="296"/>
        <v>Won</v>
      </c>
    </row>
    <row r="1682" spans="1:31">
      <c r="A1682" t="s">
        <v>1784</v>
      </c>
      <c r="B1682" s="1">
        <v>45871</v>
      </c>
      <c r="C1682" t="s">
        <v>64</v>
      </c>
      <c r="D1682" t="s">
        <v>57</v>
      </c>
      <c r="E1682" t="s">
        <v>138</v>
      </c>
      <c r="F1682" t="s">
        <v>71</v>
      </c>
      <c r="G1682" t="s">
        <v>112</v>
      </c>
      <c r="H1682" t="s">
        <v>53</v>
      </c>
      <c r="I1682" t="s">
        <v>61</v>
      </c>
      <c r="J1682" s="1">
        <v>45931</v>
      </c>
      <c r="K1682" s="1">
        <v>45931</v>
      </c>
      <c r="L1682" s="3">
        <v>35600</v>
      </c>
      <c r="M1682" s="4">
        <v>0</v>
      </c>
      <c r="N1682" s="4">
        <v>0</v>
      </c>
      <c r="O1682" t="s">
        <v>62</v>
      </c>
      <c r="P1682">
        <v>2</v>
      </c>
      <c r="Q1682" t="str">
        <f>IFERROR(VLOOKUP(E1682,Lookups!$A$5:$B$24,2,FALSE),"Other")</f>
        <v>Organic Search</v>
      </c>
      <c r="R1682" t="str">
        <f>IFERROR(VLOOKUP(F1682,Lookups!$D$5:$F$10,2,FALSE),"Unknown Product")</f>
        <v>Marketing Automation</v>
      </c>
      <c r="S1682" t="str">
        <f>IFERROR(VLOOKUP(F1682,Lookups!$D$5:$F$10,3,FALSE),"Unknown")</f>
        <v>Marketing</v>
      </c>
      <c r="T1682" t="str">
        <f t="shared" si="286"/>
        <v>Mid-Market</v>
      </c>
      <c r="U1682" t="str">
        <f t="shared" si="287"/>
        <v>Lost</v>
      </c>
      <c r="V1682" s="3">
        <f t="shared" si="288"/>
        <v>0</v>
      </c>
      <c r="W1682" s="3">
        <f t="shared" si="289"/>
        <v>0</v>
      </c>
      <c r="X1682" s="5">
        <f t="shared" si="290"/>
        <v>60</v>
      </c>
      <c r="Y1682" s="5">
        <f>IF(U1682="Open",Lookups!$B$2-B1682,X1682)</f>
        <v>60</v>
      </c>
      <c r="Z1682" t="str">
        <f t="shared" si="291"/>
        <v>OK</v>
      </c>
      <c r="AA1682" t="str">
        <f t="shared" si="292"/>
        <v>2025-08</v>
      </c>
      <c r="AB1682" t="str">
        <f t="shared" si="293"/>
        <v>2025-10</v>
      </c>
      <c r="AC1682" t="str">
        <f t="shared" si="294"/>
        <v>Q3-2025</v>
      </c>
      <c r="AD1682" s="5">
        <f t="shared" si="295"/>
        <v>70</v>
      </c>
      <c r="AE1682" t="str">
        <f t="shared" si="296"/>
        <v>Lost</v>
      </c>
    </row>
    <row r="1683" spans="1:31">
      <c r="A1683" t="s">
        <v>1785</v>
      </c>
      <c r="B1683" s="1">
        <v>45880</v>
      </c>
      <c r="C1683" t="s">
        <v>64</v>
      </c>
      <c r="D1683" t="s">
        <v>57</v>
      </c>
      <c r="E1683" t="s">
        <v>98</v>
      </c>
      <c r="F1683" t="s">
        <v>52</v>
      </c>
      <c r="G1683" t="s">
        <v>72</v>
      </c>
      <c r="H1683" t="s">
        <v>53</v>
      </c>
      <c r="I1683" t="s">
        <v>48</v>
      </c>
      <c r="J1683" s="1">
        <v>46040</v>
      </c>
      <c r="K1683" s="1"/>
      <c r="L1683" s="3">
        <v>16900</v>
      </c>
      <c r="M1683" s="4">
        <v>0.03</v>
      </c>
      <c r="N1683" s="4">
        <v>0.85</v>
      </c>
      <c r="P1683">
        <v>5</v>
      </c>
      <c r="Q1683" t="str">
        <f>IFERROR(VLOOKUP(E1683,Lookups!$A$5:$B$24,2,FALSE),"Other")</f>
        <v>Outbound</v>
      </c>
      <c r="R1683" t="str">
        <f>IFERROR(VLOOKUP(F1683,Lookups!$D$5:$F$10,2,FALSE),"Unknown Product")</f>
        <v>NexaCRM Core</v>
      </c>
      <c r="S1683" t="str">
        <f>IFERROR(VLOOKUP(F1683,Lookups!$D$5:$F$10,3,FALSE),"Unknown")</f>
        <v>CRM</v>
      </c>
      <c r="T1683" t="str">
        <f t="shared" si="286"/>
        <v>SMB</v>
      </c>
      <c r="U1683" t="str">
        <f t="shared" si="287"/>
        <v>Open</v>
      </c>
      <c r="V1683" s="3">
        <f t="shared" si="288"/>
        <v>0</v>
      </c>
      <c r="W1683" s="3">
        <f t="shared" si="289"/>
        <v>14365</v>
      </c>
      <c r="X1683" s="5" t="str">
        <f t="shared" si="290"/>
        <v/>
      </c>
      <c r="Y1683" s="5">
        <f>IF(U1683="Open",Lookups!$B$2-B1683,X1683)</f>
        <v>386</v>
      </c>
      <c r="Z1683" t="str">
        <f t="shared" si="291"/>
        <v>STALE</v>
      </c>
      <c r="AA1683" t="str">
        <f t="shared" si="292"/>
        <v>2025-08</v>
      </c>
      <c r="AB1683" t="str">
        <f t="shared" si="293"/>
        <v/>
      </c>
      <c r="AC1683" t="str">
        <f t="shared" si="294"/>
        <v>Q3-2025</v>
      </c>
      <c r="AD1683" s="5">
        <f t="shared" si="295"/>
        <v>51</v>
      </c>
      <c r="AE1683" t="str">
        <f t="shared" si="296"/>
        <v>Commit</v>
      </c>
    </row>
    <row r="1684" spans="1:31">
      <c r="A1684" t="s">
        <v>1786</v>
      </c>
      <c r="B1684" s="1">
        <v>45959</v>
      </c>
      <c r="C1684" t="s">
        <v>56</v>
      </c>
      <c r="D1684" t="s">
        <v>57</v>
      </c>
      <c r="E1684" t="s">
        <v>83</v>
      </c>
      <c r="F1684" t="s">
        <v>71</v>
      </c>
      <c r="G1684" t="s">
        <v>46</v>
      </c>
      <c r="H1684" t="s">
        <v>47</v>
      </c>
      <c r="I1684" t="s">
        <v>61</v>
      </c>
      <c r="J1684" s="1">
        <v>45974</v>
      </c>
      <c r="K1684" s="1">
        <v>45974</v>
      </c>
      <c r="L1684" s="3">
        <v>9300</v>
      </c>
      <c r="M1684" s="4">
        <v>0</v>
      </c>
      <c r="N1684" s="4">
        <v>0</v>
      </c>
      <c r="O1684" t="s">
        <v>102</v>
      </c>
      <c r="P1684">
        <v>2</v>
      </c>
      <c r="Q1684" t="str">
        <f>IFERROR(VLOOKUP(E1684,Lookups!$A$5:$B$24,2,FALSE),"Other")</f>
        <v>Organic Search</v>
      </c>
      <c r="R1684" t="str">
        <f>IFERROR(VLOOKUP(F1684,Lookups!$D$5:$F$10,2,FALSE),"Unknown Product")</f>
        <v>Marketing Automation</v>
      </c>
      <c r="S1684" t="str">
        <f>IFERROR(VLOOKUP(F1684,Lookups!$D$5:$F$10,3,FALSE),"Unknown")</f>
        <v>Marketing</v>
      </c>
      <c r="T1684" t="str">
        <f t="shared" si="286"/>
        <v>SMB</v>
      </c>
      <c r="U1684" t="str">
        <f t="shared" si="287"/>
        <v>Lost</v>
      </c>
      <c r="V1684" s="3">
        <f t="shared" si="288"/>
        <v>0</v>
      </c>
      <c r="W1684" s="3">
        <f t="shared" si="289"/>
        <v>0</v>
      </c>
      <c r="X1684" s="5">
        <f t="shared" si="290"/>
        <v>15</v>
      </c>
      <c r="Y1684" s="5">
        <f>IF(U1684="Open",Lookups!$B$2-B1684,X1684)</f>
        <v>15</v>
      </c>
      <c r="Z1684" t="str">
        <f t="shared" si="291"/>
        <v>OK</v>
      </c>
      <c r="AA1684" t="str">
        <f t="shared" si="292"/>
        <v>2025-10</v>
      </c>
      <c r="AB1684" t="str">
        <f t="shared" si="293"/>
        <v>2025-11</v>
      </c>
      <c r="AC1684" t="str">
        <f t="shared" si="294"/>
        <v>Q4-2025</v>
      </c>
      <c r="AD1684" s="5">
        <f t="shared" si="295"/>
        <v>49</v>
      </c>
      <c r="AE1684" t="str">
        <f t="shared" si="296"/>
        <v>Lost</v>
      </c>
    </row>
    <row r="1685" spans="1:31">
      <c r="A1685" t="s">
        <v>1787</v>
      </c>
      <c r="B1685" s="1">
        <v>46248</v>
      </c>
      <c r="C1685" t="s">
        <v>86</v>
      </c>
      <c r="D1685" t="s">
        <v>87</v>
      </c>
      <c r="E1685" t="s">
        <v>44</v>
      </c>
      <c r="F1685" t="s">
        <v>59</v>
      </c>
      <c r="G1685" t="s">
        <v>46</v>
      </c>
      <c r="H1685" t="s">
        <v>84</v>
      </c>
      <c r="I1685" t="s">
        <v>187</v>
      </c>
      <c r="J1685" s="1">
        <v>46256</v>
      </c>
      <c r="K1685" s="1"/>
      <c r="L1685" s="3">
        <v>69400</v>
      </c>
      <c r="M1685" s="4">
        <v>0.05</v>
      </c>
      <c r="N1685" s="4">
        <v>0.05</v>
      </c>
      <c r="P1685">
        <v>1</v>
      </c>
      <c r="Q1685" t="str">
        <f>IFERROR(VLOOKUP(E1685,Lookups!$A$5:$B$24,2,FALSE),"Other")</f>
        <v>Organic Search</v>
      </c>
      <c r="R1685" t="str">
        <f>IFERROR(VLOOKUP(F1685,Lookups!$D$5:$F$10,2,FALSE),"Unknown Product")</f>
        <v>NexaCRM Pro</v>
      </c>
      <c r="S1685" t="str">
        <f>IFERROR(VLOOKUP(F1685,Lookups!$D$5:$F$10,3,FALSE),"Unknown")</f>
        <v>CRM</v>
      </c>
      <c r="T1685" t="str">
        <f t="shared" si="286"/>
        <v>Enterprise</v>
      </c>
      <c r="U1685" t="str">
        <f t="shared" si="287"/>
        <v>Open</v>
      </c>
      <c r="V1685" s="3">
        <f t="shared" si="288"/>
        <v>0</v>
      </c>
      <c r="W1685" s="3">
        <f t="shared" si="289"/>
        <v>3470</v>
      </c>
      <c r="X1685" s="5" t="str">
        <f t="shared" si="290"/>
        <v/>
      </c>
      <c r="Y1685" s="5">
        <f>IF(U1685="Open",Lookups!$B$2-B1685,X1685)</f>
        <v>18</v>
      </c>
      <c r="Z1685" t="str">
        <f t="shared" si="291"/>
        <v>OK</v>
      </c>
      <c r="AA1685" t="str">
        <f t="shared" si="292"/>
        <v>2026-08</v>
      </c>
      <c r="AB1685" t="str">
        <f t="shared" si="293"/>
        <v/>
      </c>
      <c r="AC1685" t="str">
        <f t="shared" si="294"/>
        <v>Q3-2026</v>
      </c>
      <c r="AD1685" s="5">
        <f t="shared" si="295"/>
        <v>80</v>
      </c>
      <c r="AE1685" t="str">
        <f t="shared" si="296"/>
        <v>Pipeline</v>
      </c>
    </row>
    <row r="1686" spans="1:31">
      <c r="A1686" t="s">
        <v>1788</v>
      </c>
      <c r="B1686" s="1">
        <v>45726</v>
      </c>
      <c r="C1686" t="s">
        <v>64</v>
      </c>
      <c r="D1686" t="s">
        <v>57</v>
      </c>
      <c r="E1686" t="s">
        <v>83</v>
      </c>
      <c r="F1686" t="s">
        <v>45</v>
      </c>
      <c r="G1686" t="s">
        <v>60</v>
      </c>
      <c r="H1686" t="s">
        <v>53</v>
      </c>
      <c r="I1686" t="s">
        <v>61</v>
      </c>
      <c r="J1686" s="1">
        <v>45764</v>
      </c>
      <c r="K1686" s="1">
        <v>45764</v>
      </c>
      <c r="L1686" s="3">
        <v>25200</v>
      </c>
      <c r="M1686" s="4">
        <v>0</v>
      </c>
      <c r="N1686" s="4">
        <v>0</v>
      </c>
      <c r="O1686" t="s">
        <v>116</v>
      </c>
      <c r="P1686">
        <v>3</v>
      </c>
      <c r="Q1686" t="str">
        <f>IFERROR(VLOOKUP(E1686,Lookups!$A$5:$B$24,2,FALSE),"Other")</f>
        <v>Organic Search</v>
      </c>
      <c r="R1686" t="str">
        <f>IFERROR(VLOOKUP(F1686,Lookups!$D$5:$F$10,2,FALSE),"Unknown Product")</f>
        <v>Service Cloud</v>
      </c>
      <c r="S1686" t="str">
        <f>IFERROR(VLOOKUP(F1686,Lookups!$D$5:$F$10,3,FALSE),"Unknown")</f>
        <v>Customer Service</v>
      </c>
      <c r="T1686" t="str">
        <f t="shared" si="286"/>
        <v>Mid-Market</v>
      </c>
      <c r="U1686" t="str">
        <f t="shared" si="287"/>
        <v>Lost</v>
      </c>
      <c r="V1686" s="3">
        <f t="shared" si="288"/>
        <v>0</v>
      </c>
      <c r="W1686" s="3">
        <f t="shared" si="289"/>
        <v>0</v>
      </c>
      <c r="X1686" s="5">
        <f t="shared" si="290"/>
        <v>38</v>
      </c>
      <c r="Y1686" s="5">
        <f>IF(U1686="Open",Lookups!$B$2-B1686,X1686)</f>
        <v>38</v>
      </c>
      <c r="Z1686" t="str">
        <f t="shared" si="291"/>
        <v>OK</v>
      </c>
      <c r="AA1686" t="str">
        <f t="shared" si="292"/>
        <v>2025-03</v>
      </c>
      <c r="AB1686" t="str">
        <f t="shared" si="293"/>
        <v>2025-04</v>
      </c>
      <c r="AC1686" t="str">
        <f t="shared" si="294"/>
        <v>Q1-2025</v>
      </c>
      <c r="AD1686" s="5">
        <f t="shared" si="295"/>
        <v>65</v>
      </c>
      <c r="AE1686" t="str">
        <f t="shared" si="296"/>
        <v>Lost</v>
      </c>
    </row>
    <row r="1687" spans="1:31">
      <c r="A1687" t="s">
        <v>1789</v>
      </c>
      <c r="B1687" s="1">
        <v>46024</v>
      </c>
      <c r="C1687" t="s">
        <v>69</v>
      </c>
      <c r="D1687" t="s">
        <v>57</v>
      </c>
      <c r="E1687" t="s">
        <v>166</v>
      </c>
      <c r="F1687" t="s">
        <v>45</v>
      </c>
      <c r="G1687" t="s">
        <v>99</v>
      </c>
      <c r="H1687" t="s">
        <v>53</v>
      </c>
      <c r="I1687" t="s">
        <v>61</v>
      </c>
      <c r="J1687" s="1">
        <v>46061</v>
      </c>
      <c r="K1687" s="1">
        <v>46061</v>
      </c>
      <c r="L1687" s="3">
        <v>40300</v>
      </c>
      <c r="M1687" s="4">
        <v>0</v>
      </c>
      <c r="N1687" s="4">
        <v>0</v>
      </c>
      <c r="O1687" t="s">
        <v>81</v>
      </c>
      <c r="P1687">
        <v>2</v>
      </c>
      <c r="Q1687" t="str">
        <f>IFERROR(VLOOKUP(E1687,Lookups!$A$5:$B$24,2,FALSE),"Other")</f>
        <v>Referral</v>
      </c>
      <c r="R1687" t="str">
        <f>IFERROR(VLOOKUP(F1687,Lookups!$D$5:$F$10,2,FALSE),"Unknown Product")</f>
        <v>Service Cloud</v>
      </c>
      <c r="S1687" t="str">
        <f>IFERROR(VLOOKUP(F1687,Lookups!$D$5:$F$10,3,FALSE),"Unknown")</f>
        <v>Customer Service</v>
      </c>
      <c r="T1687" t="str">
        <f t="shared" si="286"/>
        <v>Mid-Market</v>
      </c>
      <c r="U1687" t="str">
        <f t="shared" si="287"/>
        <v>Lost</v>
      </c>
      <c r="V1687" s="3">
        <f t="shared" si="288"/>
        <v>0</v>
      </c>
      <c r="W1687" s="3">
        <f t="shared" si="289"/>
        <v>0</v>
      </c>
      <c r="X1687" s="5">
        <f t="shared" si="290"/>
        <v>37</v>
      </c>
      <c r="Y1687" s="5">
        <f>IF(U1687="Open",Lookups!$B$2-B1687,X1687)</f>
        <v>37</v>
      </c>
      <c r="Z1687" t="str">
        <f t="shared" si="291"/>
        <v>OK</v>
      </c>
      <c r="AA1687" t="str">
        <f t="shared" si="292"/>
        <v>2026-01</v>
      </c>
      <c r="AB1687" t="str">
        <f t="shared" si="293"/>
        <v>2026-02</v>
      </c>
      <c r="AC1687" t="str">
        <f t="shared" si="294"/>
        <v>Q1-2026</v>
      </c>
      <c r="AD1687" s="5">
        <f t="shared" si="295"/>
        <v>70</v>
      </c>
      <c r="AE1687" t="str">
        <f t="shared" si="296"/>
        <v>Lost</v>
      </c>
    </row>
    <row r="1688" spans="1:31">
      <c r="A1688" t="s">
        <v>1790</v>
      </c>
      <c r="B1688" s="1">
        <v>45701</v>
      </c>
      <c r="C1688" t="s">
        <v>69</v>
      </c>
      <c r="D1688" t="s">
        <v>57</v>
      </c>
      <c r="E1688" t="s">
        <v>119</v>
      </c>
      <c r="F1688" t="s">
        <v>59</v>
      </c>
      <c r="G1688" t="s">
        <v>99</v>
      </c>
      <c r="H1688" t="s">
        <v>53</v>
      </c>
      <c r="I1688" t="s">
        <v>61</v>
      </c>
      <c r="J1688" s="1">
        <v>45743</v>
      </c>
      <c r="K1688" s="1">
        <v>45743</v>
      </c>
      <c r="L1688" s="3">
        <v>23100</v>
      </c>
      <c r="M1688" s="4">
        <v>0</v>
      </c>
      <c r="N1688" s="4">
        <v>0</v>
      </c>
      <c r="O1688" t="s">
        <v>116</v>
      </c>
      <c r="P1688">
        <v>2</v>
      </c>
      <c r="Q1688" t="str">
        <f>IFERROR(VLOOKUP(E1688,Lookups!$A$5:$B$24,2,FALSE),"Other")</f>
        <v>Referral</v>
      </c>
      <c r="R1688" t="str">
        <f>IFERROR(VLOOKUP(F1688,Lookups!$D$5:$F$10,2,FALSE),"Unknown Product")</f>
        <v>NexaCRM Pro</v>
      </c>
      <c r="S1688" t="str">
        <f>IFERROR(VLOOKUP(F1688,Lookups!$D$5:$F$10,3,FALSE),"Unknown")</f>
        <v>CRM</v>
      </c>
      <c r="T1688" t="str">
        <f t="shared" si="286"/>
        <v>Mid-Market</v>
      </c>
      <c r="U1688" t="str">
        <f t="shared" si="287"/>
        <v>Lost</v>
      </c>
      <c r="V1688" s="3">
        <f t="shared" si="288"/>
        <v>0</v>
      </c>
      <c r="W1688" s="3">
        <f t="shared" si="289"/>
        <v>0</v>
      </c>
      <c r="X1688" s="5">
        <f t="shared" si="290"/>
        <v>42</v>
      </c>
      <c r="Y1688" s="5">
        <f>IF(U1688="Open",Lookups!$B$2-B1688,X1688)</f>
        <v>42</v>
      </c>
      <c r="Z1688" t="str">
        <f t="shared" si="291"/>
        <v>OK</v>
      </c>
      <c r="AA1688" t="str">
        <f t="shared" si="292"/>
        <v>2025-02</v>
      </c>
      <c r="AB1688" t="str">
        <f t="shared" si="293"/>
        <v>2025-03</v>
      </c>
      <c r="AC1688" t="str">
        <f t="shared" si="294"/>
        <v>Q1-2025</v>
      </c>
      <c r="AD1688" s="5">
        <f t="shared" si="295"/>
        <v>70</v>
      </c>
      <c r="AE1688" t="str">
        <f t="shared" si="296"/>
        <v>Lost</v>
      </c>
    </row>
    <row r="1689" spans="1:31">
      <c r="A1689" t="s">
        <v>1791</v>
      </c>
      <c r="B1689" s="1">
        <v>46211</v>
      </c>
      <c r="C1689" t="s">
        <v>90</v>
      </c>
      <c r="D1689" t="s">
        <v>57</v>
      </c>
      <c r="E1689" t="s">
        <v>138</v>
      </c>
      <c r="F1689" t="s">
        <v>67</v>
      </c>
      <c r="G1689" t="s">
        <v>94</v>
      </c>
      <c r="H1689" t="s">
        <v>53</v>
      </c>
      <c r="I1689" t="s">
        <v>73</v>
      </c>
      <c r="J1689" s="1">
        <v>46233</v>
      </c>
      <c r="K1689" s="1"/>
      <c r="L1689" s="3">
        <v>65700</v>
      </c>
      <c r="M1689" s="4">
        <v>0</v>
      </c>
      <c r="N1689" s="4">
        <v>0.2</v>
      </c>
      <c r="P1689">
        <v>2</v>
      </c>
      <c r="Q1689" t="str">
        <f>IFERROR(VLOOKUP(E1689,Lookups!$A$5:$B$24,2,FALSE),"Other")</f>
        <v>Organic Search</v>
      </c>
      <c r="R1689" t="str">
        <f>IFERROR(VLOOKUP(F1689,Lookups!$D$5:$F$10,2,FALSE),"Unknown Product")</f>
        <v>Revenue Operations Suite</v>
      </c>
      <c r="S1689" t="str">
        <f>IFERROR(VLOOKUP(F1689,Lookups!$D$5:$F$10,3,FALSE),"Unknown")</f>
        <v>Revenue Ops</v>
      </c>
      <c r="T1689" t="str">
        <f t="shared" si="286"/>
        <v>Enterprise</v>
      </c>
      <c r="U1689" t="str">
        <f t="shared" si="287"/>
        <v>Open</v>
      </c>
      <c r="V1689" s="3">
        <f t="shared" si="288"/>
        <v>0</v>
      </c>
      <c r="W1689" s="3">
        <f t="shared" si="289"/>
        <v>13140</v>
      </c>
      <c r="X1689" s="5" t="str">
        <f t="shared" si="290"/>
        <v/>
      </c>
      <c r="Y1689" s="5">
        <f>IF(U1689="Open",Lookups!$B$2-B1689,X1689)</f>
        <v>55</v>
      </c>
      <c r="Z1689" t="str">
        <f t="shared" si="291"/>
        <v>STALE</v>
      </c>
      <c r="AA1689" t="str">
        <f t="shared" si="292"/>
        <v>2026-07</v>
      </c>
      <c r="AB1689" t="str">
        <f t="shared" si="293"/>
        <v/>
      </c>
      <c r="AC1689" t="str">
        <f t="shared" si="294"/>
        <v>Q3-2026</v>
      </c>
      <c r="AD1689" s="5">
        <f t="shared" si="295"/>
        <v>72</v>
      </c>
      <c r="AE1689" t="str">
        <f t="shared" si="296"/>
        <v>Pipeline</v>
      </c>
    </row>
    <row r="1690" spans="1:31">
      <c r="A1690" t="s">
        <v>1792</v>
      </c>
      <c r="B1690" s="1">
        <v>46193</v>
      </c>
      <c r="C1690" t="s">
        <v>86</v>
      </c>
      <c r="D1690" t="s">
        <v>87</v>
      </c>
      <c r="E1690" t="s">
        <v>166</v>
      </c>
      <c r="F1690" t="s">
        <v>67</v>
      </c>
      <c r="G1690" t="s">
        <v>76</v>
      </c>
      <c r="H1690" t="s">
        <v>47</v>
      </c>
      <c r="I1690" t="s">
        <v>61</v>
      </c>
      <c r="J1690" s="1">
        <v>46248</v>
      </c>
      <c r="K1690" s="1">
        <v>46248</v>
      </c>
      <c r="L1690" s="3">
        <v>29100</v>
      </c>
      <c r="M1690" s="4">
        <v>0</v>
      </c>
      <c r="N1690" s="4">
        <v>0</v>
      </c>
      <c r="O1690" t="s">
        <v>102</v>
      </c>
      <c r="P1690">
        <v>4</v>
      </c>
      <c r="Q1690" t="str">
        <f>IFERROR(VLOOKUP(E1690,Lookups!$A$5:$B$24,2,FALSE),"Other")</f>
        <v>Referral</v>
      </c>
      <c r="R1690" t="str">
        <f>IFERROR(VLOOKUP(F1690,Lookups!$D$5:$F$10,2,FALSE),"Unknown Product")</f>
        <v>Revenue Operations Suite</v>
      </c>
      <c r="S1690" t="str">
        <f>IFERROR(VLOOKUP(F1690,Lookups!$D$5:$F$10,3,FALSE),"Unknown")</f>
        <v>Revenue Ops</v>
      </c>
      <c r="T1690" t="str">
        <f t="shared" si="286"/>
        <v>Mid-Market</v>
      </c>
      <c r="U1690" t="str">
        <f t="shared" si="287"/>
        <v>Lost</v>
      </c>
      <c r="V1690" s="3">
        <f t="shared" si="288"/>
        <v>0</v>
      </c>
      <c r="W1690" s="3">
        <f t="shared" si="289"/>
        <v>0</v>
      </c>
      <c r="X1690" s="5">
        <f t="shared" si="290"/>
        <v>55</v>
      </c>
      <c r="Y1690" s="5">
        <f>IF(U1690="Open",Lookups!$B$2-B1690,X1690)</f>
        <v>55</v>
      </c>
      <c r="Z1690" t="str">
        <f t="shared" si="291"/>
        <v>OK</v>
      </c>
      <c r="AA1690" t="str">
        <f t="shared" si="292"/>
        <v>2026-06</v>
      </c>
      <c r="AB1690" t="str">
        <f t="shared" si="293"/>
        <v>2026-08</v>
      </c>
      <c r="AC1690" t="str">
        <f t="shared" si="294"/>
        <v>Q2-2026</v>
      </c>
      <c r="AD1690" s="5">
        <f t="shared" si="295"/>
        <v>62</v>
      </c>
      <c r="AE1690" t="str">
        <f t="shared" si="296"/>
        <v>Lost</v>
      </c>
    </row>
    <row r="1691" spans="1:31">
      <c r="A1691" t="s">
        <v>1793</v>
      </c>
      <c r="B1691" s="1">
        <v>46026</v>
      </c>
      <c r="C1691" t="s">
        <v>56</v>
      </c>
      <c r="D1691" t="s">
        <v>57</v>
      </c>
      <c r="E1691" t="s">
        <v>92</v>
      </c>
      <c r="F1691" t="s">
        <v>133</v>
      </c>
      <c r="G1691" t="s">
        <v>99</v>
      </c>
      <c r="H1691" t="s">
        <v>53</v>
      </c>
      <c r="I1691" t="s">
        <v>77</v>
      </c>
      <c r="J1691" s="1">
        <v>46119</v>
      </c>
      <c r="K1691" s="1">
        <v>46119</v>
      </c>
      <c r="L1691" s="3">
        <v>28300</v>
      </c>
      <c r="M1691" s="4">
        <v>0.08</v>
      </c>
      <c r="N1691" s="4">
        <v>1</v>
      </c>
      <c r="P1691">
        <v>6</v>
      </c>
      <c r="Q1691" t="str">
        <f>IFERROR(VLOOKUP(E1691,Lookups!$A$5:$B$24,2,FALSE),"Other")</f>
        <v>Webinar</v>
      </c>
      <c r="R1691" t="str">
        <f>IFERROR(VLOOKUP(F1691,Lookups!$D$5:$F$10,2,FALSE),"Unknown Product")</f>
        <v>Analytics Plus</v>
      </c>
      <c r="S1691" t="str">
        <f>IFERROR(VLOOKUP(F1691,Lookups!$D$5:$F$10,3,FALSE),"Unknown")</f>
        <v>Analytics</v>
      </c>
      <c r="T1691" t="str">
        <f t="shared" si="286"/>
        <v>Mid-Market</v>
      </c>
      <c r="U1691" t="str">
        <f t="shared" si="287"/>
        <v>Won</v>
      </c>
      <c r="V1691" s="3">
        <f t="shared" si="288"/>
        <v>26036</v>
      </c>
      <c r="W1691" s="3">
        <f t="shared" si="289"/>
        <v>0</v>
      </c>
      <c r="X1691" s="5">
        <f t="shared" si="290"/>
        <v>93</v>
      </c>
      <c r="Y1691" s="5">
        <f>IF(U1691="Open",Lookups!$B$2-B1691,X1691)</f>
        <v>93</v>
      </c>
      <c r="Z1691" t="str">
        <f t="shared" si="291"/>
        <v>OK</v>
      </c>
      <c r="AA1691" t="str">
        <f t="shared" si="292"/>
        <v>2026-01</v>
      </c>
      <c r="AB1691" t="str">
        <f t="shared" si="293"/>
        <v>2026-04</v>
      </c>
      <c r="AC1691" t="str">
        <f t="shared" si="294"/>
        <v>Q1-2026</v>
      </c>
      <c r="AD1691" s="5">
        <f t="shared" si="295"/>
        <v>59</v>
      </c>
      <c r="AE1691" t="str">
        <f t="shared" si="296"/>
        <v>Won</v>
      </c>
    </row>
    <row r="1692" spans="1:31">
      <c r="A1692" t="s">
        <v>1794</v>
      </c>
      <c r="B1692" s="1">
        <v>45804</v>
      </c>
      <c r="C1692" t="s">
        <v>42</v>
      </c>
      <c r="D1692" t="s">
        <v>43</v>
      </c>
      <c r="E1692" t="s">
        <v>160</v>
      </c>
      <c r="F1692" t="s">
        <v>52</v>
      </c>
      <c r="G1692" t="s">
        <v>46</v>
      </c>
      <c r="H1692" t="s">
        <v>47</v>
      </c>
      <c r="I1692" t="s">
        <v>61</v>
      </c>
      <c r="J1692" s="1">
        <v>45841</v>
      </c>
      <c r="K1692" s="1">
        <v>45841</v>
      </c>
      <c r="L1692" s="3">
        <v>8000</v>
      </c>
      <c r="M1692" s="4">
        <v>0</v>
      </c>
      <c r="N1692" s="4">
        <v>0</v>
      </c>
      <c r="O1692" t="s">
        <v>81</v>
      </c>
      <c r="P1692">
        <v>2</v>
      </c>
      <c r="Q1692" t="str">
        <f>IFERROR(VLOOKUP(E1692,Lookups!$A$5:$B$24,2,FALSE),"Other")</f>
        <v>Email</v>
      </c>
      <c r="R1692" t="str">
        <f>IFERROR(VLOOKUP(F1692,Lookups!$D$5:$F$10,2,FALSE),"Unknown Product")</f>
        <v>NexaCRM Core</v>
      </c>
      <c r="S1692" t="str">
        <f>IFERROR(VLOOKUP(F1692,Lookups!$D$5:$F$10,3,FALSE),"Unknown")</f>
        <v>CRM</v>
      </c>
      <c r="T1692" t="str">
        <f t="shared" si="286"/>
        <v>SMB</v>
      </c>
      <c r="U1692" t="str">
        <f t="shared" si="287"/>
        <v>Lost</v>
      </c>
      <c r="V1692" s="3">
        <f t="shared" si="288"/>
        <v>0</v>
      </c>
      <c r="W1692" s="3">
        <f t="shared" si="289"/>
        <v>0</v>
      </c>
      <c r="X1692" s="5">
        <f t="shared" si="290"/>
        <v>37</v>
      </c>
      <c r="Y1692" s="5">
        <f>IF(U1692="Open",Lookups!$B$2-B1692,X1692)</f>
        <v>37</v>
      </c>
      <c r="Z1692" t="str">
        <f t="shared" si="291"/>
        <v>OK</v>
      </c>
      <c r="AA1692" t="str">
        <f t="shared" si="292"/>
        <v>2025-05</v>
      </c>
      <c r="AB1692" t="str">
        <f t="shared" si="293"/>
        <v>2025-07</v>
      </c>
      <c r="AC1692" t="str">
        <f t="shared" si="294"/>
        <v>Q2-2025</v>
      </c>
      <c r="AD1692" s="5">
        <f t="shared" si="295"/>
        <v>47</v>
      </c>
      <c r="AE1692" t="str">
        <f t="shared" si="296"/>
        <v>Lost</v>
      </c>
    </row>
    <row r="1693" spans="1:31">
      <c r="A1693" t="s">
        <v>1795</v>
      </c>
      <c r="B1693" s="1">
        <v>45832</v>
      </c>
      <c r="C1693" t="s">
        <v>42</v>
      </c>
      <c r="D1693" t="s">
        <v>43</v>
      </c>
      <c r="E1693" t="s">
        <v>138</v>
      </c>
      <c r="F1693" t="s">
        <v>67</v>
      </c>
      <c r="G1693" t="s">
        <v>46</v>
      </c>
      <c r="H1693" t="s">
        <v>84</v>
      </c>
      <c r="I1693" t="s">
        <v>61</v>
      </c>
      <c r="J1693" s="1">
        <v>45895</v>
      </c>
      <c r="K1693" s="1">
        <v>45895</v>
      </c>
      <c r="L1693" s="3">
        <v>159700</v>
      </c>
      <c r="M1693" s="4">
        <v>0</v>
      </c>
      <c r="N1693" s="4">
        <v>0</v>
      </c>
      <c r="O1693" t="s">
        <v>79</v>
      </c>
      <c r="P1693">
        <v>5</v>
      </c>
      <c r="Q1693" t="str">
        <f>IFERROR(VLOOKUP(E1693,Lookups!$A$5:$B$24,2,FALSE),"Other")</f>
        <v>Organic Search</v>
      </c>
      <c r="R1693" t="str">
        <f>IFERROR(VLOOKUP(F1693,Lookups!$D$5:$F$10,2,FALSE),"Unknown Product")</f>
        <v>Revenue Operations Suite</v>
      </c>
      <c r="S1693" t="str">
        <f>IFERROR(VLOOKUP(F1693,Lookups!$D$5:$F$10,3,FALSE),"Unknown")</f>
        <v>Revenue Ops</v>
      </c>
      <c r="T1693" t="str">
        <f t="shared" si="286"/>
        <v>Enterprise</v>
      </c>
      <c r="U1693" t="str">
        <f t="shared" si="287"/>
        <v>Lost</v>
      </c>
      <c r="V1693" s="3">
        <f t="shared" si="288"/>
        <v>0</v>
      </c>
      <c r="W1693" s="3">
        <f t="shared" si="289"/>
        <v>0</v>
      </c>
      <c r="X1693" s="5">
        <f t="shared" si="290"/>
        <v>63</v>
      </c>
      <c r="Y1693" s="5">
        <f>IF(U1693="Open",Lookups!$B$2-B1693,X1693)</f>
        <v>63</v>
      </c>
      <c r="Z1693" t="str">
        <f t="shared" si="291"/>
        <v>OK</v>
      </c>
      <c r="AA1693" t="str">
        <f t="shared" si="292"/>
        <v>2025-06</v>
      </c>
      <c r="AB1693" t="str">
        <f t="shared" si="293"/>
        <v>2025-08</v>
      </c>
      <c r="AC1693" t="str">
        <f t="shared" si="294"/>
        <v>Q2-2025</v>
      </c>
      <c r="AD1693" s="5">
        <f t="shared" si="295"/>
        <v>80</v>
      </c>
      <c r="AE1693" t="str">
        <f t="shared" si="296"/>
        <v>Lost</v>
      </c>
    </row>
    <row r="1694" spans="1:31">
      <c r="A1694" t="s">
        <v>1796</v>
      </c>
      <c r="B1694" s="1">
        <v>45998</v>
      </c>
      <c r="C1694" t="s">
        <v>69</v>
      </c>
      <c r="D1694" t="s">
        <v>57</v>
      </c>
      <c r="E1694" t="s">
        <v>51</v>
      </c>
      <c r="F1694" t="s">
        <v>52</v>
      </c>
      <c r="G1694" t="s">
        <v>94</v>
      </c>
      <c r="H1694" t="s">
        <v>84</v>
      </c>
      <c r="I1694" t="s">
        <v>61</v>
      </c>
      <c r="J1694" s="1">
        <v>46015</v>
      </c>
      <c r="K1694" s="1">
        <v>46015</v>
      </c>
      <c r="L1694" s="3">
        <v>29300</v>
      </c>
      <c r="M1694" s="4">
        <v>0</v>
      </c>
      <c r="N1694" s="4">
        <v>0</v>
      </c>
      <c r="O1694" t="s">
        <v>116</v>
      </c>
      <c r="P1694">
        <v>3</v>
      </c>
      <c r="Q1694" t="str">
        <f>IFERROR(VLOOKUP(E1694,Lookups!$A$5:$B$24,2,FALSE),"Other")</f>
        <v>Paid Search</v>
      </c>
      <c r="R1694" t="str">
        <f>IFERROR(VLOOKUP(F1694,Lookups!$D$5:$F$10,2,FALSE),"Unknown Product")</f>
        <v>NexaCRM Core</v>
      </c>
      <c r="S1694" t="str">
        <f>IFERROR(VLOOKUP(F1694,Lookups!$D$5:$F$10,3,FALSE),"Unknown")</f>
        <v>CRM</v>
      </c>
      <c r="T1694" t="str">
        <f t="shared" si="286"/>
        <v>Mid-Market</v>
      </c>
      <c r="U1694" t="str">
        <f t="shared" si="287"/>
        <v>Lost</v>
      </c>
      <c r="V1694" s="3">
        <f t="shared" si="288"/>
        <v>0</v>
      </c>
      <c r="W1694" s="3">
        <f t="shared" si="289"/>
        <v>0</v>
      </c>
      <c r="X1694" s="5">
        <f t="shared" si="290"/>
        <v>17</v>
      </c>
      <c r="Y1694" s="5">
        <f>IF(U1694="Open",Lookups!$B$2-B1694,X1694)</f>
        <v>17</v>
      </c>
      <c r="Z1694" t="str">
        <f t="shared" si="291"/>
        <v>OK</v>
      </c>
      <c r="AA1694" t="str">
        <f t="shared" si="292"/>
        <v>2025-12</v>
      </c>
      <c r="AB1694" t="str">
        <f t="shared" si="293"/>
        <v>2025-12</v>
      </c>
      <c r="AC1694" t="str">
        <f t="shared" si="294"/>
        <v>Q4-2025</v>
      </c>
      <c r="AD1694" s="5">
        <f t="shared" si="295"/>
        <v>67</v>
      </c>
      <c r="AE1694" t="str">
        <f t="shared" si="296"/>
        <v>Lost</v>
      </c>
    </row>
    <row r="1695" spans="1:31">
      <c r="A1695" t="s">
        <v>1797</v>
      </c>
      <c r="B1695" s="1">
        <v>45756</v>
      </c>
      <c r="C1695" t="s">
        <v>50</v>
      </c>
      <c r="D1695" t="s">
        <v>43</v>
      </c>
      <c r="E1695" t="s">
        <v>123</v>
      </c>
      <c r="F1695" t="s">
        <v>71</v>
      </c>
      <c r="G1695" t="s">
        <v>76</v>
      </c>
      <c r="H1695" t="s">
        <v>47</v>
      </c>
      <c r="I1695" t="s">
        <v>61</v>
      </c>
      <c r="J1695" s="1">
        <v>45770</v>
      </c>
      <c r="K1695" s="1">
        <v>45770</v>
      </c>
      <c r="L1695" s="3">
        <v>17900</v>
      </c>
      <c r="M1695" s="4">
        <v>0</v>
      </c>
      <c r="N1695" s="4">
        <v>0</v>
      </c>
      <c r="O1695" t="s">
        <v>102</v>
      </c>
      <c r="P1695">
        <v>2</v>
      </c>
      <c r="Q1695" t="str">
        <f>IFERROR(VLOOKUP(E1695,Lookups!$A$5:$B$24,2,FALSE),"Other")</f>
        <v>Email</v>
      </c>
      <c r="R1695" t="str">
        <f>IFERROR(VLOOKUP(F1695,Lookups!$D$5:$F$10,2,FALSE),"Unknown Product")</f>
        <v>Marketing Automation</v>
      </c>
      <c r="S1695" t="str">
        <f>IFERROR(VLOOKUP(F1695,Lookups!$D$5:$F$10,3,FALSE),"Unknown")</f>
        <v>Marketing</v>
      </c>
      <c r="T1695" t="str">
        <f t="shared" si="286"/>
        <v>SMB</v>
      </c>
      <c r="U1695" t="str">
        <f t="shared" si="287"/>
        <v>Lost</v>
      </c>
      <c r="V1695" s="3">
        <f t="shared" si="288"/>
        <v>0</v>
      </c>
      <c r="W1695" s="3">
        <f t="shared" si="289"/>
        <v>0</v>
      </c>
      <c r="X1695" s="5">
        <f t="shared" si="290"/>
        <v>14</v>
      </c>
      <c r="Y1695" s="5">
        <f>IF(U1695="Open",Lookups!$B$2-B1695,X1695)</f>
        <v>14</v>
      </c>
      <c r="Z1695" t="str">
        <f t="shared" si="291"/>
        <v>OK</v>
      </c>
      <c r="AA1695" t="str">
        <f t="shared" si="292"/>
        <v>2025-04</v>
      </c>
      <c r="AB1695" t="str">
        <f t="shared" si="293"/>
        <v>2025-04</v>
      </c>
      <c r="AC1695" t="str">
        <f t="shared" si="294"/>
        <v>Q2-2025</v>
      </c>
      <c r="AD1695" s="5">
        <f t="shared" si="295"/>
        <v>47</v>
      </c>
      <c r="AE1695" t="str">
        <f t="shared" si="296"/>
        <v>Lost</v>
      </c>
    </row>
    <row r="1696" spans="1:31">
      <c r="A1696" t="s">
        <v>1798</v>
      </c>
      <c r="B1696" s="1">
        <v>46242</v>
      </c>
      <c r="C1696" t="s">
        <v>90</v>
      </c>
      <c r="D1696" t="s">
        <v>57</v>
      </c>
      <c r="E1696" t="s">
        <v>70</v>
      </c>
      <c r="F1696" t="s">
        <v>45</v>
      </c>
      <c r="G1696" t="s">
        <v>76</v>
      </c>
      <c r="H1696" t="s">
        <v>53</v>
      </c>
      <c r="I1696" t="s">
        <v>77</v>
      </c>
      <c r="J1696" s="1">
        <v>46266</v>
      </c>
      <c r="K1696" s="1">
        <v>46266</v>
      </c>
      <c r="L1696" s="3">
        <v>41600</v>
      </c>
      <c r="M1696" s="4">
        <v>0</v>
      </c>
      <c r="N1696" s="4">
        <v>1</v>
      </c>
      <c r="P1696">
        <v>6</v>
      </c>
      <c r="Q1696" t="str">
        <f>IFERROR(VLOOKUP(E1696,Lookups!$A$5:$B$24,2,FALSE),"Other")</f>
        <v>LinkedIn</v>
      </c>
      <c r="R1696" t="str">
        <f>IFERROR(VLOOKUP(F1696,Lookups!$D$5:$F$10,2,FALSE),"Unknown Product")</f>
        <v>Service Cloud</v>
      </c>
      <c r="S1696" t="str">
        <f>IFERROR(VLOOKUP(F1696,Lookups!$D$5:$F$10,3,FALSE),"Unknown")</f>
        <v>Customer Service</v>
      </c>
      <c r="T1696" t="str">
        <f t="shared" si="286"/>
        <v>Mid-Market</v>
      </c>
      <c r="U1696" t="str">
        <f t="shared" si="287"/>
        <v>Won</v>
      </c>
      <c r="V1696" s="3">
        <f t="shared" si="288"/>
        <v>41600</v>
      </c>
      <c r="W1696" s="3">
        <f t="shared" si="289"/>
        <v>0</v>
      </c>
      <c r="X1696" s="5">
        <f t="shared" si="290"/>
        <v>24</v>
      </c>
      <c r="Y1696" s="5">
        <f>IF(U1696="Open",Lookups!$B$2-B1696,X1696)</f>
        <v>24</v>
      </c>
      <c r="Z1696" t="str">
        <f t="shared" si="291"/>
        <v>OK</v>
      </c>
      <c r="AA1696" t="str">
        <f t="shared" si="292"/>
        <v>2026-08</v>
      </c>
      <c r="AB1696" t="str">
        <f t="shared" si="293"/>
        <v>2026-09</v>
      </c>
      <c r="AC1696" t="str">
        <f t="shared" si="294"/>
        <v>Q3-2026</v>
      </c>
      <c r="AD1696" s="5">
        <f t="shared" si="295"/>
        <v>59</v>
      </c>
      <c r="AE1696" t="str">
        <f t="shared" si="296"/>
        <v>Won</v>
      </c>
    </row>
    <row r="1697" spans="1:31">
      <c r="A1697" t="s">
        <v>1799</v>
      </c>
      <c r="B1697" s="1">
        <v>45865</v>
      </c>
      <c r="C1697" t="s">
        <v>90</v>
      </c>
      <c r="D1697" t="s">
        <v>57</v>
      </c>
      <c r="E1697" t="s">
        <v>70</v>
      </c>
      <c r="F1697" t="s">
        <v>45</v>
      </c>
      <c r="G1697" t="s">
        <v>94</v>
      </c>
      <c r="H1697" t="s">
        <v>47</v>
      </c>
      <c r="I1697" t="s">
        <v>48</v>
      </c>
      <c r="J1697" s="1">
        <v>46177</v>
      </c>
      <c r="K1697" s="1"/>
      <c r="L1697" s="3">
        <v>16700</v>
      </c>
      <c r="M1697" s="4">
        <v>0</v>
      </c>
      <c r="N1697" s="4">
        <v>0.85</v>
      </c>
      <c r="P1697">
        <v>5</v>
      </c>
      <c r="Q1697" t="str">
        <f>IFERROR(VLOOKUP(E1697,Lookups!$A$5:$B$24,2,FALSE),"Other")</f>
        <v>LinkedIn</v>
      </c>
      <c r="R1697" t="str">
        <f>IFERROR(VLOOKUP(F1697,Lookups!$D$5:$F$10,2,FALSE),"Unknown Product")</f>
        <v>Service Cloud</v>
      </c>
      <c r="S1697" t="str">
        <f>IFERROR(VLOOKUP(F1697,Lookups!$D$5:$F$10,3,FALSE),"Unknown")</f>
        <v>Customer Service</v>
      </c>
      <c r="T1697" t="str">
        <f t="shared" si="286"/>
        <v>SMB</v>
      </c>
      <c r="U1697" t="str">
        <f t="shared" si="287"/>
        <v>Open</v>
      </c>
      <c r="V1697" s="3">
        <f t="shared" si="288"/>
        <v>0</v>
      </c>
      <c r="W1697" s="3">
        <f t="shared" si="289"/>
        <v>14195</v>
      </c>
      <c r="X1697" s="5" t="str">
        <f t="shared" si="290"/>
        <v/>
      </c>
      <c r="Y1697" s="5">
        <f>IF(U1697="Open",Lookups!$B$2-B1697,X1697)</f>
        <v>401</v>
      </c>
      <c r="Z1697" t="str">
        <f t="shared" si="291"/>
        <v>STALE</v>
      </c>
      <c r="AA1697" t="str">
        <f t="shared" si="292"/>
        <v>2025-07</v>
      </c>
      <c r="AB1697" t="str">
        <f t="shared" si="293"/>
        <v/>
      </c>
      <c r="AC1697" t="str">
        <f t="shared" si="294"/>
        <v>Q3-2025</v>
      </c>
      <c r="AD1697" s="5">
        <f t="shared" si="295"/>
        <v>43</v>
      </c>
      <c r="AE1697" t="str">
        <f t="shared" si="296"/>
        <v>Commit</v>
      </c>
    </row>
    <row r="1698" spans="1:31">
      <c r="A1698" t="s">
        <v>1800</v>
      </c>
      <c r="B1698" s="1">
        <v>45882</v>
      </c>
      <c r="C1698" t="s">
        <v>56</v>
      </c>
      <c r="D1698" t="s">
        <v>57</v>
      </c>
      <c r="E1698" t="s">
        <v>160</v>
      </c>
      <c r="F1698" t="s">
        <v>71</v>
      </c>
      <c r="G1698" t="s">
        <v>99</v>
      </c>
      <c r="H1698" t="s">
        <v>47</v>
      </c>
      <c r="I1698" t="s">
        <v>61</v>
      </c>
      <c r="J1698" s="1">
        <v>45952</v>
      </c>
      <c r="K1698" s="1">
        <v>45952</v>
      </c>
      <c r="L1698" s="3">
        <v>10200</v>
      </c>
      <c r="M1698" s="4">
        <v>0</v>
      </c>
      <c r="N1698" s="4">
        <v>0</v>
      </c>
      <c r="O1698" t="s">
        <v>62</v>
      </c>
      <c r="P1698">
        <v>4</v>
      </c>
      <c r="Q1698" t="str">
        <f>IFERROR(VLOOKUP(E1698,Lookups!$A$5:$B$24,2,FALSE),"Other")</f>
        <v>Email</v>
      </c>
      <c r="R1698" t="str">
        <f>IFERROR(VLOOKUP(F1698,Lookups!$D$5:$F$10,2,FALSE),"Unknown Product")</f>
        <v>Marketing Automation</v>
      </c>
      <c r="S1698" t="str">
        <f>IFERROR(VLOOKUP(F1698,Lookups!$D$5:$F$10,3,FALSE),"Unknown")</f>
        <v>Marketing</v>
      </c>
      <c r="T1698" t="str">
        <f t="shared" si="286"/>
        <v>SMB</v>
      </c>
      <c r="U1698" t="str">
        <f t="shared" si="287"/>
        <v>Lost</v>
      </c>
      <c r="V1698" s="3">
        <f t="shared" si="288"/>
        <v>0</v>
      </c>
      <c r="W1698" s="3">
        <f t="shared" si="289"/>
        <v>0</v>
      </c>
      <c r="X1698" s="5">
        <f t="shared" si="290"/>
        <v>70</v>
      </c>
      <c r="Y1698" s="5">
        <f>IF(U1698="Open",Lookups!$B$2-B1698,X1698)</f>
        <v>70</v>
      </c>
      <c r="Z1698" t="str">
        <f t="shared" si="291"/>
        <v>OK</v>
      </c>
      <c r="AA1698" t="str">
        <f t="shared" si="292"/>
        <v>2025-08</v>
      </c>
      <c r="AB1698" t="str">
        <f t="shared" si="293"/>
        <v>2025-10</v>
      </c>
      <c r="AC1698" t="str">
        <f t="shared" si="294"/>
        <v>Q3-2025</v>
      </c>
      <c r="AD1698" s="5">
        <f t="shared" si="295"/>
        <v>47</v>
      </c>
      <c r="AE1698" t="str">
        <f t="shared" si="296"/>
        <v>Lost</v>
      </c>
    </row>
    <row r="1699" spans="1:31">
      <c r="A1699" t="s">
        <v>1801</v>
      </c>
      <c r="B1699" s="1">
        <v>46092</v>
      </c>
      <c r="C1699" t="s">
        <v>69</v>
      </c>
      <c r="D1699" t="s">
        <v>57</v>
      </c>
      <c r="E1699" t="s">
        <v>160</v>
      </c>
      <c r="F1699" t="s">
        <v>52</v>
      </c>
      <c r="G1699" t="s">
        <v>60</v>
      </c>
      <c r="H1699" t="s">
        <v>47</v>
      </c>
      <c r="I1699" t="s">
        <v>48</v>
      </c>
      <c r="J1699" s="1">
        <v>46161</v>
      </c>
      <c r="K1699" s="1"/>
      <c r="L1699" s="3">
        <v>9000</v>
      </c>
      <c r="M1699" s="4">
        <v>0</v>
      </c>
      <c r="N1699" s="4">
        <v>0.85</v>
      </c>
      <c r="P1699">
        <v>5</v>
      </c>
      <c r="Q1699" t="str">
        <f>IFERROR(VLOOKUP(E1699,Lookups!$A$5:$B$24,2,FALSE),"Other")</f>
        <v>Email</v>
      </c>
      <c r="R1699" t="str">
        <f>IFERROR(VLOOKUP(F1699,Lookups!$D$5:$F$10,2,FALSE),"Unknown Product")</f>
        <v>NexaCRM Core</v>
      </c>
      <c r="S1699" t="str">
        <f>IFERROR(VLOOKUP(F1699,Lookups!$D$5:$F$10,3,FALSE),"Unknown")</f>
        <v>CRM</v>
      </c>
      <c r="T1699" t="str">
        <f t="shared" si="286"/>
        <v>SMB</v>
      </c>
      <c r="U1699" t="str">
        <f t="shared" si="287"/>
        <v>Open</v>
      </c>
      <c r="V1699" s="3">
        <f t="shared" si="288"/>
        <v>0</v>
      </c>
      <c r="W1699" s="3">
        <f t="shared" si="289"/>
        <v>7650</v>
      </c>
      <c r="X1699" s="5" t="str">
        <f t="shared" si="290"/>
        <v/>
      </c>
      <c r="Y1699" s="5">
        <f>IF(U1699="Open",Lookups!$B$2-B1699,X1699)</f>
        <v>174</v>
      </c>
      <c r="Z1699" t="str">
        <f t="shared" si="291"/>
        <v>STALE</v>
      </c>
      <c r="AA1699" t="str">
        <f t="shared" si="292"/>
        <v>2026-03</v>
      </c>
      <c r="AB1699" t="str">
        <f t="shared" si="293"/>
        <v/>
      </c>
      <c r="AC1699" t="str">
        <f t="shared" si="294"/>
        <v>Q1-2026</v>
      </c>
      <c r="AD1699" s="5">
        <f t="shared" si="295"/>
        <v>47</v>
      </c>
      <c r="AE1699" t="str">
        <f t="shared" si="296"/>
        <v>Commit</v>
      </c>
    </row>
    <row r="1700" spans="1:31">
      <c r="A1700" t="s">
        <v>1802</v>
      </c>
      <c r="B1700" s="1">
        <v>45980</v>
      </c>
      <c r="C1700" t="s">
        <v>148</v>
      </c>
      <c r="D1700" t="s">
        <v>43</v>
      </c>
      <c r="E1700" t="s">
        <v>58</v>
      </c>
      <c r="F1700" t="s">
        <v>71</v>
      </c>
      <c r="G1700" t="s">
        <v>112</v>
      </c>
      <c r="H1700" t="s">
        <v>84</v>
      </c>
      <c r="I1700" t="s">
        <v>61</v>
      </c>
      <c r="J1700" s="1">
        <v>46023</v>
      </c>
      <c r="K1700" s="1">
        <v>46023</v>
      </c>
      <c r="L1700" s="3">
        <v>52500</v>
      </c>
      <c r="M1700" s="4">
        <v>0</v>
      </c>
      <c r="N1700" s="4">
        <v>0</v>
      </c>
      <c r="O1700" t="s">
        <v>62</v>
      </c>
      <c r="P1700">
        <v>4</v>
      </c>
      <c r="Q1700" t="str">
        <f>IFERROR(VLOOKUP(E1700,Lookups!$A$5:$B$24,2,FALSE),"Other")</f>
        <v>Email</v>
      </c>
      <c r="R1700" t="str">
        <f>IFERROR(VLOOKUP(F1700,Lookups!$D$5:$F$10,2,FALSE),"Unknown Product")</f>
        <v>Marketing Automation</v>
      </c>
      <c r="S1700" t="str">
        <f>IFERROR(VLOOKUP(F1700,Lookups!$D$5:$F$10,3,FALSE),"Unknown")</f>
        <v>Marketing</v>
      </c>
      <c r="T1700" t="str">
        <f t="shared" si="286"/>
        <v>Enterprise</v>
      </c>
      <c r="U1700" t="str">
        <f t="shared" si="287"/>
        <v>Lost</v>
      </c>
      <c r="V1700" s="3">
        <f t="shared" si="288"/>
        <v>0</v>
      </c>
      <c r="W1700" s="3">
        <f t="shared" si="289"/>
        <v>0</v>
      </c>
      <c r="X1700" s="5">
        <f t="shared" si="290"/>
        <v>43</v>
      </c>
      <c r="Y1700" s="5">
        <f>IF(U1700="Open",Lookups!$B$2-B1700,X1700)</f>
        <v>43</v>
      </c>
      <c r="Z1700" t="str">
        <f t="shared" si="291"/>
        <v>OK</v>
      </c>
      <c r="AA1700" t="str">
        <f t="shared" si="292"/>
        <v>2025-11</v>
      </c>
      <c r="AB1700" t="str">
        <f t="shared" si="293"/>
        <v>2026-01</v>
      </c>
      <c r="AC1700" t="str">
        <f t="shared" si="294"/>
        <v>Q4-2025</v>
      </c>
      <c r="AD1700" s="5">
        <f t="shared" si="295"/>
        <v>83</v>
      </c>
      <c r="AE1700" t="str">
        <f t="shared" si="296"/>
        <v>Lost</v>
      </c>
    </row>
    <row r="1701" spans="1:31">
      <c r="A1701" t="s">
        <v>1803</v>
      </c>
      <c r="B1701" s="1">
        <v>46132</v>
      </c>
      <c r="C1701" t="s">
        <v>42</v>
      </c>
      <c r="D1701" t="s">
        <v>43</v>
      </c>
      <c r="E1701" t="s">
        <v>127</v>
      </c>
      <c r="F1701" t="s">
        <v>59</v>
      </c>
      <c r="G1701" t="s">
        <v>94</v>
      </c>
      <c r="H1701" t="s">
        <v>53</v>
      </c>
      <c r="I1701" t="s">
        <v>77</v>
      </c>
      <c r="J1701" s="1">
        <v>46183</v>
      </c>
      <c r="K1701" s="1">
        <v>46183</v>
      </c>
      <c r="L1701" s="3">
        <v>35100</v>
      </c>
      <c r="M1701" s="4">
        <v>0.12</v>
      </c>
      <c r="N1701" s="4">
        <v>1</v>
      </c>
      <c r="P1701">
        <v>6</v>
      </c>
      <c r="Q1701" t="str">
        <f>IFERROR(VLOOKUP(E1701,Lookups!$A$5:$B$24,2,FALSE),"Other")</f>
        <v>Paid Search</v>
      </c>
      <c r="R1701" t="str">
        <f>IFERROR(VLOOKUP(F1701,Lookups!$D$5:$F$10,2,FALSE),"Unknown Product")</f>
        <v>NexaCRM Pro</v>
      </c>
      <c r="S1701" t="str">
        <f>IFERROR(VLOOKUP(F1701,Lookups!$D$5:$F$10,3,FALSE),"Unknown")</f>
        <v>CRM</v>
      </c>
      <c r="T1701" t="str">
        <f t="shared" si="286"/>
        <v>Mid-Market</v>
      </c>
      <c r="U1701" t="str">
        <f t="shared" si="287"/>
        <v>Won</v>
      </c>
      <c r="V1701" s="3">
        <f t="shared" si="288"/>
        <v>30888</v>
      </c>
      <c r="W1701" s="3">
        <f t="shared" si="289"/>
        <v>0</v>
      </c>
      <c r="X1701" s="5">
        <f t="shared" si="290"/>
        <v>51</v>
      </c>
      <c r="Y1701" s="5">
        <f>IF(U1701="Open",Lookups!$B$2-B1701,X1701)</f>
        <v>51</v>
      </c>
      <c r="Z1701" t="str">
        <f t="shared" si="291"/>
        <v>OK</v>
      </c>
      <c r="AA1701" t="str">
        <f t="shared" si="292"/>
        <v>2026-04</v>
      </c>
      <c r="AB1701" t="str">
        <f t="shared" si="293"/>
        <v>2026-06</v>
      </c>
      <c r="AC1701" t="str">
        <f t="shared" si="294"/>
        <v>Q2-2026</v>
      </c>
      <c r="AD1701" s="5">
        <f t="shared" si="295"/>
        <v>59</v>
      </c>
      <c r="AE1701" t="str">
        <f t="shared" si="296"/>
        <v>Won</v>
      </c>
    </row>
    <row r="1702" spans="1:31">
      <c r="A1702" t="s">
        <v>1804</v>
      </c>
      <c r="B1702" s="1">
        <v>46165</v>
      </c>
      <c r="C1702" t="s">
        <v>56</v>
      </c>
      <c r="D1702" t="s">
        <v>57</v>
      </c>
      <c r="E1702" t="s">
        <v>127</v>
      </c>
      <c r="F1702" t="s">
        <v>52</v>
      </c>
      <c r="G1702" t="s">
        <v>112</v>
      </c>
      <c r="H1702" t="s">
        <v>53</v>
      </c>
      <c r="I1702" t="s">
        <v>61</v>
      </c>
      <c r="J1702" s="1">
        <v>46196</v>
      </c>
      <c r="K1702" s="1">
        <v>46196</v>
      </c>
      <c r="L1702" s="3">
        <v>9100</v>
      </c>
      <c r="M1702" s="4">
        <v>0</v>
      </c>
      <c r="N1702" s="4">
        <v>0</v>
      </c>
      <c r="O1702" t="s">
        <v>116</v>
      </c>
      <c r="P1702">
        <v>5</v>
      </c>
      <c r="Q1702" t="str">
        <f>IFERROR(VLOOKUP(E1702,Lookups!$A$5:$B$24,2,FALSE),"Other")</f>
        <v>Paid Search</v>
      </c>
      <c r="R1702" t="str">
        <f>IFERROR(VLOOKUP(F1702,Lookups!$D$5:$F$10,2,FALSE),"Unknown Product")</f>
        <v>NexaCRM Core</v>
      </c>
      <c r="S1702" t="str">
        <f>IFERROR(VLOOKUP(F1702,Lookups!$D$5:$F$10,3,FALSE),"Unknown")</f>
        <v>CRM</v>
      </c>
      <c r="T1702" t="str">
        <f t="shared" si="286"/>
        <v>SMB</v>
      </c>
      <c r="U1702" t="str">
        <f t="shared" si="287"/>
        <v>Lost</v>
      </c>
      <c r="V1702" s="3">
        <f t="shared" si="288"/>
        <v>0</v>
      </c>
      <c r="W1702" s="3">
        <f t="shared" si="289"/>
        <v>0</v>
      </c>
      <c r="X1702" s="5">
        <f t="shared" si="290"/>
        <v>31</v>
      </c>
      <c r="Y1702" s="5">
        <f>IF(U1702="Open",Lookups!$B$2-B1702,X1702)</f>
        <v>31</v>
      </c>
      <c r="Z1702" t="str">
        <f t="shared" si="291"/>
        <v>OK</v>
      </c>
      <c r="AA1702" t="str">
        <f t="shared" si="292"/>
        <v>2026-05</v>
      </c>
      <c r="AB1702" t="str">
        <f t="shared" si="293"/>
        <v>2026-06</v>
      </c>
      <c r="AC1702" t="str">
        <f t="shared" si="294"/>
        <v>Q2-2026</v>
      </c>
      <c r="AD1702" s="5">
        <f t="shared" si="295"/>
        <v>56</v>
      </c>
      <c r="AE1702" t="str">
        <f t="shared" si="296"/>
        <v>Lost</v>
      </c>
    </row>
    <row r="1703" spans="1:31">
      <c r="A1703" t="s">
        <v>1805</v>
      </c>
      <c r="B1703" s="1">
        <v>46100</v>
      </c>
      <c r="C1703" t="s">
        <v>86</v>
      </c>
      <c r="D1703" t="s">
        <v>87</v>
      </c>
      <c r="E1703" t="s">
        <v>58</v>
      </c>
      <c r="F1703" t="s">
        <v>71</v>
      </c>
      <c r="G1703" t="s">
        <v>72</v>
      </c>
      <c r="H1703" t="s">
        <v>53</v>
      </c>
      <c r="I1703" t="s">
        <v>61</v>
      </c>
      <c r="J1703" s="1">
        <v>46150</v>
      </c>
      <c r="K1703" s="1">
        <v>46150</v>
      </c>
      <c r="L1703" s="3">
        <v>30400</v>
      </c>
      <c r="M1703" s="4">
        <v>0</v>
      </c>
      <c r="N1703" s="4">
        <v>0</v>
      </c>
      <c r="O1703" t="s">
        <v>81</v>
      </c>
      <c r="P1703">
        <v>4</v>
      </c>
      <c r="Q1703" t="str">
        <f>IFERROR(VLOOKUP(E1703,Lookups!$A$5:$B$24,2,FALSE),"Other")</f>
        <v>Email</v>
      </c>
      <c r="R1703" t="str">
        <f>IFERROR(VLOOKUP(F1703,Lookups!$D$5:$F$10,2,FALSE),"Unknown Product")</f>
        <v>Marketing Automation</v>
      </c>
      <c r="S1703" t="str">
        <f>IFERROR(VLOOKUP(F1703,Lookups!$D$5:$F$10,3,FALSE),"Unknown")</f>
        <v>Marketing</v>
      </c>
      <c r="T1703" t="str">
        <f t="shared" si="286"/>
        <v>Mid-Market</v>
      </c>
      <c r="U1703" t="str">
        <f t="shared" si="287"/>
        <v>Lost</v>
      </c>
      <c r="V1703" s="3">
        <f t="shared" si="288"/>
        <v>0</v>
      </c>
      <c r="W1703" s="3">
        <f t="shared" si="289"/>
        <v>0</v>
      </c>
      <c r="X1703" s="5">
        <f t="shared" si="290"/>
        <v>50</v>
      </c>
      <c r="Y1703" s="5">
        <f>IF(U1703="Open",Lookups!$B$2-B1703,X1703)</f>
        <v>50</v>
      </c>
      <c r="Z1703" t="str">
        <f t="shared" si="291"/>
        <v>OK</v>
      </c>
      <c r="AA1703" t="str">
        <f t="shared" si="292"/>
        <v>2026-03</v>
      </c>
      <c r="AB1703" t="str">
        <f t="shared" si="293"/>
        <v>2026-05</v>
      </c>
      <c r="AC1703" t="str">
        <f t="shared" si="294"/>
        <v>Q1-2026</v>
      </c>
      <c r="AD1703" s="5">
        <f t="shared" si="295"/>
        <v>63</v>
      </c>
      <c r="AE1703" t="str">
        <f t="shared" si="296"/>
        <v>Lost</v>
      </c>
    </row>
    <row r="1704" spans="1:31">
      <c r="A1704" t="s">
        <v>1806</v>
      </c>
      <c r="B1704" s="1">
        <v>45704</v>
      </c>
      <c r="C1704" t="s">
        <v>86</v>
      </c>
      <c r="D1704" t="s">
        <v>87</v>
      </c>
      <c r="E1704" t="s">
        <v>127</v>
      </c>
      <c r="F1704" t="s">
        <v>67</v>
      </c>
      <c r="G1704" t="s">
        <v>94</v>
      </c>
      <c r="H1704" t="s">
        <v>47</v>
      </c>
      <c r="I1704" t="s">
        <v>61</v>
      </c>
      <c r="J1704" s="1">
        <v>45757</v>
      </c>
      <c r="K1704" s="1">
        <v>45757</v>
      </c>
      <c r="L1704" s="3">
        <v>25000</v>
      </c>
      <c r="M1704" s="4">
        <v>0</v>
      </c>
      <c r="N1704" s="4">
        <v>0</v>
      </c>
      <c r="O1704" t="s">
        <v>81</v>
      </c>
      <c r="P1704">
        <v>4</v>
      </c>
      <c r="Q1704" t="str">
        <f>IFERROR(VLOOKUP(E1704,Lookups!$A$5:$B$24,2,FALSE),"Other")</f>
        <v>Paid Search</v>
      </c>
      <c r="R1704" t="str">
        <f>IFERROR(VLOOKUP(F1704,Lookups!$D$5:$F$10,2,FALSE),"Unknown Product")</f>
        <v>Revenue Operations Suite</v>
      </c>
      <c r="S1704" t="str">
        <f>IFERROR(VLOOKUP(F1704,Lookups!$D$5:$F$10,3,FALSE),"Unknown")</f>
        <v>Revenue Ops</v>
      </c>
      <c r="T1704" t="str">
        <f t="shared" si="286"/>
        <v>Mid-Market</v>
      </c>
      <c r="U1704" t="str">
        <f t="shared" si="287"/>
        <v>Lost</v>
      </c>
      <c r="V1704" s="3">
        <f t="shared" si="288"/>
        <v>0</v>
      </c>
      <c r="W1704" s="3">
        <f t="shared" si="289"/>
        <v>0</v>
      </c>
      <c r="X1704" s="5">
        <f t="shared" si="290"/>
        <v>53</v>
      </c>
      <c r="Y1704" s="5">
        <f>IF(U1704="Open",Lookups!$B$2-B1704,X1704)</f>
        <v>53</v>
      </c>
      <c r="Z1704" t="str">
        <f t="shared" si="291"/>
        <v>OK</v>
      </c>
      <c r="AA1704" t="str">
        <f t="shared" si="292"/>
        <v>2025-02</v>
      </c>
      <c r="AB1704" t="str">
        <f t="shared" si="293"/>
        <v>2025-04</v>
      </c>
      <c r="AC1704" t="str">
        <f t="shared" si="294"/>
        <v>Q1-2025</v>
      </c>
      <c r="AD1704" s="5">
        <f t="shared" si="295"/>
        <v>51</v>
      </c>
      <c r="AE1704" t="str">
        <f t="shared" si="296"/>
        <v>Lost</v>
      </c>
    </row>
    <row r="1705" spans="1:31">
      <c r="A1705" t="s">
        <v>1807</v>
      </c>
      <c r="B1705" s="1">
        <v>45977</v>
      </c>
      <c r="C1705" t="s">
        <v>42</v>
      </c>
      <c r="D1705" t="s">
        <v>43</v>
      </c>
      <c r="E1705" t="s">
        <v>119</v>
      </c>
      <c r="F1705" t="s">
        <v>52</v>
      </c>
      <c r="G1705" t="s">
        <v>94</v>
      </c>
      <c r="H1705" t="s">
        <v>47</v>
      </c>
      <c r="I1705" t="s">
        <v>61</v>
      </c>
      <c r="J1705" s="1">
        <v>46020</v>
      </c>
      <c r="K1705" s="1">
        <v>46020</v>
      </c>
      <c r="L1705" s="3">
        <v>10100</v>
      </c>
      <c r="M1705" s="4">
        <v>0</v>
      </c>
      <c r="N1705" s="4">
        <v>0</v>
      </c>
      <c r="O1705" t="s">
        <v>81</v>
      </c>
      <c r="P1705">
        <v>3</v>
      </c>
      <c r="Q1705" t="str">
        <f>IFERROR(VLOOKUP(E1705,Lookups!$A$5:$B$24,2,FALSE),"Other")</f>
        <v>Referral</v>
      </c>
      <c r="R1705" t="str">
        <f>IFERROR(VLOOKUP(F1705,Lookups!$D$5:$F$10,2,FALSE),"Unknown Product")</f>
        <v>NexaCRM Core</v>
      </c>
      <c r="S1705" t="str">
        <f>IFERROR(VLOOKUP(F1705,Lookups!$D$5:$F$10,3,FALSE),"Unknown")</f>
        <v>CRM</v>
      </c>
      <c r="T1705" t="str">
        <f t="shared" si="286"/>
        <v>SMB</v>
      </c>
      <c r="U1705" t="str">
        <f t="shared" si="287"/>
        <v>Lost</v>
      </c>
      <c r="V1705" s="3">
        <f t="shared" si="288"/>
        <v>0</v>
      </c>
      <c r="W1705" s="3">
        <f t="shared" si="289"/>
        <v>0</v>
      </c>
      <c r="X1705" s="5">
        <f t="shared" si="290"/>
        <v>43</v>
      </c>
      <c r="Y1705" s="5">
        <f>IF(U1705="Open",Lookups!$B$2-B1705,X1705)</f>
        <v>43</v>
      </c>
      <c r="Z1705" t="str">
        <f t="shared" si="291"/>
        <v>OK</v>
      </c>
      <c r="AA1705" t="str">
        <f t="shared" si="292"/>
        <v>2025-11</v>
      </c>
      <c r="AB1705" t="str">
        <f t="shared" si="293"/>
        <v>2025-12</v>
      </c>
      <c r="AC1705" t="str">
        <f t="shared" si="294"/>
        <v>Q4-2025</v>
      </c>
      <c r="AD1705" s="5">
        <f t="shared" si="295"/>
        <v>54</v>
      </c>
      <c r="AE1705" t="str">
        <f t="shared" si="296"/>
        <v>Lost</v>
      </c>
    </row>
    <row r="1706" spans="1:31">
      <c r="A1706" t="s">
        <v>1808</v>
      </c>
      <c r="B1706" s="1">
        <v>46034</v>
      </c>
      <c r="C1706" t="s">
        <v>50</v>
      </c>
      <c r="D1706" t="s">
        <v>43</v>
      </c>
      <c r="E1706" t="s">
        <v>98</v>
      </c>
      <c r="F1706" t="s">
        <v>52</v>
      </c>
      <c r="G1706" t="s">
        <v>112</v>
      </c>
      <c r="H1706" t="s">
        <v>47</v>
      </c>
      <c r="I1706" t="s">
        <v>61</v>
      </c>
      <c r="J1706" s="1">
        <v>46050</v>
      </c>
      <c r="K1706" s="1">
        <v>46050</v>
      </c>
      <c r="L1706" s="3">
        <v>5400</v>
      </c>
      <c r="M1706" s="4">
        <v>0</v>
      </c>
      <c r="N1706" s="4">
        <v>0</v>
      </c>
      <c r="O1706" t="s">
        <v>62</v>
      </c>
      <c r="P1706">
        <v>5</v>
      </c>
      <c r="Q1706" t="str">
        <f>IFERROR(VLOOKUP(E1706,Lookups!$A$5:$B$24,2,FALSE),"Other")</f>
        <v>Outbound</v>
      </c>
      <c r="R1706" t="str">
        <f>IFERROR(VLOOKUP(F1706,Lookups!$D$5:$F$10,2,FALSE),"Unknown Product")</f>
        <v>NexaCRM Core</v>
      </c>
      <c r="S1706" t="str">
        <f>IFERROR(VLOOKUP(F1706,Lookups!$D$5:$F$10,3,FALSE),"Unknown")</f>
        <v>CRM</v>
      </c>
      <c r="T1706" t="str">
        <f t="shared" si="286"/>
        <v>SMB</v>
      </c>
      <c r="U1706" t="str">
        <f t="shared" si="287"/>
        <v>Lost</v>
      </c>
      <c r="V1706" s="3">
        <f t="shared" si="288"/>
        <v>0</v>
      </c>
      <c r="W1706" s="3">
        <f t="shared" si="289"/>
        <v>0</v>
      </c>
      <c r="X1706" s="5">
        <f t="shared" si="290"/>
        <v>16</v>
      </c>
      <c r="Y1706" s="5">
        <f>IF(U1706="Open",Lookups!$B$2-B1706,X1706)</f>
        <v>16</v>
      </c>
      <c r="Z1706" t="str">
        <f t="shared" si="291"/>
        <v>OK</v>
      </c>
      <c r="AA1706" t="str">
        <f t="shared" si="292"/>
        <v>2026-01</v>
      </c>
      <c r="AB1706" t="str">
        <f t="shared" si="293"/>
        <v>2026-01</v>
      </c>
      <c r="AC1706" t="str">
        <f t="shared" si="294"/>
        <v>Q1-2026</v>
      </c>
      <c r="AD1706" s="5">
        <f t="shared" si="295"/>
        <v>48</v>
      </c>
      <c r="AE1706" t="str">
        <f t="shared" si="296"/>
        <v>Lost</v>
      </c>
    </row>
    <row r="1707" spans="1:31">
      <c r="A1707" t="s">
        <v>1809</v>
      </c>
      <c r="B1707" s="1">
        <v>46231</v>
      </c>
      <c r="C1707" t="s">
        <v>42</v>
      </c>
      <c r="D1707" t="s">
        <v>43</v>
      </c>
      <c r="E1707" t="s">
        <v>98</v>
      </c>
      <c r="F1707" t="s">
        <v>52</v>
      </c>
      <c r="G1707" t="s">
        <v>99</v>
      </c>
      <c r="H1707" t="s">
        <v>47</v>
      </c>
      <c r="I1707" t="s">
        <v>73</v>
      </c>
      <c r="J1707" s="1">
        <v>46258</v>
      </c>
      <c r="K1707" s="1"/>
      <c r="L1707" s="3">
        <v>4700</v>
      </c>
      <c r="M1707" s="4">
        <v>0</v>
      </c>
      <c r="N1707" s="4">
        <v>0.2</v>
      </c>
      <c r="P1707">
        <v>2</v>
      </c>
      <c r="Q1707" t="str">
        <f>IFERROR(VLOOKUP(E1707,Lookups!$A$5:$B$24,2,FALSE),"Other")</f>
        <v>Outbound</v>
      </c>
      <c r="R1707" t="str">
        <f>IFERROR(VLOOKUP(F1707,Lookups!$D$5:$F$10,2,FALSE),"Unknown Product")</f>
        <v>NexaCRM Core</v>
      </c>
      <c r="S1707" t="str">
        <f>IFERROR(VLOOKUP(F1707,Lookups!$D$5:$F$10,3,FALSE),"Unknown")</f>
        <v>CRM</v>
      </c>
      <c r="T1707" t="str">
        <f t="shared" si="286"/>
        <v>SMB</v>
      </c>
      <c r="U1707" t="str">
        <f t="shared" si="287"/>
        <v>Open</v>
      </c>
      <c r="V1707" s="3">
        <f t="shared" si="288"/>
        <v>0</v>
      </c>
      <c r="W1707" s="3">
        <f t="shared" si="289"/>
        <v>940</v>
      </c>
      <c r="X1707" s="5" t="str">
        <f t="shared" si="290"/>
        <v/>
      </c>
      <c r="Y1707" s="5">
        <f>IF(U1707="Open",Lookups!$B$2-B1707,X1707)</f>
        <v>35</v>
      </c>
      <c r="Z1707" t="str">
        <f t="shared" si="291"/>
        <v>STALE</v>
      </c>
      <c r="AA1707" t="str">
        <f t="shared" si="292"/>
        <v>2026-07</v>
      </c>
      <c r="AB1707" t="str">
        <f t="shared" si="293"/>
        <v/>
      </c>
      <c r="AC1707" t="str">
        <f t="shared" si="294"/>
        <v>Q3-2026</v>
      </c>
      <c r="AD1707" s="5">
        <f t="shared" si="295"/>
        <v>43</v>
      </c>
      <c r="AE1707" t="str">
        <f t="shared" si="296"/>
        <v>Pipeline</v>
      </c>
    </row>
    <row r="1708" spans="1:31">
      <c r="A1708" t="s">
        <v>1810</v>
      </c>
      <c r="B1708" s="1">
        <v>45850</v>
      </c>
      <c r="C1708" t="s">
        <v>148</v>
      </c>
      <c r="D1708" t="s">
        <v>43</v>
      </c>
      <c r="E1708" t="s">
        <v>146</v>
      </c>
      <c r="F1708" t="s">
        <v>67</v>
      </c>
      <c r="G1708" t="s">
        <v>112</v>
      </c>
      <c r="H1708" t="s">
        <v>53</v>
      </c>
      <c r="I1708" t="s">
        <v>61</v>
      </c>
      <c r="J1708" s="1">
        <v>45877</v>
      </c>
      <c r="K1708" s="1">
        <v>45877</v>
      </c>
      <c r="L1708" s="3">
        <v>73500</v>
      </c>
      <c r="M1708" s="4">
        <v>0</v>
      </c>
      <c r="N1708" s="4">
        <v>0</v>
      </c>
      <c r="O1708" t="s">
        <v>79</v>
      </c>
      <c r="P1708">
        <v>2</v>
      </c>
      <c r="Q1708" t="str">
        <f>IFERROR(VLOOKUP(E1708,Lookups!$A$5:$B$24,2,FALSE),"Other")</f>
        <v>LinkedIn</v>
      </c>
      <c r="R1708" t="str">
        <f>IFERROR(VLOOKUP(F1708,Lookups!$D$5:$F$10,2,FALSE),"Unknown Product")</f>
        <v>Revenue Operations Suite</v>
      </c>
      <c r="S1708" t="str">
        <f>IFERROR(VLOOKUP(F1708,Lookups!$D$5:$F$10,3,FALSE),"Unknown")</f>
        <v>Revenue Ops</v>
      </c>
      <c r="T1708" t="str">
        <f t="shared" si="286"/>
        <v>Enterprise</v>
      </c>
      <c r="U1708" t="str">
        <f t="shared" si="287"/>
        <v>Lost</v>
      </c>
      <c r="V1708" s="3">
        <f t="shared" si="288"/>
        <v>0</v>
      </c>
      <c r="W1708" s="3">
        <f t="shared" si="289"/>
        <v>0</v>
      </c>
      <c r="X1708" s="5">
        <f t="shared" si="290"/>
        <v>27</v>
      </c>
      <c r="Y1708" s="5">
        <f>IF(U1708="Open",Lookups!$B$2-B1708,X1708)</f>
        <v>27</v>
      </c>
      <c r="Z1708" t="str">
        <f t="shared" si="291"/>
        <v>OK</v>
      </c>
      <c r="AA1708" t="str">
        <f t="shared" si="292"/>
        <v>2025-07</v>
      </c>
      <c r="AB1708" t="str">
        <f t="shared" si="293"/>
        <v>2025-08</v>
      </c>
      <c r="AC1708" t="str">
        <f t="shared" si="294"/>
        <v>Q3-2025</v>
      </c>
      <c r="AD1708" s="5">
        <f t="shared" si="295"/>
        <v>71</v>
      </c>
      <c r="AE1708" t="str">
        <f t="shared" si="296"/>
        <v>Lost</v>
      </c>
    </row>
    <row r="1709" spans="1:31">
      <c r="A1709" t="s">
        <v>1811</v>
      </c>
      <c r="B1709" s="1">
        <v>46060</v>
      </c>
      <c r="C1709" t="s">
        <v>56</v>
      </c>
      <c r="D1709" t="s">
        <v>57</v>
      </c>
      <c r="E1709" t="s">
        <v>96</v>
      </c>
      <c r="F1709" t="s">
        <v>67</v>
      </c>
      <c r="G1709" t="s">
        <v>60</v>
      </c>
      <c r="H1709" t="s">
        <v>53</v>
      </c>
      <c r="I1709" t="s">
        <v>48</v>
      </c>
      <c r="J1709" s="1">
        <v>46219</v>
      </c>
      <c r="K1709" s="1"/>
      <c r="L1709" s="3">
        <v>69100</v>
      </c>
      <c r="M1709" s="4">
        <v>0.03</v>
      </c>
      <c r="N1709" s="4">
        <v>0.85</v>
      </c>
      <c r="P1709">
        <v>5</v>
      </c>
      <c r="Q1709" t="str">
        <f>IFERROR(VLOOKUP(E1709,Lookups!$A$5:$B$24,2,FALSE),"Other")</f>
        <v>LinkedIn</v>
      </c>
      <c r="R1709" t="str">
        <f>IFERROR(VLOOKUP(F1709,Lookups!$D$5:$F$10,2,FALSE),"Unknown Product")</f>
        <v>Revenue Operations Suite</v>
      </c>
      <c r="S1709" t="str">
        <f>IFERROR(VLOOKUP(F1709,Lookups!$D$5:$F$10,3,FALSE),"Unknown")</f>
        <v>Revenue Ops</v>
      </c>
      <c r="T1709" t="str">
        <f t="shared" si="286"/>
        <v>Enterprise</v>
      </c>
      <c r="U1709" t="str">
        <f t="shared" si="287"/>
        <v>Open</v>
      </c>
      <c r="V1709" s="3">
        <f t="shared" si="288"/>
        <v>0</v>
      </c>
      <c r="W1709" s="3">
        <f t="shared" si="289"/>
        <v>58735</v>
      </c>
      <c r="X1709" s="5" t="str">
        <f t="shared" si="290"/>
        <v/>
      </c>
      <c r="Y1709" s="5">
        <f>IF(U1709="Open",Lookups!$B$2-B1709,X1709)</f>
        <v>206</v>
      </c>
      <c r="Z1709" t="str">
        <f t="shared" si="291"/>
        <v>STALE</v>
      </c>
      <c r="AA1709" t="str">
        <f t="shared" si="292"/>
        <v>2026-02</v>
      </c>
      <c r="AB1709" t="str">
        <f t="shared" si="293"/>
        <v/>
      </c>
      <c r="AC1709" t="str">
        <f t="shared" si="294"/>
        <v>Q1-2026</v>
      </c>
      <c r="AD1709" s="5">
        <f t="shared" si="295"/>
        <v>66</v>
      </c>
      <c r="AE1709" t="str">
        <f t="shared" si="296"/>
        <v>Commit</v>
      </c>
    </row>
    <row r="1710" spans="1:31">
      <c r="A1710" t="s">
        <v>1812</v>
      </c>
      <c r="B1710" s="1">
        <v>45846</v>
      </c>
      <c r="C1710" t="s">
        <v>42</v>
      </c>
      <c r="D1710" t="s">
        <v>43</v>
      </c>
      <c r="E1710" t="s">
        <v>58</v>
      </c>
      <c r="F1710" t="s">
        <v>133</v>
      </c>
      <c r="G1710" t="s">
        <v>112</v>
      </c>
      <c r="H1710" t="s">
        <v>84</v>
      </c>
      <c r="I1710" t="s">
        <v>77</v>
      </c>
      <c r="J1710" s="1">
        <v>45909</v>
      </c>
      <c r="K1710" s="1">
        <v>45909</v>
      </c>
      <c r="L1710" s="3">
        <v>48700</v>
      </c>
      <c r="M1710" s="4">
        <v>0.08</v>
      </c>
      <c r="N1710" s="4">
        <v>1</v>
      </c>
      <c r="P1710">
        <v>6</v>
      </c>
      <c r="Q1710" t="str">
        <f>IFERROR(VLOOKUP(E1710,Lookups!$A$5:$B$24,2,FALSE),"Other")</f>
        <v>Email</v>
      </c>
      <c r="R1710" t="str">
        <f>IFERROR(VLOOKUP(F1710,Lookups!$D$5:$F$10,2,FALSE),"Unknown Product")</f>
        <v>Analytics Plus</v>
      </c>
      <c r="S1710" t="str">
        <f>IFERROR(VLOOKUP(F1710,Lookups!$D$5:$F$10,3,FALSE),"Unknown")</f>
        <v>Analytics</v>
      </c>
      <c r="T1710" t="str">
        <f t="shared" si="286"/>
        <v>Mid-Market</v>
      </c>
      <c r="U1710" t="str">
        <f t="shared" si="287"/>
        <v>Won</v>
      </c>
      <c r="V1710" s="3">
        <f t="shared" si="288"/>
        <v>44804</v>
      </c>
      <c r="W1710" s="3">
        <f t="shared" si="289"/>
        <v>0</v>
      </c>
      <c r="X1710" s="5">
        <f t="shared" si="290"/>
        <v>63</v>
      </c>
      <c r="Y1710" s="5">
        <f>IF(U1710="Open",Lookups!$B$2-B1710,X1710)</f>
        <v>63</v>
      </c>
      <c r="Z1710" t="str">
        <f t="shared" si="291"/>
        <v>OK</v>
      </c>
      <c r="AA1710" t="str">
        <f t="shared" si="292"/>
        <v>2025-07</v>
      </c>
      <c r="AB1710" t="str">
        <f t="shared" si="293"/>
        <v>2025-09</v>
      </c>
      <c r="AC1710" t="str">
        <f t="shared" si="294"/>
        <v>Q3-2025</v>
      </c>
      <c r="AD1710" s="5">
        <f t="shared" si="295"/>
        <v>76</v>
      </c>
      <c r="AE1710" t="str">
        <f t="shared" si="296"/>
        <v>Won</v>
      </c>
    </row>
    <row r="1711" spans="1:31">
      <c r="A1711" t="s">
        <v>1813</v>
      </c>
      <c r="B1711" s="1">
        <v>45897</v>
      </c>
      <c r="C1711" t="s">
        <v>86</v>
      </c>
      <c r="D1711" t="s">
        <v>87</v>
      </c>
      <c r="E1711" t="s">
        <v>109</v>
      </c>
      <c r="F1711" t="s">
        <v>133</v>
      </c>
      <c r="G1711" t="s">
        <v>60</v>
      </c>
      <c r="H1711" t="s">
        <v>84</v>
      </c>
      <c r="I1711" t="s">
        <v>61</v>
      </c>
      <c r="J1711" s="1">
        <v>45967</v>
      </c>
      <c r="K1711" s="1">
        <v>45967</v>
      </c>
      <c r="L1711" s="3">
        <v>75600</v>
      </c>
      <c r="M1711" s="4">
        <v>0</v>
      </c>
      <c r="N1711" s="4">
        <v>0</v>
      </c>
      <c r="O1711" t="s">
        <v>102</v>
      </c>
      <c r="P1711">
        <v>5</v>
      </c>
      <c r="Q1711" t="str">
        <f>IFERROR(VLOOKUP(E1711,Lookups!$A$5:$B$24,2,FALSE),"Other")</f>
        <v>Outbound</v>
      </c>
      <c r="R1711" t="str">
        <f>IFERROR(VLOOKUP(F1711,Lookups!$D$5:$F$10,2,FALSE),"Unknown Product")</f>
        <v>Analytics Plus</v>
      </c>
      <c r="S1711" t="str">
        <f>IFERROR(VLOOKUP(F1711,Lookups!$D$5:$F$10,3,FALSE),"Unknown")</f>
        <v>Analytics</v>
      </c>
      <c r="T1711" t="str">
        <f t="shared" si="286"/>
        <v>Enterprise</v>
      </c>
      <c r="U1711" t="str">
        <f t="shared" si="287"/>
        <v>Lost</v>
      </c>
      <c r="V1711" s="3">
        <f t="shared" si="288"/>
        <v>0</v>
      </c>
      <c r="W1711" s="3">
        <f t="shared" si="289"/>
        <v>0</v>
      </c>
      <c r="X1711" s="5">
        <f t="shared" si="290"/>
        <v>70</v>
      </c>
      <c r="Y1711" s="5">
        <f>IF(U1711="Open",Lookups!$B$2-B1711,X1711)</f>
        <v>70</v>
      </c>
      <c r="Z1711" t="str">
        <f t="shared" si="291"/>
        <v>OK</v>
      </c>
      <c r="AA1711" t="str">
        <f t="shared" si="292"/>
        <v>2025-08</v>
      </c>
      <c r="AB1711" t="str">
        <f t="shared" si="293"/>
        <v>2025-11</v>
      </c>
      <c r="AC1711" t="str">
        <f t="shared" si="294"/>
        <v>Q3-2025</v>
      </c>
      <c r="AD1711" s="5">
        <f t="shared" si="295"/>
        <v>74</v>
      </c>
      <c r="AE1711" t="str">
        <f t="shared" si="296"/>
        <v>Lost</v>
      </c>
    </row>
    <row r="1712" spans="1:31">
      <c r="A1712" t="s">
        <v>1814</v>
      </c>
      <c r="B1712" s="1">
        <v>46194</v>
      </c>
      <c r="C1712" t="s">
        <v>56</v>
      </c>
      <c r="D1712" t="s">
        <v>57</v>
      </c>
      <c r="E1712" t="s">
        <v>65</v>
      </c>
      <c r="F1712" t="s">
        <v>52</v>
      </c>
      <c r="G1712" t="s">
        <v>76</v>
      </c>
      <c r="H1712" t="s">
        <v>84</v>
      </c>
      <c r="I1712" t="s">
        <v>61</v>
      </c>
      <c r="J1712" s="1">
        <v>46202</v>
      </c>
      <c r="K1712" s="1">
        <v>46202</v>
      </c>
      <c r="L1712" s="3">
        <v>22000</v>
      </c>
      <c r="M1712" s="4">
        <v>0</v>
      </c>
      <c r="N1712" s="4">
        <v>0</v>
      </c>
      <c r="O1712" t="s">
        <v>79</v>
      </c>
      <c r="P1712">
        <v>2</v>
      </c>
      <c r="Q1712" t="str">
        <f>IFERROR(VLOOKUP(E1712,Lookups!$A$5:$B$24,2,FALSE),"Other")</f>
        <v>Paid Search</v>
      </c>
      <c r="R1712" t="str">
        <f>IFERROR(VLOOKUP(F1712,Lookups!$D$5:$F$10,2,FALSE),"Unknown Product")</f>
        <v>NexaCRM Core</v>
      </c>
      <c r="S1712" t="str">
        <f>IFERROR(VLOOKUP(F1712,Lookups!$D$5:$F$10,3,FALSE),"Unknown")</f>
        <v>CRM</v>
      </c>
      <c r="T1712" t="str">
        <f t="shared" si="286"/>
        <v>Mid-Market</v>
      </c>
      <c r="U1712" t="str">
        <f t="shared" si="287"/>
        <v>Lost</v>
      </c>
      <c r="V1712" s="3">
        <f t="shared" si="288"/>
        <v>0</v>
      </c>
      <c r="W1712" s="3">
        <f t="shared" si="289"/>
        <v>0</v>
      </c>
      <c r="X1712" s="5">
        <f t="shared" si="290"/>
        <v>8</v>
      </c>
      <c r="Y1712" s="5">
        <f>IF(U1712="Open",Lookups!$B$2-B1712,X1712)</f>
        <v>8</v>
      </c>
      <c r="Z1712" t="str">
        <f t="shared" si="291"/>
        <v>OK</v>
      </c>
      <c r="AA1712" t="str">
        <f t="shared" si="292"/>
        <v>2026-06</v>
      </c>
      <c r="AB1712" t="str">
        <f t="shared" si="293"/>
        <v>2026-06</v>
      </c>
      <c r="AC1712" t="str">
        <f t="shared" si="294"/>
        <v>Q2-2026</v>
      </c>
      <c r="AD1712" s="5">
        <f t="shared" si="295"/>
        <v>67</v>
      </c>
      <c r="AE1712" t="str">
        <f t="shared" si="296"/>
        <v>Lost</v>
      </c>
    </row>
    <row r="1713" spans="1:31">
      <c r="A1713" t="s">
        <v>1815</v>
      </c>
      <c r="B1713" s="1">
        <v>45743</v>
      </c>
      <c r="C1713" t="s">
        <v>69</v>
      </c>
      <c r="D1713" t="s">
        <v>57</v>
      </c>
      <c r="E1713" t="s">
        <v>65</v>
      </c>
      <c r="F1713" t="s">
        <v>45</v>
      </c>
      <c r="G1713" t="s">
        <v>46</v>
      </c>
      <c r="H1713" t="s">
        <v>53</v>
      </c>
      <c r="I1713" t="s">
        <v>61</v>
      </c>
      <c r="J1713" s="1">
        <v>45769</v>
      </c>
      <c r="K1713" s="1">
        <v>45769</v>
      </c>
      <c r="L1713" s="3">
        <v>28700</v>
      </c>
      <c r="M1713" s="4">
        <v>0</v>
      </c>
      <c r="N1713" s="4">
        <v>0</v>
      </c>
      <c r="O1713" t="s">
        <v>81</v>
      </c>
      <c r="P1713">
        <v>5</v>
      </c>
      <c r="Q1713" t="str">
        <f>IFERROR(VLOOKUP(E1713,Lookups!$A$5:$B$24,2,FALSE),"Other")</f>
        <v>Paid Search</v>
      </c>
      <c r="R1713" t="str">
        <f>IFERROR(VLOOKUP(F1713,Lookups!$D$5:$F$10,2,FALSE),"Unknown Product")</f>
        <v>Service Cloud</v>
      </c>
      <c r="S1713" t="str">
        <f>IFERROR(VLOOKUP(F1713,Lookups!$D$5:$F$10,3,FALSE),"Unknown")</f>
        <v>Customer Service</v>
      </c>
      <c r="T1713" t="str">
        <f t="shared" si="286"/>
        <v>Mid-Market</v>
      </c>
      <c r="U1713" t="str">
        <f t="shared" si="287"/>
        <v>Lost</v>
      </c>
      <c r="V1713" s="3">
        <f t="shared" si="288"/>
        <v>0</v>
      </c>
      <c r="W1713" s="3">
        <f t="shared" si="289"/>
        <v>0</v>
      </c>
      <c r="X1713" s="5">
        <f t="shared" si="290"/>
        <v>26</v>
      </c>
      <c r="Y1713" s="5">
        <f>IF(U1713="Open",Lookups!$B$2-B1713,X1713)</f>
        <v>26</v>
      </c>
      <c r="Z1713" t="str">
        <f t="shared" si="291"/>
        <v>OK</v>
      </c>
      <c r="AA1713" t="str">
        <f t="shared" si="292"/>
        <v>2025-03</v>
      </c>
      <c r="AB1713" t="str">
        <f t="shared" si="293"/>
        <v>2025-04</v>
      </c>
      <c r="AC1713" t="str">
        <f t="shared" si="294"/>
        <v>Q1-2025</v>
      </c>
      <c r="AD1713" s="5">
        <f t="shared" si="295"/>
        <v>59</v>
      </c>
      <c r="AE1713" t="str">
        <f t="shared" si="296"/>
        <v>Lost</v>
      </c>
    </row>
    <row r="1714" spans="1:31">
      <c r="A1714" t="s">
        <v>1816</v>
      </c>
      <c r="B1714" s="1">
        <v>45841</v>
      </c>
      <c r="C1714" t="s">
        <v>148</v>
      </c>
      <c r="D1714" t="s">
        <v>43</v>
      </c>
      <c r="E1714" t="s">
        <v>166</v>
      </c>
      <c r="F1714" t="s">
        <v>52</v>
      </c>
      <c r="G1714" t="s">
        <v>60</v>
      </c>
      <c r="H1714" t="s">
        <v>53</v>
      </c>
      <c r="I1714" t="s">
        <v>61</v>
      </c>
      <c r="J1714" s="1">
        <v>45875</v>
      </c>
      <c r="K1714" s="1">
        <v>45875</v>
      </c>
      <c r="L1714" s="3">
        <v>15300</v>
      </c>
      <c r="M1714" s="4">
        <v>0</v>
      </c>
      <c r="N1714" s="4">
        <v>0</v>
      </c>
      <c r="O1714" t="s">
        <v>116</v>
      </c>
      <c r="P1714">
        <v>5</v>
      </c>
      <c r="Q1714" t="str">
        <f>IFERROR(VLOOKUP(E1714,Lookups!$A$5:$B$24,2,FALSE),"Other")</f>
        <v>Referral</v>
      </c>
      <c r="R1714" t="str">
        <f>IFERROR(VLOOKUP(F1714,Lookups!$D$5:$F$10,2,FALSE),"Unknown Product")</f>
        <v>NexaCRM Core</v>
      </c>
      <c r="S1714" t="str">
        <f>IFERROR(VLOOKUP(F1714,Lookups!$D$5:$F$10,3,FALSE),"Unknown")</f>
        <v>CRM</v>
      </c>
      <c r="T1714" t="str">
        <f t="shared" si="286"/>
        <v>SMB</v>
      </c>
      <c r="U1714" t="str">
        <f t="shared" si="287"/>
        <v>Lost</v>
      </c>
      <c r="V1714" s="3">
        <f t="shared" si="288"/>
        <v>0</v>
      </c>
      <c r="W1714" s="3">
        <f t="shared" si="289"/>
        <v>0</v>
      </c>
      <c r="X1714" s="5">
        <f t="shared" si="290"/>
        <v>34</v>
      </c>
      <c r="Y1714" s="5">
        <f>IF(U1714="Open",Lookups!$B$2-B1714,X1714)</f>
        <v>34</v>
      </c>
      <c r="Z1714" t="str">
        <f t="shared" si="291"/>
        <v>OK</v>
      </c>
      <c r="AA1714" t="str">
        <f t="shared" si="292"/>
        <v>2025-07</v>
      </c>
      <c r="AB1714" t="str">
        <f t="shared" si="293"/>
        <v>2025-08</v>
      </c>
      <c r="AC1714" t="str">
        <f t="shared" si="294"/>
        <v>Q3-2025</v>
      </c>
      <c r="AD1714" s="5">
        <f t="shared" si="295"/>
        <v>62</v>
      </c>
      <c r="AE1714" t="str">
        <f t="shared" si="296"/>
        <v>Lost</v>
      </c>
    </row>
    <row r="1715" spans="1:31">
      <c r="A1715" t="s">
        <v>1817</v>
      </c>
      <c r="B1715" s="1">
        <v>46178</v>
      </c>
      <c r="C1715" t="s">
        <v>148</v>
      </c>
      <c r="D1715" t="s">
        <v>43</v>
      </c>
      <c r="E1715" t="s">
        <v>127</v>
      </c>
      <c r="F1715" t="s">
        <v>52</v>
      </c>
      <c r="G1715" t="s">
        <v>76</v>
      </c>
      <c r="H1715" t="s">
        <v>47</v>
      </c>
      <c r="I1715" t="s">
        <v>61</v>
      </c>
      <c r="J1715" s="1">
        <v>46228</v>
      </c>
      <c r="K1715" s="1">
        <v>46228</v>
      </c>
      <c r="L1715" s="3">
        <v>10000</v>
      </c>
      <c r="M1715" s="4">
        <v>0</v>
      </c>
      <c r="N1715" s="4">
        <v>0</v>
      </c>
      <c r="O1715" t="s">
        <v>110</v>
      </c>
      <c r="P1715">
        <v>5</v>
      </c>
      <c r="Q1715" t="str">
        <f>IFERROR(VLOOKUP(E1715,Lookups!$A$5:$B$24,2,FALSE),"Other")</f>
        <v>Paid Search</v>
      </c>
      <c r="R1715" t="str">
        <f>IFERROR(VLOOKUP(F1715,Lookups!$D$5:$F$10,2,FALSE),"Unknown Product")</f>
        <v>NexaCRM Core</v>
      </c>
      <c r="S1715" t="str">
        <f>IFERROR(VLOOKUP(F1715,Lookups!$D$5:$F$10,3,FALSE),"Unknown")</f>
        <v>CRM</v>
      </c>
      <c r="T1715" t="str">
        <f t="shared" si="286"/>
        <v>SMB</v>
      </c>
      <c r="U1715" t="str">
        <f t="shared" si="287"/>
        <v>Lost</v>
      </c>
      <c r="V1715" s="3">
        <f t="shared" si="288"/>
        <v>0</v>
      </c>
      <c r="W1715" s="3">
        <f t="shared" si="289"/>
        <v>0</v>
      </c>
      <c r="X1715" s="5">
        <f t="shared" si="290"/>
        <v>50</v>
      </c>
      <c r="Y1715" s="5">
        <f>IF(U1715="Open",Lookups!$B$2-B1715,X1715)</f>
        <v>50</v>
      </c>
      <c r="Z1715" t="str">
        <f t="shared" si="291"/>
        <v>OK</v>
      </c>
      <c r="AA1715" t="str">
        <f t="shared" si="292"/>
        <v>2026-06</v>
      </c>
      <c r="AB1715" t="str">
        <f t="shared" si="293"/>
        <v>2026-07</v>
      </c>
      <c r="AC1715" t="str">
        <f t="shared" si="294"/>
        <v>Q2-2026</v>
      </c>
      <c r="AD1715" s="5">
        <f t="shared" si="295"/>
        <v>43</v>
      </c>
      <c r="AE1715" t="str">
        <f t="shared" si="296"/>
        <v>Lost</v>
      </c>
    </row>
    <row r="1716" spans="1:31">
      <c r="A1716" t="s">
        <v>1818</v>
      </c>
      <c r="B1716" s="1">
        <v>45843</v>
      </c>
      <c r="C1716" t="s">
        <v>86</v>
      </c>
      <c r="D1716" t="s">
        <v>87</v>
      </c>
      <c r="E1716" t="s">
        <v>44</v>
      </c>
      <c r="F1716" t="s">
        <v>71</v>
      </c>
      <c r="G1716" t="s">
        <v>99</v>
      </c>
      <c r="H1716" t="s">
        <v>47</v>
      </c>
      <c r="I1716" t="s">
        <v>61</v>
      </c>
      <c r="J1716" s="1">
        <v>45881</v>
      </c>
      <c r="K1716" s="1">
        <v>45881</v>
      </c>
      <c r="L1716" s="3">
        <v>18500</v>
      </c>
      <c r="M1716" s="4">
        <v>0</v>
      </c>
      <c r="N1716" s="4">
        <v>0</v>
      </c>
      <c r="O1716" t="s">
        <v>81</v>
      </c>
      <c r="P1716">
        <v>2</v>
      </c>
      <c r="Q1716" t="str">
        <f>IFERROR(VLOOKUP(E1716,Lookups!$A$5:$B$24,2,FALSE),"Other")</f>
        <v>Organic Search</v>
      </c>
      <c r="R1716" t="str">
        <f>IFERROR(VLOOKUP(F1716,Lookups!$D$5:$F$10,2,FALSE),"Unknown Product")</f>
        <v>Marketing Automation</v>
      </c>
      <c r="S1716" t="str">
        <f>IFERROR(VLOOKUP(F1716,Lookups!$D$5:$F$10,3,FALSE),"Unknown")</f>
        <v>Marketing</v>
      </c>
      <c r="T1716" t="str">
        <f t="shared" si="286"/>
        <v>SMB</v>
      </c>
      <c r="U1716" t="str">
        <f t="shared" si="287"/>
        <v>Lost</v>
      </c>
      <c r="V1716" s="3">
        <f t="shared" si="288"/>
        <v>0</v>
      </c>
      <c r="W1716" s="3">
        <f t="shared" si="289"/>
        <v>0</v>
      </c>
      <c r="X1716" s="5">
        <f t="shared" si="290"/>
        <v>38</v>
      </c>
      <c r="Y1716" s="5">
        <f>IF(U1716="Open",Lookups!$B$2-B1716,X1716)</f>
        <v>38</v>
      </c>
      <c r="Z1716" t="str">
        <f t="shared" si="291"/>
        <v>OK</v>
      </c>
      <c r="AA1716" t="str">
        <f t="shared" si="292"/>
        <v>2025-07</v>
      </c>
      <c r="AB1716" t="str">
        <f t="shared" si="293"/>
        <v>2025-08</v>
      </c>
      <c r="AC1716" t="str">
        <f t="shared" si="294"/>
        <v>Q3-2025</v>
      </c>
      <c r="AD1716" s="5">
        <f t="shared" si="295"/>
        <v>49</v>
      </c>
      <c r="AE1716" t="str">
        <f t="shared" si="296"/>
        <v>Lost</v>
      </c>
    </row>
    <row r="1717" spans="1:31">
      <c r="A1717" t="s">
        <v>1819</v>
      </c>
      <c r="B1717" s="1">
        <v>46201</v>
      </c>
      <c r="C1717" t="s">
        <v>148</v>
      </c>
      <c r="D1717" t="s">
        <v>43</v>
      </c>
      <c r="E1717" t="s">
        <v>96</v>
      </c>
      <c r="F1717" t="s">
        <v>52</v>
      </c>
      <c r="G1717" t="s">
        <v>112</v>
      </c>
      <c r="H1717" t="s">
        <v>47</v>
      </c>
      <c r="I1717" t="s">
        <v>105</v>
      </c>
      <c r="J1717" s="1">
        <v>46242</v>
      </c>
      <c r="K1717" s="1"/>
      <c r="L1717" s="3">
        <v>9900</v>
      </c>
      <c r="M1717" s="4">
        <v>0.03</v>
      </c>
      <c r="N1717" s="4">
        <v>0.4</v>
      </c>
      <c r="P1717">
        <v>3</v>
      </c>
      <c r="Q1717" t="str">
        <f>IFERROR(VLOOKUP(E1717,Lookups!$A$5:$B$24,2,FALSE),"Other")</f>
        <v>LinkedIn</v>
      </c>
      <c r="R1717" t="str">
        <f>IFERROR(VLOOKUP(F1717,Lookups!$D$5:$F$10,2,FALSE),"Unknown Product")</f>
        <v>NexaCRM Core</v>
      </c>
      <c r="S1717" t="str">
        <f>IFERROR(VLOOKUP(F1717,Lookups!$D$5:$F$10,3,FALSE),"Unknown")</f>
        <v>CRM</v>
      </c>
      <c r="T1717" t="str">
        <f t="shared" si="286"/>
        <v>SMB</v>
      </c>
      <c r="U1717" t="str">
        <f t="shared" si="287"/>
        <v>Open</v>
      </c>
      <c r="V1717" s="3">
        <f t="shared" si="288"/>
        <v>0</v>
      </c>
      <c r="W1717" s="3">
        <f t="shared" si="289"/>
        <v>3960</v>
      </c>
      <c r="X1717" s="5" t="str">
        <f t="shared" si="290"/>
        <v/>
      </c>
      <c r="Y1717" s="5">
        <f>IF(U1717="Open",Lookups!$B$2-B1717,X1717)</f>
        <v>65</v>
      </c>
      <c r="Z1717" t="str">
        <f t="shared" si="291"/>
        <v>STALE</v>
      </c>
      <c r="AA1717" t="str">
        <f t="shared" si="292"/>
        <v>2026-06</v>
      </c>
      <c r="AB1717" t="str">
        <f t="shared" si="293"/>
        <v/>
      </c>
      <c r="AC1717" t="str">
        <f t="shared" si="294"/>
        <v>Q2-2026</v>
      </c>
      <c r="AD1717" s="5">
        <f t="shared" si="295"/>
        <v>48</v>
      </c>
      <c r="AE1717" t="str">
        <f t="shared" si="296"/>
        <v>Pipeline</v>
      </c>
    </row>
    <row r="1718" spans="1:31">
      <c r="A1718" t="s">
        <v>1820</v>
      </c>
      <c r="B1718" s="1">
        <v>45709</v>
      </c>
      <c r="C1718" t="s">
        <v>148</v>
      </c>
      <c r="D1718" t="s">
        <v>43</v>
      </c>
      <c r="E1718" t="s">
        <v>75</v>
      </c>
      <c r="F1718" t="s">
        <v>52</v>
      </c>
      <c r="G1718" t="s">
        <v>60</v>
      </c>
      <c r="H1718" t="s">
        <v>84</v>
      </c>
      <c r="I1718" t="s">
        <v>61</v>
      </c>
      <c r="J1718" s="1">
        <v>45752</v>
      </c>
      <c r="K1718" s="1">
        <v>45752</v>
      </c>
      <c r="L1718" s="3">
        <v>22500</v>
      </c>
      <c r="M1718" s="4">
        <v>0</v>
      </c>
      <c r="N1718" s="4">
        <v>0</v>
      </c>
      <c r="O1718" t="s">
        <v>116</v>
      </c>
      <c r="P1718">
        <v>4</v>
      </c>
      <c r="Q1718" t="str">
        <f>IFERROR(VLOOKUP(E1718,Lookups!$A$5:$B$24,2,FALSE),"Other")</f>
        <v>Webinar</v>
      </c>
      <c r="R1718" t="str">
        <f>IFERROR(VLOOKUP(F1718,Lookups!$D$5:$F$10,2,FALSE),"Unknown Product")</f>
        <v>NexaCRM Core</v>
      </c>
      <c r="S1718" t="str">
        <f>IFERROR(VLOOKUP(F1718,Lookups!$D$5:$F$10,3,FALSE),"Unknown")</f>
        <v>CRM</v>
      </c>
      <c r="T1718" t="str">
        <f t="shared" si="286"/>
        <v>Mid-Market</v>
      </c>
      <c r="U1718" t="str">
        <f t="shared" si="287"/>
        <v>Lost</v>
      </c>
      <c r="V1718" s="3">
        <f t="shared" si="288"/>
        <v>0</v>
      </c>
      <c r="W1718" s="3">
        <f t="shared" si="289"/>
        <v>0</v>
      </c>
      <c r="X1718" s="5">
        <f t="shared" si="290"/>
        <v>43</v>
      </c>
      <c r="Y1718" s="5">
        <f>IF(U1718="Open",Lookups!$B$2-B1718,X1718)</f>
        <v>43</v>
      </c>
      <c r="Z1718" t="str">
        <f t="shared" si="291"/>
        <v>OK</v>
      </c>
      <c r="AA1718" t="str">
        <f t="shared" si="292"/>
        <v>2025-02</v>
      </c>
      <c r="AB1718" t="str">
        <f t="shared" si="293"/>
        <v>2025-04</v>
      </c>
      <c r="AC1718" t="str">
        <f t="shared" si="294"/>
        <v>Q1-2025</v>
      </c>
      <c r="AD1718" s="5">
        <f t="shared" si="295"/>
        <v>67</v>
      </c>
      <c r="AE1718" t="str">
        <f t="shared" si="296"/>
        <v>Lost</v>
      </c>
    </row>
    <row r="1719" spans="1:31">
      <c r="A1719" t="s">
        <v>1821</v>
      </c>
      <c r="B1719" s="1">
        <v>46050</v>
      </c>
      <c r="C1719" t="s">
        <v>56</v>
      </c>
      <c r="D1719" t="s">
        <v>57</v>
      </c>
      <c r="E1719" t="s">
        <v>98</v>
      </c>
      <c r="F1719" t="s">
        <v>52</v>
      </c>
      <c r="G1719" t="s">
        <v>76</v>
      </c>
      <c r="H1719" t="s">
        <v>53</v>
      </c>
      <c r="I1719" t="s">
        <v>61</v>
      </c>
      <c r="J1719" s="1">
        <v>46120</v>
      </c>
      <c r="K1719" s="1">
        <v>46120</v>
      </c>
      <c r="L1719" s="3">
        <v>17100</v>
      </c>
      <c r="M1719" s="4">
        <v>0</v>
      </c>
      <c r="N1719" s="4">
        <v>0</v>
      </c>
      <c r="O1719" t="s">
        <v>81</v>
      </c>
      <c r="P1719">
        <v>2</v>
      </c>
      <c r="Q1719" t="str">
        <f>IFERROR(VLOOKUP(E1719,Lookups!$A$5:$B$24,2,FALSE),"Other")</f>
        <v>Outbound</v>
      </c>
      <c r="R1719" t="str">
        <f>IFERROR(VLOOKUP(F1719,Lookups!$D$5:$F$10,2,FALSE),"Unknown Product")</f>
        <v>NexaCRM Core</v>
      </c>
      <c r="S1719" t="str">
        <f>IFERROR(VLOOKUP(F1719,Lookups!$D$5:$F$10,3,FALSE),"Unknown")</f>
        <v>CRM</v>
      </c>
      <c r="T1719" t="str">
        <f t="shared" si="286"/>
        <v>SMB</v>
      </c>
      <c r="U1719" t="str">
        <f t="shared" si="287"/>
        <v>Lost</v>
      </c>
      <c r="V1719" s="3">
        <f t="shared" si="288"/>
        <v>0</v>
      </c>
      <c r="W1719" s="3">
        <f t="shared" si="289"/>
        <v>0</v>
      </c>
      <c r="X1719" s="5">
        <f t="shared" si="290"/>
        <v>70</v>
      </c>
      <c r="Y1719" s="5">
        <f>IF(U1719="Open",Lookups!$B$2-B1719,X1719)</f>
        <v>70</v>
      </c>
      <c r="Z1719" t="str">
        <f t="shared" si="291"/>
        <v>OK</v>
      </c>
      <c r="AA1719" t="str">
        <f t="shared" si="292"/>
        <v>2026-01</v>
      </c>
      <c r="AB1719" t="str">
        <f t="shared" si="293"/>
        <v>2026-04</v>
      </c>
      <c r="AC1719" t="str">
        <f t="shared" si="294"/>
        <v>Q1-2026</v>
      </c>
      <c r="AD1719" s="5">
        <f t="shared" si="295"/>
        <v>51</v>
      </c>
      <c r="AE1719" t="str">
        <f t="shared" si="296"/>
        <v>Lost</v>
      </c>
    </row>
    <row r="1720" spans="1:31">
      <c r="A1720" t="s">
        <v>1822</v>
      </c>
      <c r="B1720" s="1">
        <v>45861</v>
      </c>
      <c r="C1720" t="s">
        <v>86</v>
      </c>
      <c r="D1720" t="s">
        <v>87</v>
      </c>
      <c r="E1720" t="s">
        <v>83</v>
      </c>
      <c r="F1720" t="s">
        <v>59</v>
      </c>
      <c r="G1720" t="s">
        <v>76</v>
      </c>
      <c r="H1720" t="s">
        <v>53</v>
      </c>
      <c r="I1720" t="s">
        <v>61</v>
      </c>
      <c r="J1720" s="1">
        <v>45923</v>
      </c>
      <c r="K1720" s="1">
        <v>45923</v>
      </c>
      <c r="L1720" s="3">
        <v>35900</v>
      </c>
      <c r="M1720" s="4">
        <v>0</v>
      </c>
      <c r="N1720" s="4">
        <v>0</v>
      </c>
      <c r="O1720" t="s">
        <v>79</v>
      </c>
      <c r="P1720">
        <v>5</v>
      </c>
      <c r="Q1720" t="str">
        <f>IFERROR(VLOOKUP(E1720,Lookups!$A$5:$B$24,2,FALSE),"Other")</f>
        <v>Organic Search</v>
      </c>
      <c r="R1720" t="str">
        <f>IFERROR(VLOOKUP(F1720,Lookups!$D$5:$F$10,2,FALSE),"Unknown Product")</f>
        <v>NexaCRM Pro</v>
      </c>
      <c r="S1720" t="str">
        <f>IFERROR(VLOOKUP(F1720,Lookups!$D$5:$F$10,3,FALSE),"Unknown")</f>
        <v>CRM</v>
      </c>
      <c r="T1720" t="str">
        <f t="shared" si="286"/>
        <v>Mid-Market</v>
      </c>
      <c r="U1720" t="str">
        <f t="shared" si="287"/>
        <v>Lost</v>
      </c>
      <c r="V1720" s="3">
        <f t="shared" si="288"/>
        <v>0</v>
      </c>
      <c r="W1720" s="3">
        <f t="shared" si="289"/>
        <v>0</v>
      </c>
      <c r="X1720" s="5">
        <f t="shared" si="290"/>
        <v>62</v>
      </c>
      <c r="Y1720" s="5">
        <f>IF(U1720="Open",Lookups!$B$2-B1720,X1720)</f>
        <v>62</v>
      </c>
      <c r="Z1720" t="str">
        <f t="shared" si="291"/>
        <v>OK</v>
      </c>
      <c r="AA1720" t="str">
        <f t="shared" si="292"/>
        <v>2025-07</v>
      </c>
      <c r="AB1720" t="str">
        <f t="shared" si="293"/>
        <v>2025-09</v>
      </c>
      <c r="AC1720" t="str">
        <f t="shared" si="294"/>
        <v>Q3-2025</v>
      </c>
      <c r="AD1720" s="5">
        <f t="shared" si="295"/>
        <v>65</v>
      </c>
      <c r="AE1720" t="str">
        <f t="shared" si="296"/>
        <v>Lost</v>
      </c>
    </row>
    <row r="1721" spans="1:31">
      <c r="A1721" t="s">
        <v>1823</v>
      </c>
      <c r="B1721" s="1">
        <v>46019</v>
      </c>
      <c r="C1721" t="s">
        <v>69</v>
      </c>
      <c r="D1721" t="s">
        <v>57</v>
      </c>
      <c r="E1721" t="s">
        <v>127</v>
      </c>
      <c r="F1721" t="s">
        <v>45</v>
      </c>
      <c r="G1721" t="s">
        <v>72</v>
      </c>
      <c r="H1721" t="s">
        <v>53</v>
      </c>
      <c r="I1721" t="s">
        <v>61</v>
      </c>
      <c r="J1721" s="1">
        <v>46063</v>
      </c>
      <c r="K1721" s="1">
        <v>46063</v>
      </c>
      <c r="L1721" s="3">
        <v>44500</v>
      </c>
      <c r="M1721" s="4">
        <v>0</v>
      </c>
      <c r="N1721" s="4">
        <v>0</v>
      </c>
      <c r="O1721" t="s">
        <v>116</v>
      </c>
      <c r="P1721">
        <v>5</v>
      </c>
      <c r="Q1721" t="str">
        <f>IFERROR(VLOOKUP(E1721,Lookups!$A$5:$B$24,2,FALSE),"Other")</f>
        <v>Paid Search</v>
      </c>
      <c r="R1721" t="str">
        <f>IFERROR(VLOOKUP(F1721,Lookups!$D$5:$F$10,2,FALSE),"Unknown Product")</f>
        <v>Service Cloud</v>
      </c>
      <c r="S1721" t="str">
        <f>IFERROR(VLOOKUP(F1721,Lookups!$D$5:$F$10,3,FALSE),"Unknown")</f>
        <v>Customer Service</v>
      </c>
      <c r="T1721" t="str">
        <f t="shared" si="286"/>
        <v>Mid-Market</v>
      </c>
      <c r="U1721" t="str">
        <f t="shared" si="287"/>
        <v>Lost</v>
      </c>
      <c r="V1721" s="3">
        <f t="shared" si="288"/>
        <v>0</v>
      </c>
      <c r="W1721" s="3">
        <f t="shared" si="289"/>
        <v>0</v>
      </c>
      <c r="X1721" s="5">
        <f t="shared" si="290"/>
        <v>44</v>
      </c>
      <c r="Y1721" s="5">
        <f>IF(U1721="Open",Lookups!$B$2-B1721,X1721)</f>
        <v>44</v>
      </c>
      <c r="Z1721" t="str">
        <f t="shared" si="291"/>
        <v>OK</v>
      </c>
      <c r="AA1721" t="str">
        <f t="shared" si="292"/>
        <v>2025-12</v>
      </c>
      <c r="AB1721" t="str">
        <f t="shared" si="293"/>
        <v>2026-02</v>
      </c>
      <c r="AC1721" t="str">
        <f t="shared" si="294"/>
        <v>Q4-2025</v>
      </c>
      <c r="AD1721" s="5">
        <f t="shared" si="295"/>
        <v>59</v>
      </c>
      <c r="AE1721" t="str">
        <f t="shared" si="296"/>
        <v>Lost</v>
      </c>
    </row>
    <row r="1722" spans="1:31">
      <c r="A1722" t="s">
        <v>1824</v>
      </c>
      <c r="B1722" s="1">
        <v>46019</v>
      </c>
      <c r="C1722" t="s">
        <v>50</v>
      </c>
      <c r="D1722" t="s">
        <v>43</v>
      </c>
      <c r="E1722" t="s">
        <v>83</v>
      </c>
      <c r="F1722" t="s">
        <v>52</v>
      </c>
      <c r="G1722" t="s">
        <v>112</v>
      </c>
      <c r="H1722" t="s">
        <v>53</v>
      </c>
      <c r="I1722" t="s">
        <v>61</v>
      </c>
      <c r="J1722" s="1">
        <v>46055</v>
      </c>
      <c r="K1722" s="1">
        <v>46055</v>
      </c>
      <c r="L1722" s="3">
        <v>18400</v>
      </c>
      <c r="M1722" s="4">
        <v>0</v>
      </c>
      <c r="N1722" s="4">
        <v>0</v>
      </c>
      <c r="O1722" t="s">
        <v>81</v>
      </c>
      <c r="P1722">
        <v>3</v>
      </c>
      <c r="Q1722" t="str">
        <f>IFERROR(VLOOKUP(E1722,Lookups!$A$5:$B$24,2,FALSE),"Other")</f>
        <v>Organic Search</v>
      </c>
      <c r="R1722" t="str">
        <f>IFERROR(VLOOKUP(F1722,Lookups!$D$5:$F$10,2,FALSE),"Unknown Product")</f>
        <v>NexaCRM Core</v>
      </c>
      <c r="S1722" t="str">
        <f>IFERROR(VLOOKUP(F1722,Lookups!$D$5:$F$10,3,FALSE),"Unknown")</f>
        <v>CRM</v>
      </c>
      <c r="T1722" t="str">
        <f t="shared" si="286"/>
        <v>SMB</v>
      </c>
      <c r="U1722" t="str">
        <f t="shared" si="287"/>
        <v>Lost</v>
      </c>
      <c r="V1722" s="3">
        <f t="shared" si="288"/>
        <v>0</v>
      </c>
      <c r="W1722" s="3">
        <f t="shared" si="289"/>
        <v>0</v>
      </c>
      <c r="X1722" s="5">
        <f t="shared" si="290"/>
        <v>36</v>
      </c>
      <c r="Y1722" s="5">
        <f>IF(U1722="Open",Lookups!$B$2-B1722,X1722)</f>
        <v>36</v>
      </c>
      <c r="Z1722" t="str">
        <f t="shared" si="291"/>
        <v>OK</v>
      </c>
      <c r="AA1722" t="str">
        <f t="shared" si="292"/>
        <v>2025-12</v>
      </c>
      <c r="AB1722" t="str">
        <f t="shared" si="293"/>
        <v>2026-02</v>
      </c>
      <c r="AC1722" t="str">
        <f t="shared" si="294"/>
        <v>Q4-2025</v>
      </c>
      <c r="AD1722" s="5">
        <f t="shared" si="295"/>
        <v>62</v>
      </c>
      <c r="AE1722" t="str">
        <f t="shared" si="296"/>
        <v>Lost</v>
      </c>
    </row>
    <row r="1723" spans="1:31">
      <c r="A1723" t="s">
        <v>1825</v>
      </c>
      <c r="B1723" s="1">
        <v>45747</v>
      </c>
      <c r="C1723" t="s">
        <v>50</v>
      </c>
      <c r="D1723" t="s">
        <v>43</v>
      </c>
      <c r="E1723" t="s">
        <v>160</v>
      </c>
      <c r="F1723" t="s">
        <v>45</v>
      </c>
      <c r="G1723" t="s">
        <v>76</v>
      </c>
      <c r="H1723" t="s">
        <v>47</v>
      </c>
      <c r="I1723" t="s">
        <v>77</v>
      </c>
      <c r="J1723" s="1">
        <v>45778</v>
      </c>
      <c r="K1723" s="1">
        <v>45778</v>
      </c>
      <c r="L1723" s="3">
        <v>25900</v>
      </c>
      <c r="M1723" s="4">
        <v>0.08</v>
      </c>
      <c r="N1723" s="4">
        <v>1</v>
      </c>
      <c r="P1723">
        <v>6</v>
      </c>
      <c r="Q1723" t="str">
        <f>IFERROR(VLOOKUP(E1723,Lookups!$A$5:$B$24,2,FALSE),"Other")</f>
        <v>Email</v>
      </c>
      <c r="R1723" t="str">
        <f>IFERROR(VLOOKUP(F1723,Lookups!$D$5:$F$10,2,FALSE),"Unknown Product")</f>
        <v>Service Cloud</v>
      </c>
      <c r="S1723" t="str">
        <f>IFERROR(VLOOKUP(F1723,Lookups!$D$5:$F$10,3,FALSE),"Unknown")</f>
        <v>Customer Service</v>
      </c>
      <c r="T1723" t="str">
        <f t="shared" si="286"/>
        <v>Mid-Market</v>
      </c>
      <c r="U1723" t="str">
        <f t="shared" si="287"/>
        <v>Won</v>
      </c>
      <c r="V1723" s="3">
        <f t="shared" si="288"/>
        <v>23828</v>
      </c>
      <c r="W1723" s="3">
        <f t="shared" si="289"/>
        <v>0</v>
      </c>
      <c r="X1723" s="5">
        <f t="shared" si="290"/>
        <v>31</v>
      </c>
      <c r="Y1723" s="5">
        <f>IF(U1723="Open",Lookups!$B$2-B1723,X1723)</f>
        <v>31</v>
      </c>
      <c r="Z1723" t="str">
        <f t="shared" si="291"/>
        <v>OK</v>
      </c>
      <c r="AA1723" t="str">
        <f t="shared" si="292"/>
        <v>2025-03</v>
      </c>
      <c r="AB1723" t="str">
        <f t="shared" si="293"/>
        <v>2025-05</v>
      </c>
      <c r="AC1723" t="str">
        <f t="shared" si="294"/>
        <v>Q1-2025</v>
      </c>
      <c r="AD1723" s="5">
        <f t="shared" si="295"/>
        <v>55</v>
      </c>
      <c r="AE1723" t="str">
        <f t="shared" si="296"/>
        <v>Won</v>
      </c>
    </row>
    <row r="1724" spans="1:31">
      <c r="A1724" t="s">
        <v>1826</v>
      </c>
      <c r="B1724" s="1">
        <v>45839</v>
      </c>
      <c r="C1724" t="s">
        <v>148</v>
      </c>
      <c r="D1724" t="s">
        <v>43</v>
      </c>
      <c r="E1724" t="s">
        <v>146</v>
      </c>
      <c r="F1724" t="s">
        <v>59</v>
      </c>
      <c r="G1724" t="s">
        <v>94</v>
      </c>
      <c r="H1724" t="s">
        <v>53</v>
      </c>
      <c r="I1724" t="s">
        <v>61</v>
      </c>
      <c r="J1724" s="1">
        <v>45888</v>
      </c>
      <c r="K1724" s="1">
        <v>45888</v>
      </c>
      <c r="L1724" s="3">
        <v>34700</v>
      </c>
      <c r="M1724" s="4">
        <v>0</v>
      </c>
      <c r="N1724" s="4">
        <v>0</v>
      </c>
      <c r="O1724" t="s">
        <v>102</v>
      </c>
      <c r="P1724">
        <v>4</v>
      </c>
      <c r="Q1724" t="str">
        <f>IFERROR(VLOOKUP(E1724,Lookups!$A$5:$B$24,2,FALSE),"Other")</f>
        <v>LinkedIn</v>
      </c>
      <c r="R1724" t="str">
        <f>IFERROR(VLOOKUP(F1724,Lookups!$D$5:$F$10,2,FALSE),"Unknown Product")</f>
        <v>NexaCRM Pro</v>
      </c>
      <c r="S1724" t="str">
        <f>IFERROR(VLOOKUP(F1724,Lookups!$D$5:$F$10,3,FALSE),"Unknown")</f>
        <v>CRM</v>
      </c>
      <c r="T1724" t="str">
        <f t="shared" si="286"/>
        <v>Mid-Market</v>
      </c>
      <c r="U1724" t="str">
        <f t="shared" si="287"/>
        <v>Lost</v>
      </c>
      <c r="V1724" s="3">
        <f t="shared" si="288"/>
        <v>0</v>
      </c>
      <c r="W1724" s="3">
        <f t="shared" si="289"/>
        <v>0</v>
      </c>
      <c r="X1724" s="5">
        <f t="shared" si="290"/>
        <v>49</v>
      </c>
      <c r="Y1724" s="5">
        <f>IF(U1724="Open",Lookups!$B$2-B1724,X1724)</f>
        <v>49</v>
      </c>
      <c r="Z1724" t="str">
        <f t="shared" si="291"/>
        <v>OK</v>
      </c>
      <c r="AA1724" t="str">
        <f t="shared" si="292"/>
        <v>2025-07</v>
      </c>
      <c r="AB1724" t="str">
        <f t="shared" si="293"/>
        <v>2025-08</v>
      </c>
      <c r="AC1724" t="str">
        <f t="shared" si="294"/>
        <v>Q3-2025</v>
      </c>
      <c r="AD1724" s="5">
        <f t="shared" si="295"/>
        <v>59</v>
      </c>
      <c r="AE1724" t="str">
        <f t="shared" si="296"/>
        <v>Lost</v>
      </c>
    </row>
    <row r="1725" spans="1:31">
      <c r="A1725" t="s">
        <v>1827</v>
      </c>
      <c r="B1725" s="1">
        <v>46230</v>
      </c>
      <c r="C1725" t="s">
        <v>50</v>
      </c>
      <c r="D1725" t="s">
        <v>43</v>
      </c>
      <c r="E1725" t="s">
        <v>166</v>
      </c>
      <c r="F1725" t="s">
        <v>59</v>
      </c>
      <c r="G1725" t="s">
        <v>94</v>
      </c>
      <c r="H1725" t="s">
        <v>53</v>
      </c>
      <c r="I1725" t="s">
        <v>105</v>
      </c>
      <c r="J1725" s="1">
        <v>46253</v>
      </c>
      <c r="K1725" s="1"/>
      <c r="L1725" s="3">
        <v>30000</v>
      </c>
      <c r="M1725" s="4">
        <v>0</v>
      </c>
      <c r="N1725" s="4">
        <v>0.4</v>
      </c>
      <c r="P1725">
        <v>3</v>
      </c>
      <c r="Q1725" t="str">
        <f>IFERROR(VLOOKUP(E1725,Lookups!$A$5:$B$24,2,FALSE),"Other")</f>
        <v>Referral</v>
      </c>
      <c r="R1725" t="str">
        <f>IFERROR(VLOOKUP(F1725,Lookups!$D$5:$F$10,2,FALSE),"Unknown Product")</f>
        <v>NexaCRM Pro</v>
      </c>
      <c r="S1725" t="str">
        <f>IFERROR(VLOOKUP(F1725,Lookups!$D$5:$F$10,3,FALSE),"Unknown")</f>
        <v>CRM</v>
      </c>
      <c r="T1725" t="str">
        <f t="shared" si="286"/>
        <v>Mid-Market</v>
      </c>
      <c r="U1725" t="str">
        <f t="shared" si="287"/>
        <v>Open</v>
      </c>
      <c r="V1725" s="3">
        <f t="shared" si="288"/>
        <v>0</v>
      </c>
      <c r="W1725" s="3">
        <f t="shared" si="289"/>
        <v>12000</v>
      </c>
      <c r="X1725" s="5" t="str">
        <f t="shared" si="290"/>
        <v/>
      </c>
      <c r="Y1725" s="5">
        <f>IF(U1725="Open",Lookups!$B$2-B1725,X1725)</f>
        <v>36</v>
      </c>
      <c r="Z1725" t="str">
        <f t="shared" si="291"/>
        <v>STALE</v>
      </c>
      <c r="AA1725" t="str">
        <f t="shared" si="292"/>
        <v>2026-07</v>
      </c>
      <c r="AB1725" t="str">
        <f t="shared" si="293"/>
        <v/>
      </c>
      <c r="AC1725" t="str">
        <f t="shared" si="294"/>
        <v>Q3-2026</v>
      </c>
      <c r="AD1725" s="5">
        <f t="shared" si="295"/>
        <v>70</v>
      </c>
      <c r="AE1725" t="str">
        <f t="shared" si="296"/>
        <v>Pipeline</v>
      </c>
    </row>
    <row r="1726" spans="1:31">
      <c r="A1726" t="s">
        <v>1828</v>
      </c>
      <c r="B1726" s="1">
        <v>45739</v>
      </c>
      <c r="C1726" t="s">
        <v>69</v>
      </c>
      <c r="D1726" t="s">
        <v>57</v>
      </c>
      <c r="E1726" t="s">
        <v>138</v>
      </c>
      <c r="F1726" t="s">
        <v>52</v>
      </c>
      <c r="G1726" t="s">
        <v>60</v>
      </c>
      <c r="H1726" t="s">
        <v>47</v>
      </c>
      <c r="I1726" t="s">
        <v>61</v>
      </c>
      <c r="J1726" s="1">
        <v>45767</v>
      </c>
      <c r="K1726" s="1">
        <v>45767</v>
      </c>
      <c r="L1726" s="3">
        <v>8700</v>
      </c>
      <c r="M1726" s="4">
        <v>0</v>
      </c>
      <c r="N1726" s="4">
        <v>0</v>
      </c>
      <c r="O1726" t="s">
        <v>102</v>
      </c>
      <c r="P1726">
        <v>4</v>
      </c>
      <c r="Q1726" t="str">
        <f>IFERROR(VLOOKUP(E1726,Lookups!$A$5:$B$24,2,FALSE),"Other")</f>
        <v>Organic Search</v>
      </c>
      <c r="R1726" t="str">
        <f>IFERROR(VLOOKUP(F1726,Lookups!$D$5:$F$10,2,FALSE),"Unknown Product")</f>
        <v>NexaCRM Core</v>
      </c>
      <c r="S1726" t="str">
        <f>IFERROR(VLOOKUP(F1726,Lookups!$D$5:$F$10,3,FALSE),"Unknown")</f>
        <v>CRM</v>
      </c>
      <c r="T1726" t="str">
        <f t="shared" si="286"/>
        <v>SMB</v>
      </c>
      <c r="U1726" t="str">
        <f t="shared" si="287"/>
        <v>Lost</v>
      </c>
      <c r="V1726" s="3">
        <f t="shared" si="288"/>
        <v>0</v>
      </c>
      <c r="W1726" s="3">
        <f t="shared" si="289"/>
        <v>0</v>
      </c>
      <c r="X1726" s="5">
        <f t="shared" si="290"/>
        <v>28</v>
      </c>
      <c r="Y1726" s="5">
        <f>IF(U1726="Open",Lookups!$B$2-B1726,X1726)</f>
        <v>28</v>
      </c>
      <c r="Z1726" t="str">
        <f t="shared" si="291"/>
        <v>OK</v>
      </c>
      <c r="AA1726" t="str">
        <f t="shared" si="292"/>
        <v>2025-03</v>
      </c>
      <c r="AB1726" t="str">
        <f t="shared" si="293"/>
        <v>2025-04</v>
      </c>
      <c r="AC1726" t="str">
        <f t="shared" si="294"/>
        <v>Q1-2025</v>
      </c>
      <c r="AD1726" s="5">
        <f t="shared" si="295"/>
        <v>49</v>
      </c>
      <c r="AE1726" t="str">
        <f t="shared" si="296"/>
        <v>Lost</v>
      </c>
    </row>
    <row r="1727" spans="1:31">
      <c r="A1727" t="s">
        <v>1829</v>
      </c>
      <c r="B1727" s="1">
        <v>46157</v>
      </c>
      <c r="C1727" t="s">
        <v>64</v>
      </c>
      <c r="D1727" t="s">
        <v>57</v>
      </c>
      <c r="E1727" t="s">
        <v>92</v>
      </c>
      <c r="F1727" t="s">
        <v>59</v>
      </c>
      <c r="G1727" t="s">
        <v>60</v>
      </c>
      <c r="H1727" t="s">
        <v>53</v>
      </c>
      <c r="I1727" t="s">
        <v>54</v>
      </c>
      <c r="J1727" s="1">
        <v>46206</v>
      </c>
      <c r="K1727" s="1"/>
      <c r="L1727" s="3">
        <v>35700</v>
      </c>
      <c r="M1727" s="4">
        <v>0</v>
      </c>
      <c r="N1727" s="4">
        <v>0.65</v>
      </c>
      <c r="P1727">
        <v>4</v>
      </c>
      <c r="Q1727" t="str">
        <f>IFERROR(VLOOKUP(E1727,Lookups!$A$5:$B$24,2,FALSE),"Other")</f>
        <v>Webinar</v>
      </c>
      <c r="R1727" t="str">
        <f>IFERROR(VLOOKUP(F1727,Lookups!$D$5:$F$10,2,FALSE),"Unknown Product")</f>
        <v>NexaCRM Pro</v>
      </c>
      <c r="S1727" t="str">
        <f>IFERROR(VLOOKUP(F1727,Lookups!$D$5:$F$10,3,FALSE),"Unknown")</f>
        <v>CRM</v>
      </c>
      <c r="T1727" t="str">
        <f t="shared" si="286"/>
        <v>Mid-Market</v>
      </c>
      <c r="U1727" t="str">
        <f t="shared" si="287"/>
        <v>Open</v>
      </c>
      <c r="V1727" s="3">
        <f t="shared" si="288"/>
        <v>0</v>
      </c>
      <c r="W1727" s="3">
        <f t="shared" si="289"/>
        <v>23205</v>
      </c>
      <c r="X1727" s="5" t="str">
        <f t="shared" si="290"/>
        <v/>
      </c>
      <c r="Y1727" s="5">
        <f>IF(U1727="Open",Lookups!$B$2-B1727,X1727)</f>
        <v>109</v>
      </c>
      <c r="Z1727" t="str">
        <f t="shared" si="291"/>
        <v>STALE</v>
      </c>
      <c r="AA1727" t="str">
        <f t="shared" si="292"/>
        <v>2026-05</v>
      </c>
      <c r="AB1727" t="str">
        <f t="shared" si="293"/>
        <v/>
      </c>
      <c r="AC1727" t="str">
        <f t="shared" si="294"/>
        <v>Q2-2026</v>
      </c>
      <c r="AD1727" s="5">
        <f t="shared" si="295"/>
        <v>59</v>
      </c>
      <c r="AE1727" t="str">
        <f t="shared" si="296"/>
        <v>Best Case</v>
      </c>
    </row>
    <row r="1728" spans="1:31">
      <c r="A1728" t="s">
        <v>1830</v>
      </c>
      <c r="B1728" s="1">
        <v>46232</v>
      </c>
      <c r="C1728" t="s">
        <v>50</v>
      </c>
      <c r="D1728" t="s">
        <v>43</v>
      </c>
      <c r="E1728" t="s">
        <v>160</v>
      </c>
      <c r="F1728" t="s">
        <v>133</v>
      </c>
      <c r="G1728" t="s">
        <v>72</v>
      </c>
      <c r="H1728" t="s">
        <v>84</v>
      </c>
      <c r="I1728" t="s">
        <v>77</v>
      </c>
      <c r="J1728" s="1">
        <v>46266</v>
      </c>
      <c r="K1728" s="1">
        <v>46266</v>
      </c>
      <c r="L1728" s="3">
        <v>95200</v>
      </c>
      <c r="M1728" s="4">
        <v>0.1</v>
      </c>
      <c r="N1728" s="4">
        <v>1</v>
      </c>
      <c r="P1728">
        <v>6</v>
      </c>
      <c r="Q1728" t="str">
        <f>IFERROR(VLOOKUP(E1728,Lookups!$A$5:$B$24,2,FALSE),"Other")</f>
        <v>Email</v>
      </c>
      <c r="R1728" t="str">
        <f>IFERROR(VLOOKUP(F1728,Lookups!$D$5:$F$10,2,FALSE),"Unknown Product")</f>
        <v>Analytics Plus</v>
      </c>
      <c r="S1728" t="str">
        <f>IFERROR(VLOOKUP(F1728,Lookups!$D$5:$F$10,3,FALSE),"Unknown")</f>
        <v>Analytics</v>
      </c>
      <c r="T1728" t="str">
        <f t="shared" si="286"/>
        <v>Enterprise</v>
      </c>
      <c r="U1728" t="str">
        <f t="shared" si="287"/>
        <v>Won</v>
      </c>
      <c r="V1728" s="3">
        <f t="shared" si="288"/>
        <v>85680</v>
      </c>
      <c r="W1728" s="3">
        <f t="shared" si="289"/>
        <v>0</v>
      </c>
      <c r="X1728" s="5">
        <f t="shared" si="290"/>
        <v>34</v>
      </c>
      <c r="Y1728" s="5">
        <f>IF(U1728="Open",Lookups!$B$2-B1728,X1728)</f>
        <v>34</v>
      </c>
      <c r="Z1728" t="str">
        <f t="shared" si="291"/>
        <v>OK</v>
      </c>
      <c r="AA1728" t="str">
        <f t="shared" si="292"/>
        <v>2026-07</v>
      </c>
      <c r="AB1728" t="str">
        <f t="shared" si="293"/>
        <v>2026-09</v>
      </c>
      <c r="AC1728" t="str">
        <f t="shared" si="294"/>
        <v>Q3-2026</v>
      </c>
      <c r="AD1728" s="5">
        <f t="shared" si="295"/>
        <v>78</v>
      </c>
      <c r="AE1728" t="str">
        <f t="shared" si="296"/>
        <v>Won</v>
      </c>
    </row>
    <row r="1729" spans="1:31">
      <c r="A1729" t="s">
        <v>1831</v>
      </c>
      <c r="B1729" s="1">
        <v>45784</v>
      </c>
      <c r="C1729" t="s">
        <v>56</v>
      </c>
      <c r="D1729" t="s">
        <v>57</v>
      </c>
      <c r="E1729" t="s">
        <v>65</v>
      </c>
      <c r="F1729" t="s">
        <v>45</v>
      </c>
      <c r="G1729" t="s">
        <v>94</v>
      </c>
      <c r="H1729" t="s">
        <v>47</v>
      </c>
      <c r="I1729" t="s">
        <v>61</v>
      </c>
      <c r="J1729" s="1">
        <v>45843</v>
      </c>
      <c r="K1729" s="1">
        <v>45843</v>
      </c>
      <c r="L1729" s="3">
        <v>26800</v>
      </c>
      <c r="M1729" s="4">
        <v>0</v>
      </c>
      <c r="N1729" s="4">
        <v>0</v>
      </c>
      <c r="O1729" t="s">
        <v>79</v>
      </c>
      <c r="P1729">
        <v>4</v>
      </c>
      <c r="Q1729" t="str">
        <f>IFERROR(VLOOKUP(E1729,Lookups!$A$5:$B$24,2,FALSE),"Other")</f>
        <v>Paid Search</v>
      </c>
      <c r="R1729" t="str">
        <f>IFERROR(VLOOKUP(F1729,Lookups!$D$5:$F$10,2,FALSE),"Unknown Product")</f>
        <v>Service Cloud</v>
      </c>
      <c r="S1729" t="str">
        <f>IFERROR(VLOOKUP(F1729,Lookups!$D$5:$F$10,3,FALSE),"Unknown")</f>
        <v>Customer Service</v>
      </c>
      <c r="T1729" t="str">
        <f t="shared" si="286"/>
        <v>Mid-Market</v>
      </c>
      <c r="U1729" t="str">
        <f t="shared" si="287"/>
        <v>Lost</v>
      </c>
      <c r="V1729" s="3">
        <f t="shared" si="288"/>
        <v>0</v>
      </c>
      <c r="W1729" s="3">
        <f t="shared" si="289"/>
        <v>0</v>
      </c>
      <c r="X1729" s="5">
        <f t="shared" si="290"/>
        <v>59</v>
      </c>
      <c r="Y1729" s="5">
        <f>IF(U1729="Open",Lookups!$B$2-B1729,X1729)</f>
        <v>59</v>
      </c>
      <c r="Z1729" t="str">
        <f t="shared" si="291"/>
        <v>OK</v>
      </c>
      <c r="AA1729" t="str">
        <f t="shared" si="292"/>
        <v>2025-05</v>
      </c>
      <c r="AB1729" t="str">
        <f t="shared" si="293"/>
        <v>2025-07</v>
      </c>
      <c r="AC1729" t="str">
        <f t="shared" si="294"/>
        <v>Q2-2025</v>
      </c>
      <c r="AD1729" s="5">
        <f t="shared" si="295"/>
        <v>51</v>
      </c>
      <c r="AE1729" t="str">
        <f t="shared" si="296"/>
        <v>Lost</v>
      </c>
    </row>
    <row r="1730" spans="1:31">
      <c r="A1730" t="s">
        <v>1832</v>
      </c>
      <c r="B1730" s="1">
        <v>46106</v>
      </c>
      <c r="C1730" t="s">
        <v>90</v>
      </c>
      <c r="D1730" t="s">
        <v>57</v>
      </c>
      <c r="E1730" t="s">
        <v>88</v>
      </c>
      <c r="F1730" t="s">
        <v>71</v>
      </c>
      <c r="G1730" t="s">
        <v>72</v>
      </c>
      <c r="H1730" t="s">
        <v>47</v>
      </c>
      <c r="I1730" t="s">
        <v>77</v>
      </c>
      <c r="J1730" s="1">
        <v>46152</v>
      </c>
      <c r="K1730" s="1">
        <v>46152</v>
      </c>
      <c r="L1730" s="3">
        <v>16300</v>
      </c>
      <c r="M1730" s="4">
        <v>0.08</v>
      </c>
      <c r="N1730" s="4">
        <v>1</v>
      </c>
      <c r="P1730">
        <v>6</v>
      </c>
      <c r="Q1730" t="str">
        <f>IFERROR(VLOOKUP(E1730,Lookups!$A$5:$B$24,2,FALSE),"Other")</f>
        <v>Other</v>
      </c>
      <c r="R1730" t="str">
        <f>IFERROR(VLOOKUP(F1730,Lookups!$D$5:$F$10,2,FALSE),"Unknown Product")</f>
        <v>Marketing Automation</v>
      </c>
      <c r="S1730" t="str">
        <f>IFERROR(VLOOKUP(F1730,Lookups!$D$5:$F$10,3,FALSE),"Unknown")</f>
        <v>Marketing</v>
      </c>
      <c r="T1730" t="str">
        <f t="shared" ref="T1730:T1793" si="297">IF(L1730&gt;=50000,"Enterprise",IF(L1730&gt;=20000,"Mid-Market","SMB"))</f>
        <v>SMB</v>
      </c>
      <c r="U1730" t="str">
        <f t="shared" ref="U1730:U1793" si="298">IF(I1730="Closed Won","Won",IF(I1730="Closed Lost","Lost","Open"))</f>
        <v>Won</v>
      </c>
      <c r="V1730" s="3">
        <f t="shared" ref="V1730:V1793" si="299">IF(U1730="Won",L1730*(1-M1730),0)</f>
        <v>14996</v>
      </c>
      <c r="W1730" s="3">
        <f t="shared" ref="W1730:W1793" si="300">IF(U1730="Open",L1730*N1730,0)</f>
        <v>0</v>
      </c>
      <c r="X1730" s="5">
        <f t="shared" ref="X1730:X1793" si="301">IF(U1730="Open","",IFERROR(K1730-B1730,""))</f>
        <v>46</v>
      </c>
      <c r="Y1730" s="5">
        <f>IF(U1730="Open",Lookups!$B$2-B1730,X1730)</f>
        <v>46</v>
      </c>
      <c r="Z1730" t="str">
        <f t="shared" ref="Z1730:Z1793" si="302">IF(AND(U1730="Open",Y1730&gt;30),"STALE","OK")</f>
        <v>OK</v>
      </c>
      <c r="AA1730" t="str">
        <f t="shared" ref="AA1730:AA1793" si="303">TEXT(B1730,"yyyy-mm")</f>
        <v>2026-03</v>
      </c>
      <c r="AB1730" t="str">
        <f t="shared" ref="AB1730:AB1793" si="304">IF(K1730="","",TEXT(K1730,"yyyy-mm"))</f>
        <v>2026-05</v>
      </c>
      <c r="AC1730" t="str">
        <f t="shared" ref="AC1730:AC1793" si="305">"Q"&amp;ROUNDUP(MONTH(B1730)/3,0)&amp;"-"&amp;YEAR(B1730)</f>
        <v>Q1-2026</v>
      </c>
      <c r="AD1730" s="5">
        <f t="shared" ref="AD1730:AD1793" si="306">MIN(100,IF(H1730="Enterprise",30,IF(H1730="Mid-Market",22,14))+IF(T1730="Enterprise",25,IF(T1730="Mid-Market",18,10))+IF(Q1730="Referral",25,IF(Q1730="Organic Search",20,IF(Q1730="Email",18,14)))+IF(G1730="Technology",10,5))</f>
        <v>43</v>
      </c>
      <c r="AE1730" t="str">
        <f t="shared" ref="AE1730:AE1793" si="307">IF(U1730&lt;&gt;"Open",U1730,IF(N1730&gt;=0.8,"Commit",IF(N1730&gt;=0.5,"Best Case","Pipeline")))</f>
        <v>Won</v>
      </c>
    </row>
    <row r="1731" spans="1:31">
      <c r="A1731" t="s">
        <v>1833</v>
      </c>
      <c r="B1731" s="1">
        <v>46064</v>
      </c>
      <c r="C1731" t="s">
        <v>56</v>
      </c>
      <c r="D1731" t="s">
        <v>57</v>
      </c>
      <c r="E1731" t="s">
        <v>58</v>
      </c>
      <c r="F1731" t="s">
        <v>67</v>
      </c>
      <c r="G1731" t="s">
        <v>94</v>
      </c>
      <c r="H1731" t="s">
        <v>53</v>
      </c>
      <c r="I1731" t="s">
        <v>48</v>
      </c>
      <c r="J1731" s="1">
        <v>46187</v>
      </c>
      <c r="K1731" s="1"/>
      <c r="L1731" s="3">
        <v>85900</v>
      </c>
      <c r="M1731" s="4">
        <v>0.05</v>
      </c>
      <c r="N1731" s="4">
        <v>0.85</v>
      </c>
      <c r="P1731">
        <v>5</v>
      </c>
      <c r="Q1731" t="str">
        <f>IFERROR(VLOOKUP(E1731,Lookups!$A$5:$B$24,2,FALSE),"Other")</f>
        <v>Email</v>
      </c>
      <c r="R1731" t="str">
        <f>IFERROR(VLOOKUP(F1731,Lookups!$D$5:$F$10,2,FALSE),"Unknown Product")</f>
        <v>Revenue Operations Suite</v>
      </c>
      <c r="S1731" t="str">
        <f>IFERROR(VLOOKUP(F1731,Lookups!$D$5:$F$10,3,FALSE),"Unknown")</f>
        <v>Revenue Ops</v>
      </c>
      <c r="T1731" t="str">
        <f t="shared" si="297"/>
        <v>Enterprise</v>
      </c>
      <c r="U1731" t="str">
        <f t="shared" si="298"/>
        <v>Open</v>
      </c>
      <c r="V1731" s="3">
        <f t="shared" si="299"/>
        <v>0</v>
      </c>
      <c r="W1731" s="3">
        <f t="shared" si="300"/>
        <v>73015</v>
      </c>
      <c r="X1731" s="5" t="str">
        <f t="shared" si="301"/>
        <v/>
      </c>
      <c r="Y1731" s="5">
        <f>IF(U1731="Open",Lookups!$B$2-B1731,X1731)</f>
        <v>202</v>
      </c>
      <c r="Z1731" t="str">
        <f t="shared" si="302"/>
        <v>STALE</v>
      </c>
      <c r="AA1731" t="str">
        <f t="shared" si="303"/>
        <v>2026-02</v>
      </c>
      <c r="AB1731" t="str">
        <f t="shared" si="304"/>
        <v/>
      </c>
      <c r="AC1731" t="str">
        <f t="shared" si="305"/>
        <v>Q1-2026</v>
      </c>
      <c r="AD1731" s="5">
        <f t="shared" si="306"/>
        <v>70</v>
      </c>
      <c r="AE1731" t="str">
        <f t="shared" si="307"/>
        <v>Commit</v>
      </c>
    </row>
    <row r="1732" spans="1:31">
      <c r="A1732" t="s">
        <v>1834</v>
      </c>
      <c r="B1732" s="1">
        <v>45884</v>
      </c>
      <c r="C1732" t="s">
        <v>148</v>
      </c>
      <c r="D1732" t="s">
        <v>43</v>
      </c>
      <c r="E1732" t="s">
        <v>160</v>
      </c>
      <c r="F1732" t="s">
        <v>67</v>
      </c>
      <c r="G1732" t="s">
        <v>94</v>
      </c>
      <c r="H1732" t="s">
        <v>47</v>
      </c>
      <c r="I1732" t="s">
        <v>61</v>
      </c>
      <c r="J1732" s="1">
        <v>45928</v>
      </c>
      <c r="K1732" s="1">
        <v>45928</v>
      </c>
      <c r="L1732" s="3">
        <v>23300</v>
      </c>
      <c r="M1732" s="4">
        <v>0</v>
      </c>
      <c r="N1732" s="4">
        <v>0</v>
      </c>
      <c r="O1732" t="s">
        <v>110</v>
      </c>
      <c r="P1732">
        <v>3</v>
      </c>
      <c r="Q1732" t="str">
        <f>IFERROR(VLOOKUP(E1732,Lookups!$A$5:$B$24,2,FALSE),"Other")</f>
        <v>Email</v>
      </c>
      <c r="R1732" t="str">
        <f>IFERROR(VLOOKUP(F1732,Lookups!$D$5:$F$10,2,FALSE),"Unknown Product")</f>
        <v>Revenue Operations Suite</v>
      </c>
      <c r="S1732" t="str">
        <f>IFERROR(VLOOKUP(F1732,Lookups!$D$5:$F$10,3,FALSE),"Unknown")</f>
        <v>Revenue Ops</v>
      </c>
      <c r="T1732" t="str">
        <f t="shared" si="297"/>
        <v>Mid-Market</v>
      </c>
      <c r="U1732" t="str">
        <f t="shared" si="298"/>
        <v>Lost</v>
      </c>
      <c r="V1732" s="3">
        <f t="shared" si="299"/>
        <v>0</v>
      </c>
      <c r="W1732" s="3">
        <f t="shared" si="300"/>
        <v>0</v>
      </c>
      <c r="X1732" s="5">
        <f t="shared" si="301"/>
        <v>44</v>
      </c>
      <c r="Y1732" s="5">
        <f>IF(U1732="Open",Lookups!$B$2-B1732,X1732)</f>
        <v>44</v>
      </c>
      <c r="Z1732" t="str">
        <f t="shared" si="302"/>
        <v>OK</v>
      </c>
      <c r="AA1732" t="str">
        <f t="shared" si="303"/>
        <v>2025-08</v>
      </c>
      <c r="AB1732" t="str">
        <f t="shared" si="304"/>
        <v>2025-09</v>
      </c>
      <c r="AC1732" t="str">
        <f t="shared" si="305"/>
        <v>Q3-2025</v>
      </c>
      <c r="AD1732" s="5">
        <f t="shared" si="306"/>
        <v>55</v>
      </c>
      <c r="AE1732" t="str">
        <f t="shared" si="307"/>
        <v>Lost</v>
      </c>
    </row>
    <row r="1733" spans="1:31">
      <c r="A1733" t="s">
        <v>1835</v>
      </c>
      <c r="B1733" s="1">
        <v>45922</v>
      </c>
      <c r="C1733" t="s">
        <v>148</v>
      </c>
      <c r="D1733" t="s">
        <v>43</v>
      </c>
      <c r="E1733" t="s">
        <v>51</v>
      </c>
      <c r="F1733" t="s">
        <v>67</v>
      </c>
      <c r="G1733" t="s">
        <v>76</v>
      </c>
      <c r="H1733" t="s">
        <v>53</v>
      </c>
      <c r="I1733" t="s">
        <v>61</v>
      </c>
      <c r="J1733" s="1">
        <v>45960</v>
      </c>
      <c r="K1733" s="1">
        <v>45960</v>
      </c>
      <c r="L1733" s="3">
        <v>43600</v>
      </c>
      <c r="M1733" s="4">
        <v>0</v>
      </c>
      <c r="N1733" s="4">
        <v>0</v>
      </c>
      <c r="O1733" t="s">
        <v>116</v>
      </c>
      <c r="P1733">
        <v>3</v>
      </c>
      <c r="Q1733" t="str">
        <f>IFERROR(VLOOKUP(E1733,Lookups!$A$5:$B$24,2,FALSE),"Other")</f>
        <v>Paid Search</v>
      </c>
      <c r="R1733" t="str">
        <f>IFERROR(VLOOKUP(F1733,Lookups!$D$5:$F$10,2,FALSE),"Unknown Product")</f>
        <v>Revenue Operations Suite</v>
      </c>
      <c r="S1733" t="str">
        <f>IFERROR(VLOOKUP(F1733,Lookups!$D$5:$F$10,3,FALSE),"Unknown")</f>
        <v>Revenue Ops</v>
      </c>
      <c r="T1733" t="str">
        <f t="shared" si="297"/>
        <v>Mid-Market</v>
      </c>
      <c r="U1733" t="str">
        <f t="shared" si="298"/>
        <v>Lost</v>
      </c>
      <c r="V1733" s="3">
        <f t="shared" si="299"/>
        <v>0</v>
      </c>
      <c r="W1733" s="3">
        <f t="shared" si="300"/>
        <v>0</v>
      </c>
      <c r="X1733" s="5">
        <f t="shared" si="301"/>
        <v>38</v>
      </c>
      <c r="Y1733" s="5">
        <f>IF(U1733="Open",Lookups!$B$2-B1733,X1733)</f>
        <v>38</v>
      </c>
      <c r="Z1733" t="str">
        <f t="shared" si="302"/>
        <v>OK</v>
      </c>
      <c r="AA1733" t="str">
        <f t="shared" si="303"/>
        <v>2025-09</v>
      </c>
      <c r="AB1733" t="str">
        <f t="shared" si="304"/>
        <v>2025-10</v>
      </c>
      <c r="AC1733" t="str">
        <f t="shared" si="305"/>
        <v>Q3-2025</v>
      </c>
      <c r="AD1733" s="5">
        <f t="shared" si="306"/>
        <v>59</v>
      </c>
      <c r="AE1733" t="str">
        <f t="shared" si="307"/>
        <v>Lost</v>
      </c>
    </row>
    <row r="1734" spans="1:31">
      <c r="A1734" t="s">
        <v>1836</v>
      </c>
      <c r="B1734" s="1">
        <v>46067</v>
      </c>
      <c r="C1734" t="s">
        <v>50</v>
      </c>
      <c r="D1734" t="s">
        <v>43</v>
      </c>
      <c r="E1734" t="s">
        <v>127</v>
      </c>
      <c r="F1734" t="s">
        <v>52</v>
      </c>
      <c r="G1734" t="s">
        <v>94</v>
      </c>
      <c r="H1734" t="s">
        <v>53</v>
      </c>
      <c r="I1734" t="s">
        <v>48</v>
      </c>
      <c r="J1734" s="1">
        <v>46171</v>
      </c>
      <c r="K1734" s="1"/>
      <c r="L1734" s="3">
        <v>8000</v>
      </c>
      <c r="M1734" s="4">
        <v>0.03</v>
      </c>
      <c r="N1734" s="4">
        <v>0.85</v>
      </c>
      <c r="P1734">
        <v>5</v>
      </c>
      <c r="Q1734" t="str">
        <f>IFERROR(VLOOKUP(E1734,Lookups!$A$5:$B$24,2,FALSE),"Other")</f>
        <v>Paid Search</v>
      </c>
      <c r="R1734" t="str">
        <f>IFERROR(VLOOKUP(F1734,Lookups!$D$5:$F$10,2,FALSE),"Unknown Product")</f>
        <v>NexaCRM Core</v>
      </c>
      <c r="S1734" t="str">
        <f>IFERROR(VLOOKUP(F1734,Lookups!$D$5:$F$10,3,FALSE),"Unknown")</f>
        <v>CRM</v>
      </c>
      <c r="T1734" t="str">
        <f t="shared" si="297"/>
        <v>SMB</v>
      </c>
      <c r="U1734" t="str">
        <f t="shared" si="298"/>
        <v>Open</v>
      </c>
      <c r="V1734" s="3">
        <f t="shared" si="299"/>
        <v>0</v>
      </c>
      <c r="W1734" s="3">
        <f t="shared" si="300"/>
        <v>6800</v>
      </c>
      <c r="X1734" s="5" t="str">
        <f t="shared" si="301"/>
        <v/>
      </c>
      <c r="Y1734" s="5">
        <f>IF(U1734="Open",Lookups!$B$2-B1734,X1734)</f>
        <v>199</v>
      </c>
      <c r="Z1734" t="str">
        <f t="shared" si="302"/>
        <v>STALE</v>
      </c>
      <c r="AA1734" t="str">
        <f t="shared" si="303"/>
        <v>2026-02</v>
      </c>
      <c r="AB1734" t="str">
        <f t="shared" si="304"/>
        <v/>
      </c>
      <c r="AC1734" t="str">
        <f t="shared" si="305"/>
        <v>Q1-2026</v>
      </c>
      <c r="AD1734" s="5">
        <f t="shared" si="306"/>
        <v>51</v>
      </c>
      <c r="AE1734" t="str">
        <f t="shared" si="307"/>
        <v>Commit</v>
      </c>
    </row>
    <row r="1735" spans="1:31">
      <c r="A1735" t="s">
        <v>1837</v>
      </c>
      <c r="B1735" s="1">
        <v>45903</v>
      </c>
      <c r="C1735" t="s">
        <v>90</v>
      </c>
      <c r="D1735" t="s">
        <v>57</v>
      </c>
      <c r="E1735" t="s">
        <v>123</v>
      </c>
      <c r="F1735" t="s">
        <v>45</v>
      </c>
      <c r="G1735" t="s">
        <v>72</v>
      </c>
      <c r="H1735" t="s">
        <v>84</v>
      </c>
      <c r="I1735" t="s">
        <v>61</v>
      </c>
      <c r="J1735" s="1">
        <v>45938</v>
      </c>
      <c r="K1735" s="1">
        <v>45938</v>
      </c>
      <c r="L1735" s="3">
        <v>46600</v>
      </c>
      <c r="M1735" s="4">
        <v>0</v>
      </c>
      <c r="N1735" s="4">
        <v>0</v>
      </c>
      <c r="O1735" t="s">
        <v>81</v>
      </c>
      <c r="P1735">
        <v>5</v>
      </c>
      <c r="Q1735" t="str">
        <f>IFERROR(VLOOKUP(E1735,Lookups!$A$5:$B$24,2,FALSE),"Other")</f>
        <v>Email</v>
      </c>
      <c r="R1735" t="str">
        <f>IFERROR(VLOOKUP(F1735,Lookups!$D$5:$F$10,2,FALSE),"Unknown Product")</f>
        <v>Service Cloud</v>
      </c>
      <c r="S1735" t="str">
        <f>IFERROR(VLOOKUP(F1735,Lookups!$D$5:$F$10,3,FALSE),"Unknown")</f>
        <v>Customer Service</v>
      </c>
      <c r="T1735" t="str">
        <f t="shared" si="297"/>
        <v>Mid-Market</v>
      </c>
      <c r="U1735" t="str">
        <f t="shared" si="298"/>
        <v>Lost</v>
      </c>
      <c r="V1735" s="3">
        <f t="shared" si="299"/>
        <v>0</v>
      </c>
      <c r="W1735" s="3">
        <f t="shared" si="300"/>
        <v>0</v>
      </c>
      <c r="X1735" s="5">
        <f t="shared" si="301"/>
        <v>35</v>
      </c>
      <c r="Y1735" s="5">
        <f>IF(U1735="Open",Lookups!$B$2-B1735,X1735)</f>
        <v>35</v>
      </c>
      <c r="Z1735" t="str">
        <f t="shared" si="302"/>
        <v>OK</v>
      </c>
      <c r="AA1735" t="str">
        <f t="shared" si="303"/>
        <v>2025-09</v>
      </c>
      <c r="AB1735" t="str">
        <f t="shared" si="304"/>
        <v>2025-10</v>
      </c>
      <c r="AC1735" t="str">
        <f t="shared" si="305"/>
        <v>Q3-2025</v>
      </c>
      <c r="AD1735" s="5">
        <f t="shared" si="306"/>
        <v>71</v>
      </c>
      <c r="AE1735" t="str">
        <f t="shared" si="307"/>
        <v>Lost</v>
      </c>
    </row>
    <row r="1736" spans="1:31">
      <c r="A1736" t="s">
        <v>1838</v>
      </c>
      <c r="B1736" s="1">
        <v>46218</v>
      </c>
      <c r="C1736" t="s">
        <v>42</v>
      </c>
      <c r="D1736" t="s">
        <v>43</v>
      </c>
      <c r="E1736" t="s">
        <v>70</v>
      </c>
      <c r="F1736" t="s">
        <v>52</v>
      </c>
      <c r="G1736" t="s">
        <v>112</v>
      </c>
      <c r="H1736" t="s">
        <v>53</v>
      </c>
      <c r="I1736" t="s">
        <v>77</v>
      </c>
      <c r="J1736" s="1">
        <v>46266</v>
      </c>
      <c r="K1736" s="1">
        <v>46266</v>
      </c>
      <c r="L1736" s="3">
        <v>10400</v>
      </c>
      <c r="M1736" s="4">
        <v>0.1</v>
      </c>
      <c r="N1736" s="4">
        <v>1</v>
      </c>
      <c r="P1736">
        <v>6</v>
      </c>
      <c r="Q1736" t="str">
        <f>IFERROR(VLOOKUP(E1736,Lookups!$A$5:$B$24,2,FALSE),"Other")</f>
        <v>LinkedIn</v>
      </c>
      <c r="R1736" t="str">
        <f>IFERROR(VLOOKUP(F1736,Lookups!$D$5:$F$10,2,FALSE),"Unknown Product")</f>
        <v>NexaCRM Core</v>
      </c>
      <c r="S1736" t="str">
        <f>IFERROR(VLOOKUP(F1736,Lookups!$D$5:$F$10,3,FALSE),"Unknown")</f>
        <v>CRM</v>
      </c>
      <c r="T1736" t="str">
        <f t="shared" si="297"/>
        <v>SMB</v>
      </c>
      <c r="U1736" t="str">
        <f t="shared" si="298"/>
        <v>Won</v>
      </c>
      <c r="V1736" s="3">
        <f t="shared" si="299"/>
        <v>9360</v>
      </c>
      <c r="W1736" s="3">
        <f t="shared" si="300"/>
        <v>0</v>
      </c>
      <c r="X1736" s="5">
        <f t="shared" si="301"/>
        <v>48</v>
      </c>
      <c r="Y1736" s="5">
        <f>IF(U1736="Open",Lookups!$B$2-B1736,X1736)</f>
        <v>48</v>
      </c>
      <c r="Z1736" t="str">
        <f t="shared" si="302"/>
        <v>OK</v>
      </c>
      <c r="AA1736" t="str">
        <f t="shared" si="303"/>
        <v>2026-07</v>
      </c>
      <c r="AB1736" t="str">
        <f t="shared" si="304"/>
        <v>2026-09</v>
      </c>
      <c r="AC1736" t="str">
        <f t="shared" si="305"/>
        <v>Q3-2026</v>
      </c>
      <c r="AD1736" s="5">
        <f t="shared" si="306"/>
        <v>56</v>
      </c>
      <c r="AE1736" t="str">
        <f t="shared" si="307"/>
        <v>Won</v>
      </c>
    </row>
    <row r="1737" spans="1:31">
      <c r="A1737" t="s">
        <v>1839</v>
      </c>
      <c r="B1737" s="1">
        <v>45765</v>
      </c>
      <c r="C1737" t="s">
        <v>50</v>
      </c>
      <c r="D1737" t="s">
        <v>43</v>
      </c>
      <c r="E1737" t="s">
        <v>127</v>
      </c>
      <c r="F1737" t="s">
        <v>67</v>
      </c>
      <c r="G1737" t="s">
        <v>76</v>
      </c>
      <c r="H1737" t="s">
        <v>53</v>
      </c>
      <c r="I1737" t="s">
        <v>77</v>
      </c>
      <c r="J1737" s="1">
        <v>45867</v>
      </c>
      <c r="K1737" s="1">
        <v>45867</v>
      </c>
      <c r="L1737" s="3">
        <v>65100</v>
      </c>
      <c r="M1737" s="4">
        <v>0.08</v>
      </c>
      <c r="N1737" s="4">
        <v>1</v>
      </c>
      <c r="P1737">
        <v>6</v>
      </c>
      <c r="Q1737" t="str">
        <f>IFERROR(VLOOKUP(E1737,Lookups!$A$5:$B$24,2,FALSE),"Other")</f>
        <v>Paid Search</v>
      </c>
      <c r="R1737" t="str">
        <f>IFERROR(VLOOKUP(F1737,Lookups!$D$5:$F$10,2,FALSE),"Unknown Product")</f>
        <v>Revenue Operations Suite</v>
      </c>
      <c r="S1737" t="str">
        <f>IFERROR(VLOOKUP(F1737,Lookups!$D$5:$F$10,3,FALSE),"Unknown")</f>
        <v>Revenue Ops</v>
      </c>
      <c r="T1737" t="str">
        <f t="shared" si="297"/>
        <v>Enterprise</v>
      </c>
      <c r="U1737" t="str">
        <f t="shared" si="298"/>
        <v>Won</v>
      </c>
      <c r="V1737" s="3">
        <f t="shared" si="299"/>
        <v>59892</v>
      </c>
      <c r="W1737" s="3">
        <f t="shared" si="300"/>
        <v>0</v>
      </c>
      <c r="X1737" s="5">
        <f t="shared" si="301"/>
        <v>102</v>
      </c>
      <c r="Y1737" s="5">
        <f>IF(U1737="Open",Lookups!$B$2-B1737,X1737)</f>
        <v>102</v>
      </c>
      <c r="Z1737" t="str">
        <f t="shared" si="302"/>
        <v>OK</v>
      </c>
      <c r="AA1737" t="str">
        <f t="shared" si="303"/>
        <v>2025-04</v>
      </c>
      <c r="AB1737" t="str">
        <f t="shared" si="304"/>
        <v>2025-07</v>
      </c>
      <c r="AC1737" t="str">
        <f t="shared" si="305"/>
        <v>Q2-2025</v>
      </c>
      <c r="AD1737" s="5">
        <f t="shared" si="306"/>
        <v>66</v>
      </c>
      <c r="AE1737" t="str">
        <f t="shared" si="307"/>
        <v>Won</v>
      </c>
    </row>
    <row r="1738" spans="1:31">
      <c r="A1738" t="s">
        <v>1840</v>
      </c>
      <c r="B1738" s="1">
        <v>45980</v>
      </c>
      <c r="C1738" t="s">
        <v>42</v>
      </c>
      <c r="D1738" t="s">
        <v>43</v>
      </c>
      <c r="E1738" t="s">
        <v>65</v>
      </c>
      <c r="F1738" t="s">
        <v>52</v>
      </c>
      <c r="G1738" t="s">
        <v>72</v>
      </c>
      <c r="H1738" t="s">
        <v>47</v>
      </c>
      <c r="I1738" t="s">
        <v>61</v>
      </c>
      <c r="J1738" s="1">
        <v>45997</v>
      </c>
      <c r="K1738" s="1">
        <v>45997</v>
      </c>
      <c r="L1738" s="3">
        <v>5700</v>
      </c>
      <c r="M1738" s="4">
        <v>0</v>
      </c>
      <c r="N1738" s="4">
        <v>0</v>
      </c>
      <c r="O1738" t="s">
        <v>102</v>
      </c>
      <c r="P1738">
        <v>4</v>
      </c>
      <c r="Q1738" t="str">
        <f>IFERROR(VLOOKUP(E1738,Lookups!$A$5:$B$24,2,FALSE),"Other")</f>
        <v>Paid Search</v>
      </c>
      <c r="R1738" t="str">
        <f>IFERROR(VLOOKUP(F1738,Lookups!$D$5:$F$10,2,FALSE),"Unknown Product")</f>
        <v>NexaCRM Core</v>
      </c>
      <c r="S1738" t="str">
        <f>IFERROR(VLOOKUP(F1738,Lookups!$D$5:$F$10,3,FALSE),"Unknown")</f>
        <v>CRM</v>
      </c>
      <c r="T1738" t="str">
        <f t="shared" si="297"/>
        <v>SMB</v>
      </c>
      <c r="U1738" t="str">
        <f t="shared" si="298"/>
        <v>Lost</v>
      </c>
      <c r="V1738" s="3">
        <f t="shared" si="299"/>
        <v>0</v>
      </c>
      <c r="W1738" s="3">
        <f t="shared" si="300"/>
        <v>0</v>
      </c>
      <c r="X1738" s="5">
        <f t="shared" si="301"/>
        <v>17</v>
      </c>
      <c r="Y1738" s="5">
        <f>IF(U1738="Open",Lookups!$B$2-B1738,X1738)</f>
        <v>17</v>
      </c>
      <c r="Z1738" t="str">
        <f t="shared" si="302"/>
        <v>OK</v>
      </c>
      <c r="AA1738" t="str">
        <f t="shared" si="303"/>
        <v>2025-11</v>
      </c>
      <c r="AB1738" t="str">
        <f t="shared" si="304"/>
        <v>2025-12</v>
      </c>
      <c r="AC1738" t="str">
        <f t="shared" si="305"/>
        <v>Q4-2025</v>
      </c>
      <c r="AD1738" s="5">
        <f t="shared" si="306"/>
        <v>43</v>
      </c>
      <c r="AE1738" t="str">
        <f t="shared" si="307"/>
        <v>Lost</v>
      </c>
    </row>
    <row r="1739" spans="1:31">
      <c r="A1739" t="s">
        <v>1841</v>
      </c>
      <c r="B1739" s="1">
        <v>45917</v>
      </c>
      <c r="C1739" t="s">
        <v>50</v>
      </c>
      <c r="D1739" t="s">
        <v>43</v>
      </c>
      <c r="E1739" t="s">
        <v>92</v>
      </c>
      <c r="F1739" t="s">
        <v>71</v>
      </c>
      <c r="G1739" t="s">
        <v>112</v>
      </c>
      <c r="H1739" t="s">
        <v>47</v>
      </c>
      <c r="I1739" t="s">
        <v>61</v>
      </c>
      <c r="J1739" s="1">
        <v>45939</v>
      </c>
      <c r="K1739" s="1">
        <v>45939</v>
      </c>
      <c r="L1739" s="3">
        <v>14500</v>
      </c>
      <c r="M1739" s="4">
        <v>0</v>
      </c>
      <c r="N1739" s="4">
        <v>0</v>
      </c>
      <c r="O1739" t="s">
        <v>79</v>
      </c>
      <c r="P1739">
        <v>3</v>
      </c>
      <c r="Q1739" t="str">
        <f>IFERROR(VLOOKUP(E1739,Lookups!$A$5:$B$24,2,FALSE),"Other")</f>
        <v>Webinar</v>
      </c>
      <c r="R1739" t="str">
        <f>IFERROR(VLOOKUP(F1739,Lookups!$D$5:$F$10,2,FALSE),"Unknown Product")</f>
        <v>Marketing Automation</v>
      </c>
      <c r="S1739" t="str">
        <f>IFERROR(VLOOKUP(F1739,Lookups!$D$5:$F$10,3,FALSE),"Unknown")</f>
        <v>Marketing</v>
      </c>
      <c r="T1739" t="str">
        <f t="shared" si="297"/>
        <v>SMB</v>
      </c>
      <c r="U1739" t="str">
        <f t="shared" si="298"/>
        <v>Lost</v>
      </c>
      <c r="V1739" s="3">
        <f t="shared" si="299"/>
        <v>0</v>
      </c>
      <c r="W1739" s="3">
        <f t="shared" si="300"/>
        <v>0</v>
      </c>
      <c r="X1739" s="5">
        <f t="shared" si="301"/>
        <v>22</v>
      </c>
      <c r="Y1739" s="5">
        <f>IF(U1739="Open",Lookups!$B$2-B1739,X1739)</f>
        <v>22</v>
      </c>
      <c r="Z1739" t="str">
        <f t="shared" si="302"/>
        <v>OK</v>
      </c>
      <c r="AA1739" t="str">
        <f t="shared" si="303"/>
        <v>2025-09</v>
      </c>
      <c r="AB1739" t="str">
        <f t="shared" si="304"/>
        <v>2025-10</v>
      </c>
      <c r="AC1739" t="str">
        <f t="shared" si="305"/>
        <v>Q3-2025</v>
      </c>
      <c r="AD1739" s="5">
        <f t="shared" si="306"/>
        <v>48</v>
      </c>
      <c r="AE1739" t="str">
        <f t="shared" si="307"/>
        <v>Lost</v>
      </c>
    </row>
    <row r="1740" spans="1:31">
      <c r="A1740" t="s">
        <v>1842</v>
      </c>
      <c r="B1740" s="1">
        <v>45832</v>
      </c>
      <c r="C1740" t="s">
        <v>86</v>
      </c>
      <c r="D1740" t="s">
        <v>87</v>
      </c>
      <c r="E1740" t="s">
        <v>109</v>
      </c>
      <c r="F1740" t="s">
        <v>45</v>
      </c>
      <c r="G1740" t="s">
        <v>76</v>
      </c>
      <c r="H1740" t="s">
        <v>84</v>
      </c>
      <c r="I1740" t="s">
        <v>61</v>
      </c>
      <c r="J1740" s="1">
        <v>45880</v>
      </c>
      <c r="K1740" s="1">
        <v>45880</v>
      </c>
      <c r="L1740" s="3">
        <v>78700</v>
      </c>
      <c r="M1740" s="4">
        <v>0</v>
      </c>
      <c r="N1740" s="4">
        <v>0</v>
      </c>
      <c r="O1740" t="s">
        <v>81</v>
      </c>
      <c r="P1740">
        <v>3</v>
      </c>
      <c r="Q1740" t="str">
        <f>IFERROR(VLOOKUP(E1740,Lookups!$A$5:$B$24,2,FALSE),"Other")</f>
        <v>Outbound</v>
      </c>
      <c r="R1740" t="str">
        <f>IFERROR(VLOOKUP(F1740,Lookups!$D$5:$F$10,2,FALSE),"Unknown Product")</f>
        <v>Service Cloud</v>
      </c>
      <c r="S1740" t="str">
        <f>IFERROR(VLOOKUP(F1740,Lookups!$D$5:$F$10,3,FALSE),"Unknown")</f>
        <v>Customer Service</v>
      </c>
      <c r="T1740" t="str">
        <f t="shared" si="297"/>
        <v>Enterprise</v>
      </c>
      <c r="U1740" t="str">
        <f t="shared" si="298"/>
        <v>Lost</v>
      </c>
      <c r="V1740" s="3">
        <f t="shared" si="299"/>
        <v>0</v>
      </c>
      <c r="W1740" s="3">
        <f t="shared" si="300"/>
        <v>0</v>
      </c>
      <c r="X1740" s="5">
        <f t="shared" si="301"/>
        <v>48</v>
      </c>
      <c r="Y1740" s="5">
        <f>IF(U1740="Open",Lookups!$B$2-B1740,X1740)</f>
        <v>48</v>
      </c>
      <c r="Z1740" t="str">
        <f t="shared" si="302"/>
        <v>OK</v>
      </c>
      <c r="AA1740" t="str">
        <f t="shared" si="303"/>
        <v>2025-06</v>
      </c>
      <c r="AB1740" t="str">
        <f t="shared" si="304"/>
        <v>2025-08</v>
      </c>
      <c r="AC1740" t="str">
        <f t="shared" si="305"/>
        <v>Q2-2025</v>
      </c>
      <c r="AD1740" s="5">
        <f t="shared" si="306"/>
        <v>74</v>
      </c>
      <c r="AE1740" t="str">
        <f t="shared" si="307"/>
        <v>Lost</v>
      </c>
    </row>
    <row r="1741" spans="1:31">
      <c r="A1741" t="s">
        <v>1843</v>
      </c>
      <c r="B1741" s="1">
        <v>45962</v>
      </c>
      <c r="C1741" t="s">
        <v>69</v>
      </c>
      <c r="D1741" t="s">
        <v>57</v>
      </c>
      <c r="E1741" t="s">
        <v>160</v>
      </c>
      <c r="F1741" t="s">
        <v>133</v>
      </c>
      <c r="G1741" t="s">
        <v>76</v>
      </c>
      <c r="H1741" t="s">
        <v>47</v>
      </c>
      <c r="I1741" t="s">
        <v>61</v>
      </c>
      <c r="J1741" s="1">
        <v>46012</v>
      </c>
      <c r="K1741" s="1">
        <v>46012</v>
      </c>
      <c r="L1741" s="3">
        <v>24000</v>
      </c>
      <c r="M1741" s="4">
        <v>0</v>
      </c>
      <c r="N1741" s="4">
        <v>0</v>
      </c>
      <c r="O1741" t="s">
        <v>81</v>
      </c>
      <c r="P1741">
        <v>5</v>
      </c>
      <c r="Q1741" t="str">
        <f>IFERROR(VLOOKUP(E1741,Lookups!$A$5:$B$24,2,FALSE),"Other")</f>
        <v>Email</v>
      </c>
      <c r="R1741" t="str">
        <f>IFERROR(VLOOKUP(F1741,Lookups!$D$5:$F$10,2,FALSE),"Unknown Product")</f>
        <v>Analytics Plus</v>
      </c>
      <c r="S1741" t="str">
        <f>IFERROR(VLOOKUP(F1741,Lookups!$D$5:$F$10,3,FALSE),"Unknown")</f>
        <v>Analytics</v>
      </c>
      <c r="T1741" t="str">
        <f t="shared" si="297"/>
        <v>Mid-Market</v>
      </c>
      <c r="U1741" t="str">
        <f t="shared" si="298"/>
        <v>Lost</v>
      </c>
      <c r="V1741" s="3">
        <f t="shared" si="299"/>
        <v>0</v>
      </c>
      <c r="W1741" s="3">
        <f t="shared" si="300"/>
        <v>0</v>
      </c>
      <c r="X1741" s="5">
        <f t="shared" si="301"/>
        <v>50</v>
      </c>
      <c r="Y1741" s="5">
        <f>IF(U1741="Open",Lookups!$B$2-B1741,X1741)</f>
        <v>50</v>
      </c>
      <c r="Z1741" t="str">
        <f t="shared" si="302"/>
        <v>OK</v>
      </c>
      <c r="AA1741" t="str">
        <f t="shared" si="303"/>
        <v>2025-11</v>
      </c>
      <c r="AB1741" t="str">
        <f t="shared" si="304"/>
        <v>2025-12</v>
      </c>
      <c r="AC1741" t="str">
        <f t="shared" si="305"/>
        <v>Q4-2025</v>
      </c>
      <c r="AD1741" s="5">
        <f t="shared" si="306"/>
        <v>55</v>
      </c>
      <c r="AE1741" t="str">
        <f t="shared" si="307"/>
        <v>Lost</v>
      </c>
    </row>
    <row r="1742" spans="1:31">
      <c r="A1742" t="s">
        <v>1844</v>
      </c>
      <c r="B1742" s="1">
        <v>45660</v>
      </c>
      <c r="C1742" t="s">
        <v>69</v>
      </c>
      <c r="D1742" t="s">
        <v>57</v>
      </c>
      <c r="E1742" t="s">
        <v>98</v>
      </c>
      <c r="F1742" t="s">
        <v>45</v>
      </c>
      <c r="G1742" t="s">
        <v>60</v>
      </c>
      <c r="H1742" t="s">
        <v>84</v>
      </c>
      <c r="I1742" t="s">
        <v>61</v>
      </c>
      <c r="J1742" s="1">
        <v>45708</v>
      </c>
      <c r="K1742" s="1">
        <v>45708</v>
      </c>
      <c r="L1742" s="3">
        <v>63200</v>
      </c>
      <c r="M1742" s="4">
        <v>0</v>
      </c>
      <c r="N1742" s="4">
        <v>0</v>
      </c>
      <c r="O1742" t="s">
        <v>62</v>
      </c>
      <c r="P1742">
        <v>5</v>
      </c>
      <c r="Q1742" t="str">
        <f>IFERROR(VLOOKUP(E1742,Lookups!$A$5:$B$24,2,FALSE),"Other")</f>
        <v>Outbound</v>
      </c>
      <c r="R1742" t="str">
        <f>IFERROR(VLOOKUP(F1742,Lookups!$D$5:$F$10,2,FALSE),"Unknown Product")</f>
        <v>Service Cloud</v>
      </c>
      <c r="S1742" t="str">
        <f>IFERROR(VLOOKUP(F1742,Lookups!$D$5:$F$10,3,FALSE),"Unknown")</f>
        <v>Customer Service</v>
      </c>
      <c r="T1742" t="str">
        <f t="shared" si="297"/>
        <v>Enterprise</v>
      </c>
      <c r="U1742" t="str">
        <f t="shared" si="298"/>
        <v>Lost</v>
      </c>
      <c r="V1742" s="3">
        <f t="shared" si="299"/>
        <v>0</v>
      </c>
      <c r="W1742" s="3">
        <f t="shared" si="300"/>
        <v>0</v>
      </c>
      <c r="X1742" s="5">
        <f t="shared" si="301"/>
        <v>48</v>
      </c>
      <c r="Y1742" s="5">
        <f>IF(U1742="Open",Lookups!$B$2-B1742,X1742)</f>
        <v>48</v>
      </c>
      <c r="Z1742" t="str">
        <f t="shared" si="302"/>
        <v>OK</v>
      </c>
      <c r="AA1742" t="str">
        <f t="shared" si="303"/>
        <v>2025-01</v>
      </c>
      <c r="AB1742" t="str">
        <f t="shared" si="304"/>
        <v>2025-02</v>
      </c>
      <c r="AC1742" t="str">
        <f t="shared" si="305"/>
        <v>Q1-2025</v>
      </c>
      <c r="AD1742" s="5">
        <f t="shared" si="306"/>
        <v>74</v>
      </c>
      <c r="AE1742" t="str">
        <f t="shared" si="307"/>
        <v>Lost</v>
      </c>
    </row>
    <row r="1743" spans="1:31">
      <c r="A1743" t="s">
        <v>1845</v>
      </c>
      <c r="B1743" s="1">
        <v>45768</v>
      </c>
      <c r="C1743" t="s">
        <v>86</v>
      </c>
      <c r="D1743" t="s">
        <v>87</v>
      </c>
      <c r="E1743" t="s">
        <v>132</v>
      </c>
      <c r="F1743" t="s">
        <v>52</v>
      </c>
      <c r="G1743" t="s">
        <v>112</v>
      </c>
      <c r="H1743" t="s">
        <v>53</v>
      </c>
      <c r="I1743" t="s">
        <v>48</v>
      </c>
      <c r="J1743" s="1">
        <v>46136</v>
      </c>
      <c r="K1743" s="1"/>
      <c r="L1743" s="3">
        <v>16600</v>
      </c>
      <c r="M1743" s="4">
        <v>0.03</v>
      </c>
      <c r="N1743" s="4">
        <v>0.85</v>
      </c>
      <c r="P1743">
        <v>5</v>
      </c>
      <c r="Q1743" t="str">
        <f>IFERROR(VLOOKUP(E1743,Lookups!$A$5:$B$24,2,FALSE),"Other")</f>
        <v>Other</v>
      </c>
      <c r="R1743" t="str">
        <f>IFERROR(VLOOKUP(F1743,Lookups!$D$5:$F$10,2,FALSE),"Unknown Product")</f>
        <v>NexaCRM Core</v>
      </c>
      <c r="S1743" t="str">
        <f>IFERROR(VLOOKUP(F1743,Lookups!$D$5:$F$10,3,FALSE),"Unknown")</f>
        <v>CRM</v>
      </c>
      <c r="T1743" t="str">
        <f t="shared" si="297"/>
        <v>SMB</v>
      </c>
      <c r="U1743" t="str">
        <f t="shared" si="298"/>
        <v>Open</v>
      </c>
      <c r="V1743" s="3">
        <f t="shared" si="299"/>
        <v>0</v>
      </c>
      <c r="W1743" s="3">
        <f t="shared" si="300"/>
        <v>14110</v>
      </c>
      <c r="X1743" s="5" t="str">
        <f t="shared" si="301"/>
        <v/>
      </c>
      <c r="Y1743" s="5">
        <f>IF(U1743="Open",Lookups!$B$2-B1743,X1743)</f>
        <v>498</v>
      </c>
      <c r="Z1743" t="str">
        <f t="shared" si="302"/>
        <v>STALE</v>
      </c>
      <c r="AA1743" t="str">
        <f t="shared" si="303"/>
        <v>2025-04</v>
      </c>
      <c r="AB1743" t="str">
        <f t="shared" si="304"/>
        <v/>
      </c>
      <c r="AC1743" t="str">
        <f t="shared" si="305"/>
        <v>Q2-2025</v>
      </c>
      <c r="AD1743" s="5">
        <f t="shared" si="306"/>
        <v>56</v>
      </c>
      <c r="AE1743" t="str">
        <f t="shared" si="307"/>
        <v>Commit</v>
      </c>
    </row>
    <row r="1744" spans="1:31">
      <c r="A1744" t="s">
        <v>1846</v>
      </c>
      <c r="B1744" s="1">
        <v>46068</v>
      </c>
      <c r="C1744" t="s">
        <v>64</v>
      </c>
      <c r="D1744" t="s">
        <v>57</v>
      </c>
      <c r="E1744" t="s">
        <v>107</v>
      </c>
      <c r="F1744" t="s">
        <v>52</v>
      </c>
      <c r="G1744" t="s">
        <v>94</v>
      </c>
      <c r="H1744" t="s">
        <v>47</v>
      </c>
      <c r="I1744" t="s">
        <v>61</v>
      </c>
      <c r="J1744" s="1">
        <v>46121</v>
      </c>
      <c r="K1744" s="1">
        <v>46121</v>
      </c>
      <c r="L1744" s="3">
        <v>8300</v>
      </c>
      <c r="M1744" s="4">
        <v>0</v>
      </c>
      <c r="N1744" s="4">
        <v>0</v>
      </c>
      <c r="O1744" t="s">
        <v>62</v>
      </c>
      <c r="P1744">
        <v>3</v>
      </c>
      <c r="Q1744" t="str">
        <f>IFERROR(VLOOKUP(E1744,Lookups!$A$5:$B$24,2,FALSE),"Other")</f>
        <v>Referral</v>
      </c>
      <c r="R1744" t="str">
        <f>IFERROR(VLOOKUP(F1744,Lookups!$D$5:$F$10,2,FALSE),"Unknown Product")</f>
        <v>NexaCRM Core</v>
      </c>
      <c r="S1744" t="str">
        <f>IFERROR(VLOOKUP(F1744,Lookups!$D$5:$F$10,3,FALSE),"Unknown")</f>
        <v>CRM</v>
      </c>
      <c r="T1744" t="str">
        <f t="shared" si="297"/>
        <v>SMB</v>
      </c>
      <c r="U1744" t="str">
        <f t="shared" si="298"/>
        <v>Lost</v>
      </c>
      <c r="V1744" s="3">
        <f t="shared" si="299"/>
        <v>0</v>
      </c>
      <c r="W1744" s="3">
        <f t="shared" si="300"/>
        <v>0</v>
      </c>
      <c r="X1744" s="5">
        <f t="shared" si="301"/>
        <v>53</v>
      </c>
      <c r="Y1744" s="5">
        <f>IF(U1744="Open",Lookups!$B$2-B1744,X1744)</f>
        <v>53</v>
      </c>
      <c r="Z1744" t="str">
        <f t="shared" si="302"/>
        <v>OK</v>
      </c>
      <c r="AA1744" t="str">
        <f t="shared" si="303"/>
        <v>2026-02</v>
      </c>
      <c r="AB1744" t="str">
        <f t="shared" si="304"/>
        <v>2026-04</v>
      </c>
      <c r="AC1744" t="str">
        <f t="shared" si="305"/>
        <v>Q1-2026</v>
      </c>
      <c r="AD1744" s="5">
        <f t="shared" si="306"/>
        <v>54</v>
      </c>
      <c r="AE1744" t="str">
        <f t="shared" si="307"/>
        <v>Lost</v>
      </c>
    </row>
    <row r="1745" spans="1:31">
      <c r="A1745" t="s">
        <v>1847</v>
      </c>
      <c r="B1745" s="1">
        <v>46021</v>
      </c>
      <c r="C1745" t="s">
        <v>64</v>
      </c>
      <c r="D1745" t="s">
        <v>57</v>
      </c>
      <c r="E1745" t="s">
        <v>115</v>
      </c>
      <c r="F1745" t="s">
        <v>52</v>
      </c>
      <c r="G1745" t="s">
        <v>112</v>
      </c>
      <c r="H1745" t="s">
        <v>47</v>
      </c>
      <c r="I1745" t="s">
        <v>48</v>
      </c>
      <c r="J1745" s="1">
        <v>46144</v>
      </c>
      <c r="K1745" s="1"/>
      <c r="L1745" s="3">
        <v>5100</v>
      </c>
      <c r="M1745" s="4">
        <v>0</v>
      </c>
      <c r="N1745" s="4">
        <v>0.85</v>
      </c>
      <c r="P1745">
        <v>5</v>
      </c>
      <c r="Q1745" t="str">
        <f>IFERROR(VLOOKUP(E1745,Lookups!$A$5:$B$24,2,FALSE),"Other")</f>
        <v>Outbound</v>
      </c>
      <c r="R1745" t="str">
        <f>IFERROR(VLOOKUP(F1745,Lookups!$D$5:$F$10,2,FALSE),"Unknown Product")</f>
        <v>NexaCRM Core</v>
      </c>
      <c r="S1745" t="str">
        <f>IFERROR(VLOOKUP(F1745,Lookups!$D$5:$F$10,3,FALSE),"Unknown")</f>
        <v>CRM</v>
      </c>
      <c r="T1745" t="str">
        <f t="shared" si="297"/>
        <v>SMB</v>
      </c>
      <c r="U1745" t="str">
        <f t="shared" si="298"/>
        <v>Open</v>
      </c>
      <c r="V1745" s="3">
        <f t="shared" si="299"/>
        <v>0</v>
      </c>
      <c r="W1745" s="3">
        <f t="shared" si="300"/>
        <v>4335</v>
      </c>
      <c r="X1745" s="5" t="str">
        <f t="shared" si="301"/>
        <v/>
      </c>
      <c r="Y1745" s="5">
        <f>IF(U1745="Open",Lookups!$B$2-B1745,X1745)</f>
        <v>245</v>
      </c>
      <c r="Z1745" t="str">
        <f t="shared" si="302"/>
        <v>STALE</v>
      </c>
      <c r="AA1745" t="str">
        <f t="shared" si="303"/>
        <v>2025-12</v>
      </c>
      <c r="AB1745" t="str">
        <f t="shared" si="304"/>
        <v/>
      </c>
      <c r="AC1745" t="str">
        <f t="shared" si="305"/>
        <v>Q4-2025</v>
      </c>
      <c r="AD1745" s="5">
        <f t="shared" si="306"/>
        <v>48</v>
      </c>
      <c r="AE1745" t="str">
        <f t="shared" si="307"/>
        <v>Commit</v>
      </c>
    </row>
    <row r="1746" spans="1:31">
      <c r="A1746" t="s">
        <v>1848</v>
      </c>
      <c r="B1746" s="1">
        <v>45875</v>
      </c>
      <c r="C1746" t="s">
        <v>64</v>
      </c>
      <c r="D1746" t="s">
        <v>57</v>
      </c>
      <c r="E1746" t="s">
        <v>115</v>
      </c>
      <c r="F1746" t="s">
        <v>59</v>
      </c>
      <c r="G1746" t="s">
        <v>72</v>
      </c>
      <c r="H1746" t="s">
        <v>47</v>
      </c>
      <c r="I1746" t="s">
        <v>61</v>
      </c>
      <c r="J1746" s="1">
        <v>45911</v>
      </c>
      <c r="K1746" s="1">
        <v>45911</v>
      </c>
      <c r="L1746" s="3">
        <v>18700</v>
      </c>
      <c r="M1746" s="4">
        <v>0</v>
      </c>
      <c r="N1746" s="4">
        <v>0</v>
      </c>
      <c r="O1746" t="s">
        <v>116</v>
      </c>
      <c r="P1746">
        <v>3</v>
      </c>
      <c r="Q1746" t="str">
        <f>IFERROR(VLOOKUP(E1746,Lookups!$A$5:$B$24,2,FALSE),"Other")</f>
        <v>Outbound</v>
      </c>
      <c r="R1746" t="str">
        <f>IFERROR(VLOOKUP(F1746,Lookups!$D$5:$F$10,2,FALSE),"Unknown Product")</f>
        <v>NexaCRM Pro</v>
      </c>
      <c r="S1746" t="str">
        <f>IFERROR(VLOOKUP(F1746,Lookups!$D$5:$F$10,3,FALSE),"Unknown")</f>
        <v>CRM</v>
      </c>
      <c r="T1746" t="str">
        <f t="shared" si="297"/>
        <v>SMB</v>
      </c>
      <c r="U1746" t="str">
        <f t="shared" si="298"/>
        <v>Lost</v>
      </c>
      <c r="V1746" s="3">
        <f t="shared" si="299"/>
        <v>0</v>
      </c>
      <c r="W1746" s="3">
        <f t="shared" si="300"/>
        <v>0</v>
      </c>
      <c r="X1746" s="5">
        <f t="shared" si="301"/>
        <v>36</v>
      </c>
      <c r="Y1746" s="5">
        <f>IF(U1746="Open",Lookups!$B$2-B1746,X1746)</f>
        <v>36</v>
      </c>
      <c r="Z1746" t="str">
        <f t="shared" si="302"/>
        <v>OK</v>
      </c>
      <c r="AA1746" t="str">
        <f t="shared" si="303"/>
        <v>2025-08</v>
      </c>
      <c r="AB1746" t="str">
        <f t="shared" si="304"/>
        <v>2025-09</v>
      </c>
      <c r="AC1746" t="str">
        <f t="shared" si="305"/>
        <v>Q3-2025</v>
      </c>
      <c r="AD1746" s="5">
        <f t="shared" si="306"/>
        <v>43</v>
      </c>
      <c r="AE1746" t="str">
        <f t="shared" si="307"/>
        <v>Lost</v>
      </c>
    </row>
    <row r="1747" spans="1:31">
      <c r="A1747" t="s">
        <v>1849</v>
      </c>
      <c r="B1747" s="1">
        <v>45930</v>
      </c>
      <c r="C1747" t="s">
        <v>69</v>
      </c>
      <c r="D1747" t="s">
        <v>57</v>
      </c>
      <c r="E1747" t="s">
        <v>127</v>
      </c>
      <c r="F1747" t="s">
        <v>59</v>
      </c>
      <c r="G1747" t="s">
        <v>94</v>
      </c>
      <c r="H1747" t="s">
        <v>84</v>
      </c>
      <c r="I1747" t="s">
        <v>77</v>
      </c>
      <c r="J1747" s="1">
        <v>45968</v>
      </c>
      <c r="K1747" s="1">
        <v>45968</v>
      </c>
      <c r="L1747" s="3">
        <v>62000</v>
      </c>
      <c r="M1747" s="4">
        <v>0.05</v>
      </c>
      <c r="N1747" s="4">
        <v>1</v>
      </c>
      <c r="P1747">
        <v>6</v>
      </c>
      <c r="Q1747" t="str">
        <f>IFERROR(VLOOKUP(E1747,Lookups!$A$5:$B$24,2,FALSE),"Other")</f>
        <v>Paid Search</v>
      </c>
      <c r="R1747" t="str">
        <f>IFERROR(VLOOKUP(F1747,Lookups!$D$5:$F$10,2,FALSE),"Unknown Product")</f>
        <v>NexaCRM Pro</v>
      </c>
      <c r="S1747" t="str">
        <f>IFERROR(VLOOKUP(F1747,Lookups!$D$5:$F$10,3,FALSE),"Unknown")</f>
        <v>CRM</v>
      </c>
      <c r="T1747" t="str">
        <f t="shared" si="297"/>
        <v>Enterprise</v>
      </c>
      <c r="U1747" t="str">
        <f t="shared" si="298"/>
        <v>Won</v>
      </c>
      <c r="V1747" s="3">
        <f t="shared" si="299"/>
        <v>58900</v>
      </c>
      <c r="W1747" s="3">
        <f t="shared" si="300"/>
        <v>0</v>
      </c>
      <c r="X1747" s="5">
        <f t="shared" si="301"/>
        <v>38</v>
      </c>
      <c r="Y1747" s="5">
        <f>IF(U1747="Open",Lookups!$B$2-B1747,X1747)</f>
        <v>38</v>
      </c>
      <c r="Z1747" t="str">
        <f t="shared" si="302"/>
        <v>OK</v>
      </c>
      <c r="AA1747" t="str">
        <f t="shared" si="303"/>
        <v>2025-09</v>
      </c>
      <c r="AB1747" t="str">
        <f t="shared" si="304"/>
        <v>2025-11</v>
      </c>
      <c r="AC1747" t="str">
        <f t="shared" si="305"/>
        <v>Q3-2025</v>
      </c>
      <c r="AD1747" s="5">
        <f t="shared" si="306"/>
        <v>74</v>
      </c>
      <c r="AE1747" t="str">
        <f t="shared" si="307"/>
        <v>Won</v>
      </c>
    </row>
    <row r="1748" spans="1:31">
      <c r="A1748" t="s">
        <v>1850</v>
      </c>
      <c r="B1748" s="1">
        <v>45764</v>
      </c>
      <c r="C1748" t="s">
        <v>90</v>
      </c>
      <c r="D1748" t="s">
        <v>57</v>
      </c>
      <c r="E1748" t="s">
        <v>83</v>
      </c>
      <c r="F1748" t="s">
        <v>71</v>
      </c>
      <c r="G1748" t="s">
        <v>94</v>
      </c>
      <c r="H1748" t="s">
        <v>47</v>
      </c>
      <c r="I1748" t="s">
        <v>61</v>
      </c>
      <c r="J1748" s="1">
        <v>45855</v>
      </c>
      <c r="K1748" s="1">
        <v>45855</v>
      </c>
      <c r="L1748" s="3">
        <v>12500</v>
      </c>
      <c r="M1748" s="4">
        <v>0</v>
      </c>
      <c r="N1748" s="4">
        <v>0</v>
      </c>
      <c r="O1748" t="s">
        <v>62</v>
      </c>
      <c r="P1748">
        <v>4</v>
      </c>
      <c r="Q1748" t="str">
        <f>IFERROR(VLOOKUP(E1748,Lookups!$A$5:$B$24,2,FALSE),"Other")</f>
        <v>Organic Search</v>
      </c>
      <c r="R1748" t="str">
        <f>IFERROR(VLOOKUP(F1748,Lookups!$D$5:$F$10,2,FALSE),"Unknown Product")</f>
        <v>Marketing Automation</v>
      </c>
      <c r="S1748" t="str">
        <f>IFERROR(VLOOKUP(F1748,Lookups!$D$5:$F$10,3,FALSE),"Unknown")</f>
        <v>Marketing</v>
      </c>
      <c r="T1748" t="str">
        <f t="shared" si="297"/>
        <v>SMB</v>
      </c>
      <c r="U1748" t="str">
        <f t="shared" si="298"/>
        <v>Lost</v>
      </c>
      <c r="V1748" s="3">
        <f t="shared" si="299"/>
        <v>0</v>
      </c>
      <c r="W1748" s="3">
        <f t="shared" si="300"/>
        <v>0</v>
      </c>
      <c r="X1748" s="5">
        <f t="shared" si="301"/>
        <v>91</v>
      </c>
      <c r="Y1748" s="5">
        <f>IF(U1748="Open",Lookups!$B$2-B1748,X1748)</f>
        <v>91</v>
      </c>
      <c r="Z1748" t="str">
        <f t="shared" si="302"/>
        <v>OK</v>
      </c>
      <c r="AA1748" t="str">
        <f t="shared" si="303"/>
        <v>2025-04</v>
      </c>
      <c r="AB1748" t="str">
        <f t="shared" si="304"/>
        <v>2025-07</v>
      </c>
      <c r="AC1748" t="str">
        <f t="shared" si="305"/>
        <v>Q2-2025</v>
      </c>
      <c r="AD1748" s="5">
        <f t="shared" si="306"/>
        <v>49</v>
      </c>
      <c r="AE1748" t="str">
        <f t="shared" si="307"/>
        <v>Lost</v>
      </c>
    </row>
    <row r="1749" spans="1:31">
      <c r="A1749" t="s">
        <v>1851</v>
      </c>
      <c r="B1749" s="1">
        <v>45830</v>
      </c>
      <c r="C1749" t="s">
        <v>56</v>
      </c>
      <c r="D1749" t="s">
        <v>57</v>
      </c>
      <c r="E1749" t="s">
        <v>98</v>
      </c>
      <c r="F1749" t="s">
        <v>71</v>
      </c>
      <c r="G1749" t="s">
        <v>72</v>
      </c>
      <c r="H1749" t="s">
        <v>84</v>
      </c>
      <c r="I1749" t="s">
        <v>61</v>
      </c>
      <c r="J1749" s="1">
        <v>45865</v>
      </c>
      <c r="K1749" s="1">
        <v>45865</v>
      </c>
      <c r="L1749" s="3">
        <v>55900</v>
      </c>
      <c r="M1749" s="4">
        <v>0</v>
      </c>
      <c r="N1749" s="4">
        <v>0</v>
      </c>
      <c r="O1749" t="s">
        <v>116</v>
      </c>
      <c r="P1749">
        <v>2</v>
      </c>
      <c r="Q1749" t="str">
        <f>IFERROR(VLOOKUP(E1749,Lookups!$A$5:$B$24,2,FALSE),"Other")</f>
        <v>Outbound</v>
      </c>
      <c r="R1749" t="str">
        <f>IFERROR(VLOOKUP(F1749,Lookups!$D$5:$F$10,2,FALSE),"Unknown Product")</f>
        <v>Marketing Automation</v>
      </c>
      <c r="S1749" t="str">
        <f>IFERROR(VLOOKUP(F1749,Lookups!$D$5:$F$10,3,FALSE),"Unknown")</f>
        <v>Marketing</v>
      </c>
      <c r="T1749" t="str">
        <f t="shared" si="297"/>
        <v>Enterprise</v>
      </c>
      <c r="U1749" t="str">
        <f t="shared" si="298"/>
        <v>Lost</v>
      </c>
      <c r="V1749" s="3">
        <f t="shared" si="299"/>
        <v>0</v>
      </c>
      <c r="W1749" s="3">
        <f t="shared" si="300"/>
        <v>0</v>
      </c>
      <c r="X1749" s="5">
        <f t="shared" si="301"/>
        <v>35</v>
      </c>
      <c r="Y1749" s="5">
        <f>IF(U1749="Open",Lookups!$B$2-B1749,X1749)</f>
        <v>35</v>
      </c>
      <c r="Z1749" t="str">
        <f t="shared" si="302"/>
        <v>OK</v>
      </c>
      <c r="AA1749" t="str">
        <f t="shared" si="303"/>
        <v>2025-06</v>
      </c>
      <c r="AB1749" t="str">
        <f t="shared" si="304"/>
        <v>2025-07</v>
      </c>
      <c r="AC1749" t="str">
        <f t="shared" si="305"/>
        <v>Q2-2025</v>
      </c>
      <c r="AD1749" s="5">
        <f t="shared" si="306"/>
        <v>74</v>
      </c>
      <c r="AE1749" t="str">
        <f t="shared" si="307"/>
        <v>Lost</v>
      </c>
    </row>
    <row r="1750" spans="1:31">
      <c r="A1750" t="s">
        <v>1852</v>
      </c>
      <c r="B1750" s="1">
        <v>46089</v>
      </c>
      <c r="C1750" t="s">
        <v>69</v>
      </c>
      <c r="D1750" t="s">
        <v>57</v>
      </c>
      <c r="E1750" t="s">
        <v>127</v>
      </c>
      <c r="F1750" t="s">
        <v>133</v>
      </c>
      <c r="G1750" t="s">
        <v>76</v>
      </c>
      <c r="H1750" t="s">
        <v>53</v>
      </c>
      <c r="I1750" t="s">
        <v>61</v>
      </c>
      <c r="J1750" s="1">
        <v>46149</v>
      </c>
      <c r="K1750" s="1">
        <v>46149</v>
      </c>
      <c r="L1750" s="3">
        <v>44600</v>
      </c>
      <c r="M1750" s="4">
        <v>0</v>
      </c>
      <c r="N1750" s="4">
        <v>0</v>
      </c>
      <c r="O1750" t="s">
        <v>79</v>
      </c>
      <c r="P1750">
        <v>3</v>
      </c>
      <c r="Q1750" t="str">
        <f>IFERROR(VLOOKUP(E1750,Lookups!$A$5:$B$24,2,FALSE),"Other")</f>
        <v>Paid Search</v>
      </c>
      <c r="R1750" t="str">
        <f>IFERROR(VLOOKUP(F1750,Lookups!$D$5:$F$10,2,FALSE),"Unknown Product")</f>
        <v>Analytics Plus</v>
      </c>
      <c r="S1750" t="str">
        <f>IFERROR(VLOOKUP(F1750,Lookups!$D$5:$F$10,3,FALSE),"Unknown")</f>
        <v>Analytics</v>
      </c>
      <c r="T1750" t="str">
        <f t="shared" si="297"/>
        <v>Mid-Market</v>
      </c>
      <c r="U1750" t="str">
        <f t="shared" si="298"/>
        <v>Lost</v>
      </c>
      <c r="V1750" s="3">
        <f t="shared" si="299"/>
        <v>0</v>
      </c>
      <c r="W1750" s="3">
        <f t="shared" si="300"/>
        <v>0</v>
      </c>
      <c r="X1750" s="5">
        <f t="shared" si="301"/>
        <v>60</v>
      </c>
      <c r="Y1750" s="5">
        <f>IF(U1750="Open",Lookups!$B$2-B1750,X1750)</f>
        <v>60</v>
      </c>
      <c r="Z1750" t="str">
        <f t="shared" si="302"/>
        <v>OK</v>
      </c>
      <c r="AA1750" t="str">
        <f t="shared" si="303"/>
        <v>2026-03</v>
      </c>
      <c r="AB1750" t="str">
        <f t="shared" si="304"/>
        <v>2026-05</v>
      </c>
      <c r="AC1750" t="str">
        <f t="shared" si="305"/>
        <v>Q1-2026</v>
      </c>
      <c r="AD1750" s="5">
        <f t="shared" si="306"/>
        <v>59</v>
      </c>
      <c r="AE1750" t="str">
        <f t="shared" si="307"/>
        <v>Lost</v>
      </c>
    </row>
    <row r="1751" spans="1:31">
      <c r="A1751" t="s">
        <v>1853</v>
      </c>
      <c r="B1751" s="1">
        <v>46226</v>
      </c>
      <c r="C1751" t="s">
        <v>90</v>
      </c>
      <c r="D1751" t="s">
        <v>57</v>
      </c>
      <c r="E1751" t="s">
        <v>119</v>
      </c>
      <c r="F1751" t="s">
        <v>71</v>
      </c>
      <c r="G1751" t="s">
        <v>72</v>
      </c>
      <c r="H1751" t="s">
        <v>47</v>
      </c>
      <c r="I1751" t="s">
        <v>61</v>
      </c>
      <c r="J1751" s="1">
        <v>46266</v>
      </c>
      <c r="K1751" s="1">
        <v>46266</v>
      </c>
      <c r="L1751" s="3">
        <v>9000</v>
      </c>
      <c r="M1751" s="4">
        <v>0</v>
      </c>
      <c r="N1751" s="4">
        <v>0</v>
      </c>
      <c r="O1751" t="s">
        <v>116</v>
      </c>
      <c r="P1751">
        <v>2</v>
      </c>
      <c r="Q1751" t="str">
        <f>IFERROR(VLOOKUP(E1751,Lookups!$A$5:$B$24,2,FALSE),"Other")</f>
        <v>Referral</v>
      </c>
      <c r="R1751" t="str">
        <f>IFERROR(VLOOKUP(F1751,Lookups!$D$5:$F$10,2,FALSE),"Unknown Product")</f>
        <v>Marketing Automation</v>
      </c>
      <c r="S1751" t="str">
        <f>IFERROR(VLOOKUP(F1751,Lookups!$D$5:$F$10,3,FALSE),"Unknown")</f>
        <v>Marketing</v>
      </c>
      <c r="T1751" t="str">
        <f t="shared" si="297"/>
        <v>SMB</v>
      </c>
      <c r="U1751" t="str">
        <f t="shared" si="298"/>
        <v>Lost</v>
      </c>
      <c r="V1751" s="3">
        <f t="shared" si="299"/>
        <v>0</v>
      </c>
      <c r="W1751" s="3">
        <f t="shared" si="300"/>
        <v>0</v>
      </c>
      <c r="X1751" s="5">
        <f t="shared" si="301"/>
        <v>40</v>
      </c>
      <c r="Y1751" s="5">
        <f>IF(U1751="Open",Lookups!$B$2-B1751,X1751)</f>
        <v>40</v>
      </c>
      <c r="Z1751" t="str">
        <f t="shared" si="302"/>
        <v>OK</v>
      </c>
      <c r="AA1751" t="str">
        <f t="shared" si="303"/>
        <v>2026-07</v>
      </c>
      <c r="AB1751" t="str">
        <f t="shared" si="304"/>
        <v>2026-09</v>
      </c>
      <c r="AC1751" t="str">
        <f t="shared" si="305"/>
        <v>Q3-2026</v>
      </c>
      <c r="AD1751" s="5">
        <f t="shared" si="306"/>
        <v>54</v>
      </c>
      <c r="AE1751" t="str">
        <f t="shared" si="307"/>
        <v>Lost</v>
      </c>
    </row>
    <row r="1752" spans="1:31">
      <c r="A1752" t="s">
        <v>1854</v>
      </c>
      <c r="B1752" s="1">
        <v>46234</v>
      </c>
      <c r="C1752" t="s">
        <v>148</v>
      </c>
      <c r="D1752" t="s">
        <v>43</v>
      </c>
      <c r="E1752" t="s">
        <v>123</v>
      </c>
      <c r="F1752" t="s">
        <v>52</v>
      </c>
      <c r="G1752" t="s">
        <v>76</v>
      </c>
      <c r="H1752" t="s">
        <v>53</v>
      </c>
      <c r="I1752" t="s">
        <v>61</v>
      </c>
      <c r="J1752" s="1">
        <v>46266</v>
      </c>
      <c r="K1752" s="1">
        <v>46266</v>
      </c>
      <c r="L1752" s="3">
        <v>17600</v>
      </c>
      <c r="M1752" s="4">
        <v>0</v>
      </c>
      <c r="N1752" s="4">
        <v>0</v>
      </c>
      <c r="O1752" t="s">
        <v>81</v>
      </c>
      <c r="P1752">
        <v>3</v>
      </c>
      <c r="Q1752" t="str">
        <f>IFERROR(VLOOKUP(E1752,Lookups!$A$5:$B$24,2,FALSE),"Other")</f>
        <v>Email</v>
      </c>
      <c r="R1752" t="str">
        <f>IFERROR(VLOOKUP(F1752,Lookups!$D$5:$F$10,2,FALSE),"Unknown Product")</f>
        <v>NexaCRM Core</v>
      </c>
      <c r="S1752" t="str">
        <f>IFERROR(VLOOKUP(F1752,Lookups!$D$5:$F$10,3,FALSE),"Unknown")</f>
        <v>CRM</v>
      </c>
      <c r="T1752" t="str">
        <f t="shared" si="297"/>
        <v>SMB</v>
      </c>
      <c r="U1752" t="str">
        <f t="shared" si="298"/>
        <v>Lost</v>
      </c>
      <c r="V1752" s="3">
        <f t="shared" si="299"/>
        <v>0</v>
      </c>
      <c r="W1752" s="3">
        <f t="shared" si="300"/>
        <v>0</v>
      </c>
      <c r="X1752" s="5">
        <f t="shared" si="301"/>
        <v>32</v>
      </c>
      <c r="Y1752" s="5">
        <f>IF(U1752="Open",Lookups!$B$2-B1752,X1752)</f>
        <v>32</v>
      </c>
      <c r="Z1752" t="str">
        <f t="shared" si="302"/>
        <v>OK</v>
      </c>
      <c r="AA1752" t="str">
        <f t="shared" si="303"/>
        <v>2026-07</v>
      </c>
      <c r="AB1752" t="str">
        <f t="shared" si="304"/>
        <v>2026-09</v>
      </c>
      <c r="AC1752" t="str">
        <f t="shared" si="305"/>
        <v>Q3-2026</v>
      </c>
      <c r="AD1752" s="5">
        <f t="shared" si="306"/>
        <v>55</v>
      </c>
      <c r="AE1752" t="str">
        <f t="shared" si="307"/>
        <v>Lost</v>
      </c>
    </row>
    <row r="1753" spans="1:31">
      <c r="A1753" t="s">
        <v>1855</v>
      </c>
      <c r="B1753" s="1">
        <v>46002</v>
      </c>
      <c r="C1753" t="s">
        <v>42</v>
      </c>
      <c r="D1753" t="s">
        <v>43</v>
      </c>
      <c r="E1753" t="s">
        <v>51</v>
      </c>
      <c r="F1753" t="s">
        <v>71</v>
      </c>
      <c r="G1753" t="s">
        <v>99</v>
      </c>
      <c r="H1753" t="s">
        <v>47</v>
      </c>
      <c r="I1753" t="s">
        <v>61</v>
      </c>
      <c r="J1753" s="1">
        <v>46049</v>
      </c>
      <c r="K1753" s="1">
        <v>46049</v>
      </c>
      <c r="L1753" s="3">
        <v>19000</v>
      </c>
      <c r="M1753" s="4">
        <v>0</v>
      </c>
      <c r="N1753" s="4">
        <v>0</v>
      </c>
      <c r="O1753" t="s">
        <v>81</v>
      </c>
      <c r="P1753">
        <v>4</v>
      </c>
      <c r="Q1753" t="str">
        <f>IFERROR(VLOOKUP(E1753,Lookups!$A$5:$B$24,2,FALSE),"Other")</f>
        <v>Paid Search</v>
      </c>
      <c r="R1753" t="str">
        <f>IFERROR(VLOOKUP(F1753,Lookups!$D$5:$F$10,2,FALSE),"Unknown Product")</f>
        <v>Marketing Automation</v>
      </c>
      <c r="S1753" t="str">
        <f>IFERROR(VLOOKUP(F1753,Lookups!$D$5:$F$10,3,FALSE),"Unknown")</f>
        <v>Marketing</v>
      </c>
      <c r="T1753" t="str">
        <f t="shared" si="297"/>
        <v>SMB</v>
      </c>
      <c r="U1753" t="str">
        <f t="shared" si="298"/>
        <v>Lost</v>
      </c>
      <c r="V1753" s="3">
        <f t="shared" si="299"/>
        <v>0</v>
      </c>
      <c r="W1753" s="3">
        <f t="shared" si="300"/>
        <v>0</v>
      </c>
      <c r="X1753" s="5">
        <f t="shared" si="301"/>
        <v>47</v>
      </c>
      <c r="Y1753" s="5">
        <f>IF(U1753="Open",Lookups!$B$2-B1753,X1753)</f>
        <v>47</v>
      </c>
      <c r="Z1753" t="str">
        <f t="shared" si="302"/>
        <v>OK</v>
      </c>
      <c r="AA1753" t="str">
        <f t="shared" si="303"/>
        <v>2025-12</v>
      </c>
      <c r="AB1753" t="str">
        <f t="shared" si="304"/>
        <v>2026-01</v>
      </c>
      <c r="AC1753" t="str">
        <f t="shared" si="305"/>
        <v>Q4-2025</v>
      </c>
      <c r="AD1753" s="5">
        <f t="shared" si="306"/>
        <v>43</v>
      </c>
      <c r="AE1753" t="str">
        <f t="shared" si="307"/>
        <v>Lost</v>
      </c>
    </row>
    <row r="1754" spans="1:31">
      <c r="A1754" t="s">
        <v>1856</v>
      </c>
      <c r="B1754" s="1">
        <v>46079</v>
      </c>
      <c r="C1754" t="s">
        <v>42</v>
      </c>
      <c r="D1754" t="s">
        <v>43</v>
      </c>
      <c r="E1754" t="s">
        <v>83</v>
      </c>
      <c r="F1754" t="s">
        <v>71</v>
      </c>
      <c r="G1754" t="s">
        <v>94</v>
      </c>
      <c r="H1754" t="s">
        <v>47</v>
      </c>
      <c r="I1754" t="s">
        <v>61</v>
      </c>
      <c r="J1754" s="1">
        <v>46128</v>
      </c>
      <c r="K1754" s="1">
        <v>46128</v>
      </c>
      <c r="L1754" s="3">
        <v>20300</v>
      </c>
      <c r="M1754" s="4">
        <v>0</v>
      </c>
      <c r="N1754" s="4">
        <v>0</v>
      </c>
      <c r="O1754" t="s">
        <v>102</v>
      </c>
      <c r="P1754">
        <v>4</v>
      </c>
      <c r="Q1754" t="str">
        <f>IFERROR(VLOOKUP(E1754,Lookups!$A$5:$B$24,2,FALSE),"Other")</f>
        <v>Organic Search</v>
      </c>
      <c r="R1754" t="str">
        <f>IFERROR(VLOOKUP(F1754,Lookups!$D$5:$F$10,2,FALSE),"Unknown Product")</f>
        <v>Marketing Automation</v>
      </c>
      <c r="S1754" t="str">
        <f>IFERROR(VLOOKUP(F1754,Lookups!$D$5:$F$10,3,FALSE),"Unknown")</f>
        <v>Marketing</v>
      </c>
      <c r="T1754" t="str">
        <f t="shared" si="297"/>
        <v>Mid-Market</v>
      </c>
      <c r="U1754" t="str">
        <f t="shared" si="298"/>
        <v>Lost</v>
      </c>
      <c r="V1754" s="3">
        <f t="shared" si="299"/>
        <v>0</v>
      </c>
      <c r="W1754" s="3">
        <f t="shared" si="300"/>
        <v>0</v>
      </c>
      <c r="X1754" s="5">
        <f t="shared" si="301"/>
        <v>49</v>
      </c>
      <c r="Y1754" s="5">
        <f>IF(U1754="Open",Lookups!$B$2-B1754,X1754)</f>
        <v>49</v>
      </c>
      <c r="Z1754" t="str">
        <f t="shared" si="302"/>
        <v>OK</v>
      </c>
      <c r="AA1754" t="str">
        <f t="shared" si="303"/>
        <v>2026-02</v>
      </c>
      <c r="AB1754" t="str">
        <f t="shared" si="304"/>
        <v>2026-04</v>
      </c>
      <c r="AC1754" t="str">
        <f t="shared" si="305"/>
        <v>Q1-2026</v>
      </c>
      <c r="AD1754" s="5">
        <f t="shared" si="306"/>
        <v>57</v>
      </c>
      <c r="AE1754" t="str">
        <f t="shared" si="307"/>
        <v>Lost</v>
      </c>
    </row>
    <row r="1755" spans="1:31">
      <c r="A1755" t="s">
        <v>1857</v>
      </c>
      <c r="B1755" s="1">
        <v>45930</v>
      </c>
      <c r="C1755" t="s">
        <v>69</v>
      </c>
      <c r="D1755" t="s">
        <v>57</v>
      </c>
      <c r="E1755" t="s">
        <v>44</v>
      </c>
      <c r="F1755" t="s">
        <v>59</v>
      </c>
      <c r="G1755" t="s">
        <v>99</v>
      </c>
      <c r="H1755" t="s">
        <v>47</v>
      </c>
      <c r="I1755" t="s">
        <v>61</v>
      </c>
      <c r="J1755" s="1">
        <v>45980</v>
      </c>
      <c r="K1755" s="1">
        <v>45980</v>
      </c>
      <c r="L1755" s="3">
        <v>24500</v>
      </c>
      <c r="M1755" s="4">
        <v>0</v>
      </c>
      <c r="N1755" s="4">
        <v>0</v>
      </c>
      <c r="O1755" t="s">
        <v>79</v>
      </c>
      <c r="P1755">
        <v>4</v>
      </c>
      <c r="Q1755" t="str">
        <f>IFERROR(VLOOKUP(E1755,Lookups!$A$5:$B$24,2,FALSE),"Other")</f>
        <v>Organic Search</v>
      </c>
      <c r="R1755" t="str">
        <f>IFERROR(VLOOKUP(F1755,Lookups!$D$5:$F$10,2,FALSE),"Unknown Product")</f>
        <v>NexaCRM Pro</v>
      </c>
      <c r="S1755" t="str">
        <f>IFERROR(VLOOKUP(F1755,Lookups!$D$5:$F$10,3,FALSE),"Unknown")</f>
        <v>CRM</v>
      </c>
      <c r="T1755" t="str">
        <f t="shared" si="297"/>
        <v>Mid-Market</v>
      </c>
      <c r="U1755" t="str">
        <f t="shared" si="298"/>
        <v>Lost</v>
      </c>
      <c r="V1755" s="3">
        <f t="shared" si="299"/>
        <v>0</v>
      </c>
      <c r="W1755" s="3">
        <f t="shared" si="300"/>
        <v>0</v>
      </c>
      <c r="X1755" s="5">
        <f t="shared" si="301"/>
        <v>50</v>
      </c>
      <c r="Y1755" s="5">
        <f>IF(U1755="Open",Lookups!$B$2-B1755,X1755)</f>
        <v>50</v>
      </c>
      <c r="Z1755" t="str">
        <f t="shared" si="302"/>
        <v>OK</v>
      </c>
      <c r="AA1755" t="str">
        <f t="shared" si="303"/>
        <v>2025-09</v>
      </c>
      <c r="AB1755" t="str">
        <f t="shared" si="304"/>
        <v>2025-11</v>
      </c>
      <c r="AC1755" t="str">
        <f t="shared" si="305"/>
        <v>Q3-2025</v>
      </c>
      <c r="AD1755" s="5">
        <f t="shared" si="306"/>
        <v>57</v>
      </c>
      <c r="AE1755" t="str">
        <f t="shared" si="307"/>
        <v>Lost</v>
      </c>
    </row>
    <row r="1756" spans="1:31">
      <c r="A1756" t="s">
        <v>1858</v>
      </c>
      <c r="B1756" s="1">
        <v>45668</v>
      </c>
      <c r="C1756" t="s">
        <v>56</v>
      </c>
      <c r="D1756" t="s">
        <v>57</v>
      </c>
      <c r="E1756" t="s">
        <v>132</v>
      </c>
      <c r="F1756" t="s">
        <v>67</v>
      </c>
      <c r="G1756" t="s">
        <v>76</v>
      </c>
      <c r="H1756" t="s">
        <v>47</v>
      </c>
      <c r="I1756" t="s">
        <v>61</v>
      </c>
      <c r="J1756" s="1">
        <v>45708</v>
      </c>
      <c r="K1756" s="1">
        <v>45708</v>
      </c>
      <c r="L1756" s="3">
        <v>36300</v>
      </c>
      <c r="M1756" s="4">
        <v>0</v>
      </c>
      <c r="N1756" s="4">
        <v>0</v>
      </c>
      <c r="O1756" t="s">
        <v>81</v>
      </c>
      <c r="P1756">
        <v>3</v>
      </c>
      <c r="Q1756" t="str">
        <f>IFERROR(VLOOKUP(E1756,Lookups!$A$5:$B$24,2,FALSE),"Other")</f>
        <v>Other</v>
      </c>
      <c r="R1756" t="str">
        <f>IFERROR(VLOOKUP(F1756,Lookups!$D$5:$F$10,2,FALSE),"Unknown Product")</f>
        <v>Revenue Operations Suite</v>
      </c>
      <c r="S1756" t="str">
        <f>IFERROR(VLOOKUP(F1756,Lookups!$D$5:$F$10,3,FALSE),"Unknown")</f>
        <v>Revenue Ops</v>
      </c>
      <c r="T1756" t="str">
        <f t="shared" si="297"/>
        <v>Mid-Market</v>
      </c>
      <c r="U1756" t="str">
        <f t="shared" si="298"/>
        <v>Lost</v>
      </c>
      <c r="V1756" s="3">
        <f t="shared" si="299"/>
        <v>0</v>
      </c>
      <c r="W1756" s="3">
        <f t="shared" si="300"/>
        <v>0</v>
      </c>
      <c r="X1756" s="5">
        <f t="shared" si="301"/>
        <v>40</v>
      </c>
      <c r="Y1756" s="5">
        <f>IF(U1756="Open",Lookups!$B$2-B1756,X1756)</f>
        <v>40</v>
      </c>
      <c r="Z1756" t="str">
        <f t="shared" si="302"/>
        <v>OK</v>
      </c>
      <c r="AA1756" t="str">
        <f t="shared" si="303"/>
        <v>2025-01</v>
      </c>
      <c r="AB1756" t="str">
        <f t="shared" si="304"/>
        <v>2025-02</v>
      </c>
      <c r="AC1756" t="str">
        <f t="shared" si="305"/>
        <v>Q1-2025</v>
      </c>
      <c r="AD1756" s="5">
        <f t="shared" si="306"/>
        <v>51</v>
      </c>
      <c r="AE1756" t="str">
        <f t="shared" si="307"/>
        <v>Lost</v>
      </c>
    </row>
    <row r="1757" spans="1:31">
      <c r="A1757" t="s">
        <v>1859</v>
      </c>
      <c r="B1757" s="1">
        <v>45934</v>
      </c>
      <c r="C1757" t="s">
        <v>64</v>
      </c>
      <c r="D1757" t="s">
        <v>57</v>
      </c>
      <c r="E1757" t="s">
        <v>138</v>
      </c>
      <c r="F1757" t="s">
        <v>59</v>
      </c>
      <c r="G1757" t="s">
        <v>60</v>
      </c>
      <c r="H1757" t="s">
        <v>47</v>
      </c>
      <c r="I1757" t="s">
        <v>61</v>
      </c>
      <c r="J1757" s="1">
        <v>45976</v>
      </c>
      <c r="K1757" s="1">
        <v>45976</v>
      </c>
      <c r="L1757" s="3">
        <v>12800</v>
      </c>
      <c r="M1757" s="4">
        <v>0</v>
      </c>
      <c r="N1757" s="4">
        <v>0</v>
      </c>
      <c r="O1757" t="s">
        <v>110</v>
      </c>
      <c r="P1757">
        <v>4</v>
      </c>
      <c r="Q1757" t="str">
        <f>IFERROR(VLOOKUP(E1757,Lookups!$A$5:$B$24,2,FALSE),"Other")</f>
        <v>Organic Search</v>
      </c>
      <c r="R1757" t="str">
        <f>IFERROR(VLOOKUP(F1757,Lookups!$D$5:$F$10,2,FALSE),"Unknown Product")</f>
        <v>NexaCRM Pro</v>
      </c>
      <c r="S1757" t="str">
        <f>IFERROR(VLOOKUP(F1757,Lookups!$D$5:$F$10,3,FALSE),"Unknown")</f>
        <v>CRM</v>
      </c>
      <c r="T1757" t="str">
        <f t="shared" si="297"/>
        <v>SMB</v>
      </c>
      <c r="U1757" t="str">
        <f t="shared" si="298"/>
        <v>Lost</v>
      </c>
      <c r="V1757" s="3">
        <f t="shared" si="299"/>
        <v>0</v>
      </c>
      <c r="W1757" s="3">
        <f t="shared" si="300"/>
        <v>0</v>
      </c>
      <c r="X1757" s="5">
        <f t="shared" si="301"/>
        <v>42</v>
      </c>
      <c r="Y1757" s="5">
        <f>IF(U1757="Open",Lookups!$B$2-B1757,X1757)</f>
        <v>42</v>
      </c>
      <c r="Z1757" t="str">
        <f t="shared" si="302"/>
        <v>OK</v>
      </c>
      <c r="AA1757" t="str">
        <f t="shared" si="303"/>
        <v>2025-10</v>
      </c>
      <c r="AB1757" t="str">
        <f t="shared" si="304"/>
        <v>2025-11</v>
      </c>
      <c r="AC1757" t="str">
        <f t="shared" si="305"/>
        <v>Q4-2025</v>
      </c>
      <c r="AD1757" s="5">
        <f t="shared" si="306"/>
        <v>49</v>
      </c>
      <c r="AE1757" t="str">
        <f t="shared" si="307"/>
        <v>Lost</v>
      </c>
    </row>
    <row r="1758" spans="1:31">
      <c r="A1758" t="s">
        <v>1860</v>
      </c>
      <c r="B1758" s="1">
        <v>45685</v>
      </c>
      <c r="C1758" t="s">
        <v>90</v>
      </c>
      <c r="D1758" t="s">
        <v>57</v>
      </c>
      <c r="E1758" t="s">
        <v>138</v>
      </c>
      <c r="F1758" t="s">
        <v>71</v>
      </c>
      <c r="G1758" t="s">
        <v>99</v>
      </c>
      <c r="H1758" t="s">
        <v>47</v>
      </c>
      <c r="I1758" t="s">
        <v>61</v>
      </c>
      <c r="J1758" s="1">
        <v>45725</v>
      </c>
      <c r="K1758" s="1">
        <v>45725</v>
      </c>
      <c r="L1758" s="3">
        <v>16000</v>
      </c>
      <c r="M1758" s="4">
        <v>0</v>
      </c>
      <c r="N1758" s="4">
        <v>0</v>
      </c>
      <c r="O1758" t="s">
        <v>79</v>
      </c>
      <c r="P1758">
        <v>4</v>
      </c>
      <c r="Q1758" t="str">
        <f>IFERROR(VLOOKUP(E1758,Lookups!$A$5:$B$24,2,FALSE),"Other")</f>
        <v>Organic Search</v>
      </c>
      <c r="R1758" t="str">
        <f>IFERROR(VLOOKUP(F1758,Lookups!$D$5:$F$10,2,FALSE),"Unknown Product")</f>
        <v>Marketing Automation</v>
      </c>
      <c r="S1758" t="str">
        <f>IFERROR(VLOOKUP(F1758,Lookups!$D$5:$F$10,3,FALSE),"Unknown")</f>
        <v>Marketing</v>
      </c>
      <c r="T1758" t="str">
        <f t="shared" si="297"/>
        <v>SMB</v>
      </c>
      <c r="U1758" t="str">
        <f t="shared" si="298"/>
        <v>Lost</v>
      </c>
      <c r="V1758" s="3">
        <f t="shared" si="299"/>
        <v>0</v>
      </c>
      <c r="W1758" s="3">
        <f t="shared" si="300"/>
        <v>0</v>
      </c>
      <c r="X1758" s="5">
        <f t="shared" si="301"/>
        <v>40</v>
      </c>
      <c r="Y1758" s="5">
        <f>IF(U1758="Open",Lookups!$B$2-B1758,X1758)</f>
        <v>40</v>
      </c>
      <c r="Z1758" t="str">
        <f t="shared" si="302"/>
        <v>OK</v>
      </c>
      <c r="AA1758" t="str">
        <f t="shared" si="303"/>
        <v>2025-01</v>
      </c>
      <c r="AB1758" t="str">
        <f t="shared" si="304"/>
        <v>2025-03</v>
      </c>
      <c r="AC1758" t="str">
        <f t="shared" si="305"/>
        <v>Q1-2025</v>
      </c>
      <c r="AD1758" s="5">
        <f t="shared" si="306"/>
        <v>49</v>
      </c>
      <c r="AE1758" t="str">
        <f t="shared" si="307"/>
        <v>Lost</v>
      </c>
    </row>
    <row r="1759" spans="1:31">
      <c r="A1759" t="s">
        <v>1861</v>
      </c>
      <c r="B1759" s="1">
        <v>46213</v>
      </c>
      <c r="C1759" t="s">
        <v>69</v>
      </c>
      <c r="D1759" t="s">
        <v>57</v>
      </c>
      <c r="E1759" t="s">
        <v>107</v>
      </c>
      <c r="F1759" t="s">
        <v>71</v>
      </c>
      <c r="G1759" t="s">
        <v>99</v>
      </c>
      <c r="H1759" t="s">
        <v>53</v>
      </c>
      <c r="I1759" t="s">
        <v>105</v>
      </c>
      <c r="J1759" s="1">
        <v>46252</v>
      </c>
      <c r="K1759" s="1"/>
      <c r="L1759" s="3">
        <v>20900</v>
      </c>
      <c r="M1759" s="4">
        <v>0</v>
      </c>
      <c r="N1759" s="4">
        <v>0.4</v>
      </c>
      <c r="P1759">
        <v>3</v>
      </c>
      <c r="Q1759" t="str">
        <f>IFERROR(VLOOKUP(E1759,Lookups!$A$5:$B$24,2,FALSE),"Other")</f>
        <v>Referral</v>
      </c>
      <c r="R1759" t="str">
        <f>IFERROR(VLOOKUP(F1759,Lookups!$D$5:$F$10,2,FALSE),"Unknown Product")</f>
        <v>Marketing Automation</v>
      </c>
      <c r="S1759" t="str">
        <f>IFERROR(VLOOKUP(F1759,Lookups!$D$5:$F$10,3,FALSE),"Unknown")</f>
        <v>Marketing</v>
      </c>
      <c r="T1759" t="str">
        <f t="shared" si="297"/>
        <v>Mid-Market</v>
      </c>
      <c r="U1759" t="str">
        <f t="shared" si="298"/>
        <v>Open</v>
      </c>
      <c r="V1759" s="3">
        <f t="shared" si="299"/>
        <v>0</v>
      </c>
      <c r="W1759" s="3">
        <f t="shared" si="300"/>
        <v>8360</v>
      </c>
      <c r="X1759" s="5" t="str">
        <f t="shared" si="301"/>
        <v/>
      </c>
      <c r="Y1759" s="5">
        <f>IF(U1759="Open",Lookups!$B$2-B1759,X1759)</f>
        <v>53</v>
      </c>
      <c r="Z1759" t="str">
        <f t="shared" si="302"/>
        <v>STALE</v>
      </c>
      <c r="AA1759" t="str">
        <f t="shared" si="303"/>
        <v>2026-07</v>
      </c>
      <c r="AB1759" t="str">
        <f t="shared" si="304"/>
        <v/>
      </c>
      <c r="AC1759" t="str">
        <f t="shared" si="305"/>
        <v>Q3-2026</v>
      </c>
      <c r="AD1759" s="5">
        <f t="shared" si="306"/>
        <v>70</v>
      </c>
      <c r="AE1759" t="str">
        <f t="shared" si="307"/>
        <v>Pipeline</v>
      </c>
    </row>
    <row r="1760" spans="1:31">
      <c r="A1760" t="s">
        <v>1862</v>
      </c>
      <c r="B1760" s="1">
        <v>45689</v>
      </c>
      <c r="C1760" t="s">
        <v>148</v>
      </c>
      <c r="D1760" t="s">
        <v>43</v>
      </c>
      <c r="E1760" t="s">
        <v>127</v>
      </c>
      <c r="F1760" t="s">
        <v>71</v>
      </c>
      <c r="G1760" t="s">
        <v>112</v>
      </c>
      <c r="H1760" t="s">
        <v>47</v>
      </c>
      <c r="I1760" t="s">
        <v>61</v>
      </c>
      <c r="J1760" s="1">
        <v>45738</v>
      </c>
      <c r="K1760" s="1">
        <v>45738</v>
      </c>
      <c r="L1760" s="3">
        <v>19000</v>
      </c>
      <c r="M1760" s="4">
        <v>0</v>
      </c>
      <c r="N1760" s="4">
        <v>0</v>
      </c>
      <c r="O1760" t="s">
        <v>79</v>
      </c>
      <c r="P1760">
        <v>2</v>
      </c>
      <c r="Q1760" t="str">
        <f>IFERROR(VLOOKUP(E1760,Lookups!$A$5:$B$24,2,FALSE),"Other")</f>
        <v>Paid Search</v>
      </c>
      <c r="R1760" t="str">
        <f>IFERROR(VLOOKUP(F1760,Lookups!$D$5:$F$10,2,FALSE),"Unknown Product")</f>
        <v>Marketing Automation</v>
      </c>
      <c r="S1760" t="str">
        <f>IFERROR(VLOOKUP(F1760,Lookups!$D$5:$F$10,3,FALSE),"Unknown")</f>
        <v>Marketing</v>
      </c>
      <c r="T1760" t="str">
        <f t="shared" si="297"/>
        <v>SMB</v>
      </c>
      <c r="U1760" t="str">
        <f t="shared" si="298"/>
        <v>Lost</v>
      </c>
      <c r="V1760" s="3">
        <f t="shared" si="299"/>
        <v>0</v>
      </c>
      <c r="W1760" s="3">
        <f t="shared" si="300"/>
        <v>0</v>
      </c>
      <c r="X1760" s="5">
        <f t="shared" si="301"/>
        <v>49</v>
      </c>
      <c r="Y1760" s="5">
        <f>IF(U1760="Open",Lookups!$B$2-B1760,X1760)</f>
        <v>49</v>
      </c>
      <c r="Z1760" t="str">
        <f t="shared" si="302"/>
        <v>OK</v>
      </c>
      <c r="AA1760" t="str">
        <f t="shared" si="303"/>
        <v>2025-02</v>
      </c>
      <c r="AB1760" t="str">
        <f t="shared" si="304"/>
        <v>2025-03</v>
      </c>
      <c r="AC1760" t="str">
        <f t="shared" si="305"/>
        <v>Q1-2025</v>
      </c>
      <c r="AD1760" s="5">
        <f t="shared" si="306"/>
        <v>48</v>
      </c>
      <c r="AE1760" t="str">
        <f t="shared" si="307"/>
        <v>Lost</v>
      </c>
    </row>
    <row r="1761" spans="1:31">
      <c r="A1761" t="s">
        <v>1863</v>
      </c>
      <c r="B1761" s="1">
        <v>45834</v>
      </c>
      <c r="C1761" t="s">
        <v>86</v>
      </c>
      <c r="D1761" t="s">
        <v>87</v>
      </c>
      <c r="E1761" t="s">
        <v>160</v>
      </c>
      <c r="F1761" t="s">
        <v>133</v>
      </c>
      <c r="G1761" t="s">
        <v>94</v>
      </c>
      <c r="H1761" t="s">
        <v>84</v>
      </c>
      <c r="I1761" t="s">
        <v>61</v>
      </c>
      <c r="J1761" s="1">
        <v>45886</v>
      </c>
      <c r="K1761" s="1">
        <v>45886</v>
      </c>
      <c r="L1761" s="3">
        <v>104700</v>
      </c>
      <c r="M1761" s="4">
        <v>0</v>
      </c>
      <c r="N1761" s="4">
        <v>0</v>
      </c>
      <c r="O1761" t="s">
        <v>110</v>
      </c>
      <c r="P1761">
        <v>3</v>
      </c>
      <c r="Q1761" t="str">
        <f>IFERROR(VLOOKUP(E1761,Lookups!$A$5:$B$24,2,FALSE),"Other")</f>
        <v>Email</v>
      </c>
      <c r="R1761" t="str">
        <f>IFERROR(VLOOKUP(F1761,Lookups!$D$5:$F$10,2,FALSE),"Unknown Product")</f>
        <v>Analytics Plus</v>
      </c>
      <c r="S1761" t="str">
        <f>IFERROR(VLOOKUP(F1761,Lookups!$D$5:$F$10,3,FALSE),"Unknown")</f>
        <v>Analytics</v>
      </c>
      <c r="T1761" t="str">
        <f t="shared" si="297"/>
        <v>Enterprise</v>
      </c>
      <c r="U1761" t="str">
        <f t="shared" si="298"/>
        <v>Lost</v>
      </c>
      <c r="V1761" s="3">
        <f t="shared" si="299"/>
        <v>0</v>
      </c>
      <c r="W1761" s="3">
        <f t="shared" si="300"/>
        <v>0</v>
      </c>
      <c r="X1761" s="5">
        <f t="shared" si="301"/>
        <v>52</v>
      </c>
      <c r="Y1761" s="5">
        <f>IF(U1761="Open",Lookups!$B$2-B1761,X1761)</f>
        <v>52</v>
      </c>
      <c r="Z1761" t="str">
        <f t="shared" si="302"/>
        <v>OK</v>
      </c>
      <c r="AA1761" t="str">
        <f t="shared" si="303"/>
        <v>2025-06</v>
      </c>
      <c r="AB1761" t="str">
        <f t="shared" si="304"/>
        <v>2025-08</v>
      </c>
      <c r="AC1761" t="str">
        <f t="shared" si="305"/>
        <v>Q2-2025</v>
      </c>
      <c r="AD1761" s="5">
        <f t="shared" si="306"/>
        <v>78</v>
      </c>
      <c r="AE1761" t="str">
        <f t="shared" si="307"/>
        <v>Lost</v>
      </c>
    </row>
    <row r="1762" spans="1:31">
      <c r="A1762" t="s">
        <v>1864</v>
      </c>
      <c r="B1762" s="1">
        <v>46212</v>
      </c>
      <c r="C1762" t="s">
        <v>69</v>
      </c>
      <c r="D1762" t="s">
        <v>57</v>
      </c>
      <c r="E1762" t="s">
        <v>70</v>
      </c>
      <c r="F1762" t="s">
        <v>71</v>
      </c>
      <c r="G1762" t="s">
        <v>112</v>
      </c>
      <c r="H1762" t="s">
        <v>47</v>
      </c>
      <c r="I1762" t="s">
        <v>61</v>
      </c>
      <c r="J1762" s="1">
        <v>46226</v>
      </c>
      <c r="K1762" s="1">
        <v>46226</v>
      </c>
      <c r="L1762" s="3">
        <v>19700</v>
      </c>
      <c r="M1762" s="4">
        <v>0</v>
      </c>
      <c r="N1762" s="4">
        <v>0</v>
      </c>
      <c r="O1762" t="s">
        <v>102</v>
      </c>
      <c r="P1762">
        <v>4</v>
      </c>
      <c r="Q1762" t="str">
        <f>IFERROR(VLOOKUP(E1762,Lookups!$A$5:$B$24,2,FALSE),"Other")</f>
        <v>LinkedIn</v>
      </c>
      <c r="R1762" t="str">
        <f>IFERROR(VLOOKUP(F1762,Lookups!$D$5:$F$10,2,FALSE),"Unknown Product")</f>
        <v>Marketing Automation</v>
      </c>
      <c r="S1762" t="str">
        <f>IFERROR(VLOOKUP(F1762,Lookups!$D$5:$F$10,3,FALSE),"Unknown")</f>
        <v>Marketing</v>
      </c>
      <c r="T1762" t="str">
        <f t="shared" si="297"/>
        <v>SMB</v>
      </c>
      <c r="U1762" t="str">
        <f t="shared" si="298"/>
        <v>Lost</v>
      </c>
      <c r="V1762" s="3">
        <f t="shared" si="299"/>
        <v>0</v>
      </c>
      <c r="W1762" s="3">
        <f t="shared" si="300"/>
        <v>0</v>
      </c>
      <c r="X1762" s="5">
        <f t="shared" si="301"/>
        <v>14</v>
      </c>
      <c r="Y1762" s="5">
        <f>IF(U1762="Open",Lookups!$B$2-B1762,X1762)</f>
        <v>14</v>
      </c>
      <c r="Z1762" t="str">
        <f t="shared" si="302"/>
        <v>OK</v>
      </c>
      <c r="AA1762" t="str">
        <f t="shared" si="303"/>
        <v>2026-07</v>
      </c>
      <c r="AB1762" t="str">
        <f t="shared" si="304"/>
        <v>2026-07</v>
      </c>
      <c r="AC1762" t="str">
        <f t="shared" si="305"/>
        <v>Q3-2026</v>
      </c>
      <c r="AD1762" s="5">
        <f t="shared" si="306"/>
        <v>48</v>
      </c>
      <c r="AE1762" t="str">
        <f t="shared" si="307"/>
        <v>Lost</v>
      </c>
    </row>
    <row r="1763" spans="1:31">
      <c r="A1763" t="s">
        <v>1865</v>
      </c>
      <c r="B1763" s="1">
        <v>45874</v>
      </c>
      <c r="C1763" t="s">
        <v>64</v>
      </c>
      <c r="D1763" t="s">
        <v>57</v>
      </c>
      <c r="E1763" t="s">
        <v>58</v>
      </c>
      <c r="F1763" t="s">
        <v>67</v>
      </c>
      <c r="G1763" t="s">
        <v>112</v>
      </c>
      <c r="H1763" t="s">
        <v>47</v>
      </c>
      <c r="I1763" t="s">
        <v>61</v>
      </c>
      <c r="J1763" s="1">
        <v>45957</v>
      </c>
      <c r="K1763" s="1">
        <v>45957</v>
      </c>
      <c r="L1763" s="3">
        <v>20900</v>
      </c>
      <c r="M1763" s="4">
        <v>0</v>
      </c>
      <c r="N1763" s="4">
        <v>0</v>
      </c>
      <c r="O1763" t="s">
        <v>102</v>
      </c>
      <c r="P1763">
        <v>2</v>
      </c>
      <c r="Q1763" t="str">
        <f>IFERROR(VLOOKUP(E1763,Lookups!$A$5:$B$24,2,FALSE),"Other")</f>
        <v>Email</v>
      </c>
      <c r="R1763" t="str">
        <f>IFERROR(VLOOKUP(F1763,Lookups!$D$5:$F$10,2,FALSE),"Unknown Product")</f>
        <v>Revenue Operations Suite</v>
      </c>
      <c r="S1763" t="str">
        <f>IFERROR(VLOOKUP(F1763,Lookups!$D$5:$F$10,3,FALSE),"Unknown")</f>
        <v>Revenue Ops</v>
      </c>
      <c r="T1763" t="str">
        <f t="shared" si="297"/>
        <v>Mid-Market</v>
      </c>
      <c r="U1763" t="str">
        <f t="shared" si="298"/>
        <v>Lost</v>
      </c>
      <c r="V1763" s="3">
        <f t="shared" si="299"/>
        <v>0</v>
      </c>
      <c r="W1763" s="3">
        <f t="shared" si="300"/>
        <v>0</v>
      </c>
      <c r="X1763" s="5">
        <f t="shared" si="301"/>
        <v>83</v>
      </c>
      <c r="Y1763" s="5">
        <f>IF(U1763="Open",Lookups!$B$2-B1763,X1763)</f>
        <v>83</v>
      </c>
      <c r="Z1763" t="str">
        <f t="shared" si="302"/>
        <v>OK</v>
      </c>
      <c r="AA1763" t="str">
        <f t="shared" si="303"/>
        <v>2025-08</v>
      </c>
      <c r="AB1763" t="str">
        <f t="shared" si="304"/>
        <v>2025-10</v>
      </c>
      <c r="AC1763" t="str">
        <f t="shared" si="305"/>
        <v>Q3-2025</v>
      </c>
      <c r="AD1763" s="5">
        <f t="shared" si="306"/>
        <v>60</v>
      </c>
      <c r="AE1763" t="str">
        <f t="shared" si="307"/>
        <v>Lost</v>
      </c>
    </row>
    <row r="1764" spans="1:31">
      <c r="A1764" t="s">
        <v>1866</v>
      </c>
      <c r="B1764" s="1">
        <v>45715</v>
      </c>
      <c r="C1764" t="s">
        <v>64</v>
      </c>
      <c r="D1764" t="s">
        <v>57</v>
      </c>
      <c r="E1764" t="s">
        <v>98</v>
      </c>
      <c r="F1764" t="s">
        <v>71</v>
      </c>
      <c r="G1764" t="s">
        <v>112</v>
      </c>
      <c r="H1764" t="s">
        <v>47</v>
      </c>
      <c r="I1764" t="s">
        <v>61</v>
      </c>
      <c r="J1764" s="1">
        <v>45764</v>
      </c>
      <c r="K1764" s="1">
        <v>45764</v>
      </c>
      <c r="L1764" s="3">
        <v>17700</v>
      </c>
      <c r="M1764" s="4">
        <v>0</v>
      </c>
      <c r="N1764" s="4">
        <v>0</v>
      </c>
      <c r="O1764" t="s">
        <v>102</v>
      </c>
      <c r="P1764">
        <v>3</v>
      </c>
      <c r="Q1764" t="str">
        <f>IFERROR(VLOOKUP(E1764,Lookups!$A$5:$B$24,2,FALSE),"Other")</f>
        <v>Outbound</v>
      </c>
      <c r="R1764" t="str">
        <f>IFERROR(VLOOKUP(F1764,Lookups!$D$5:$F$10,2,FALSE),"Unknown Product")</f>
        <v>Marketing Automation</v>
      </c>
      <c r="S1764" t="str">
        <f>IFERROR(VLOOKUP(F1764,Lookups!$D$5:$F$10,3,FALSE),"Unknown")</f>
        <v>Marketing</v>
      </c>
      <c r="T1764" t="str">
        <f t="shared" si="297"/>
        <v>SMB</v>
      </c>
      <c r="U1764" t="str">
        <f t="shared" si="298"/>
        <v>Lost</v>
      </c>
      <c r="V1764" s="3">
        <f t="shared" si="299"/>
        <v>0</v>
      </c>
      <c r="W1764" s="3">
        <f t="shared" si="300"/>
        <v>0</v>
      </c>
      <c r="X1764" s="5">
        <f t="shared" si="301"/>
        <v>49</v>
      </c>
      <c r="Y1764" s="5">
        <f>IF(U1764="Open",Lookups!$B$2-B1764,X1764)</f>
        <v>49</v>
      </c>
      <c r="Z1764" t="str">
        <f t="shared" si="302"/>
        <v>OK</v>
      </c>
      <c r="AA1764" t="str">
        <f t="shared" si="303"/>
        <v>2025-02</v>
      </c>
      <c r="AB1764" t="str">
        <f t="shared" si="304"/>
        <v>2025-04</v>
      </c>
      <c r="AC1764" t="str">
        <f t="shared" si="305"/>
        <v>Q1-2025</v>
      </c>
      <c r="AD1764" s="5">
        <f t="shared" si="306"/>
        <v>48</v>
      </c>
      <c r="AE1764" t="str">
        <f t="shared" si="307"/>
        <v>Lost</v>
      </c>
    </row>
    <row r="1765" spans="1:31">
      <c r="A1765" t="s">
        <v>1867</v>
      </c>
      <c r="B1765" s="1">
        <v>46064</v>
      </c>
      <c r="C1765" t="s">
        <v>148</v>
      </c>
      <c r="D1765" t="s">
        <v>43</v>
      </c>
      <c r="E1765" t="s">
        <v>58</v>
      </c>
      <c r="F1765" t="s">
        <v>133</v>
      </c>
      <c r="G1765" t="s">
        <v>72</v>
      </c>
      <c r="H1765" t="s">
        <v>47</v>
      </c>
      <c r="I1765" t="s">
        <v>61</v>
      </c>
      <c r="J1765" s="1">
        <v>46097</v>
      </c>
      <c r="K1765" s="1">
        <v>46097</v>
      </c>
      <c r="L1765" s="3">
        <v>27100</v>
      </c>
      <c r="M1765" s="4">
        <v>0</v>
      </c>
      <c r="N1765" s="4">
        <v>0</v>
      </c>
      <c r="O1765" t="s">
        <v>79</v>
      </c>
      <c r="P1765">
        <v>2</v>
      </c>
      <c r="Q1765" t="str">
        <f>IFERROR(VLOOKUP(E1765,Lookups!$A$5:$B$24,2,FALSE),"Other")</f>
        <v>Email</v>
      </c>
      <c r="R1765" t="str">
        <f>IFERROR(VLOOKUP(F1765,Lookups!$D$5:$F$10,2,FALSE),"Unknown Product")</f>
        <v>Analytics Plus</v>
      </c>
      <c r="S1765" t="str">
        <f>IFERROR(VLOOKUP(F1765,Lookups!$D$5:$F$10,3,FALSE),"Unknown")</f>
        <v>Analytics</v>
      </c>
      <c r="T1765" t="str">
        <f t="shared" si="297"/>
        <v>Mid-Market</v>
      </c>
      <c r="U1765" t="str">
        <f t="shared" si="298"/>
        <v>Lost</v>
      </c>
      <c r="V1765" s="3">
        <f t="shared" si="299"/>
        <v>0</v>
      </c>
      <c r="W1765" s="3">
        <f t="shared" si="300"/>
        <v>0</v>
      </c>
      <c r="X1765" s="5">
        <f t="shared" si="301"/>
        <v>33</v>
      </c>
      <c r="Y1765" s="5">
        <f>IF(U1765="Open",Lookups!$B$2-B1765,X1765)</f>
        <v>33</v>
      </c>
      <c r="Z1765" t="str">
        <f t="shared" si="302"/>
        <v>OK</v>
      </c>
      <c r="AA1765" t="str">
        <f t="shared" si="303"/>
        <v>2026-02</v>
      </c>
      <c r="AB1765" t="str">
        <f t="shared" si="304"/>
        <v>2026-03</v>
      </c>
      <c r="AC1765" t="str">
        <f t="shared" si="305"/>
        <v>Q1-2026</v>
      </c>
      <c r="AD1765" s="5">
        <f t="shared" si="306"/>
        <v>55</v>
      </c>
      <c r="AE1765" t="str">
        <f t="shared" si="307"/>
        <v>Lost</v>
      </c>
    </row>
    <row r="1766" spans="1:31">
      <c r="A1766" t="s">
        <v>1868</v>
      </c>
      <c r="B1766" s="1">
        <v>45713</v>
      </c>
      <c r="C1766" t="s">
        <v>90</v>
      </c>
      <c r="D1766" t="s">
        <v>57</v>
      </c>
      <c r="E1766" t="s">
        <v>107</v>
      </c>
      <c r="F1766" t="s">
        <v>59</v>
      </c>
      <c r="G1766" t="s">
        <v>76</v>
      </c>
      <c r="H1766" t="s">
        <v>53</v>
      </c>
      <c r="I1766" t="s">
        <v>48</v>
      </c>
      <c r="J1766" s="1">
        <v>46037</v>
      </c>
      <c r="K1766" s="1"/>
      <c r="L1766" s="3">
        <v>42600</v>
      </c>
      <c r="M1766" s="4">
        <v>0.05</v>
      </c>
      <c r="N1766" s="4">
        <v>0.85</v>
      </c>
      <c r="P1766">
        <v>5</v>
      </c>
      <c r="Q1766" t="str">
        <f>IFERROR(VLOOKUP(E1766,Lookups!$A$5:$B$24,2,FALSE),"Other")</f>
        <v>Referral</v>
      </c>
      <c r="R1766" t="str">
        <f>IFERROR(VLOOKUP(F1766,Lookups!$D$5:$F$10,2,FALSE),"Unknown Product")</f>
        <v>NexaCRM Pro</v>
      </c>
      <c r="S1766" t="str">
        <f>IFERROR(VLOOKUP(F1766,Lookups!$D$5:$F$10,3,FALSE),"Unknown")</f>
        <v>CRM</v>
      </c>
      <c r="T1766" t="str">
        <f t="shared" si="297"/>
        <v>Mid-Market</v>
      </c>
      <c r="U1766" t="str">
        <f t="shared" si="298"/>
        <v>Open</v>
      </c>
      <c r="V1766" s="3">
        <f t="shared" si="299"/>
        <v>0</v>
      </c>
      <c r="W1766" s="3">
        <f t="shared" si="300"/>
        <v>36210</v>
      </c>
      <c r="X1766" s="5" t="str">
        <f t="shared" si="301"/>
        <v/>
      </c>
      <c r="Y1766" s="5">
        <f>IF(U1766="Open",Lookups!$B$2-B1766,X1766)</f>
        <v>553</v>
      </c>
      <c r="Z1766" t="str">
        <f t="shared" si="302"/>
        <v>STALE</v>
      </c>
      <c r="AA1766" t="str">
        <f t="shared" si="303"/>
        <v>2025-02</v>
      </c>
      <c r="AB1766" t="str">
        <f t="shared" si="304"/>
        <v/>
      </c>
      <c r="AC1766" t="str">
        <f t="shared" si="305"/>
        <v>Q1-2025</v>
      </c>
      <c r="AD1766" s="5">
        <f t="shared" si="306"/>
        <v>70</v>
      </c>
      <c r="AE1766" t="str">
        <f t="shared" si="307"/>
        <v>Commit</v>
      </c>
    </row>
    <row r="1767" spans="1:31">
      <c r="A1767" t="s">
        <v>1869</v>
      </c>
      <c r="B1767" s="1">
        <v>45902</v>
      </c>
      <c r="C1767" t="s">
        <v>56</v>
      </c>
      <c r="D1767" t="s">
        <v>57</v>
      </c>
      <c r="E1767" t="s">
        <v>98</v>
      </c>
      <c r="F1767" t="s">
        <v>52</v>
      </c>
      <c r="G1767" t="s">
        <v>60</v>
      </c>
      <c r="H1767" t="s">
        <v>84</v>
      </c>
      <c r="I1767" t="s">
        <v>48</v>
      </c>
      <c r="J1767" s="1">
        <v>46123</v>
      </c>
      <c r="K1767" s="1"/>
      <c r="L1767" s="3">
        <v>19300</v>
      </c>
      <c r="M1767" s="4">
        <v>0</v>
      </c>
      <c r="N1767" s="4">
        <v>0.85</v>
      </c>
      <c r="P1767">
        <v>5</v>
      </c>
      <c r="Q1767" t="str">
        <f>IFERROR(VLOOKUP(E1767,Lookups!$A$5:$B$24,2,FALSE),"Other")</f>
        <v>Outbound</v>
      </c>
      <c r="R1767" t="str">
        <f>IFERROR(VLOOKUP(F1767,Lookups!$D$5:$F$10,2,FALSE),"Unknown Product")</f>
        <v>NexaCRM Core</v>
      </c>
      <c r="S1767" t="str">
        <f>IFERROR(VLOOKUP(F1767,Lookups!$D$5:$F$10,3,FALSE),"Unknown")</f>
        <v>CRM</v>
      </c>
      <c r="T1767" t="str">
        <f t="shared" si="297"/>
        <v>SMB</v>
      </c>
      <c r="U1767" t="str">
        <f t="shared" si="298"/>
        <v>Open</v>
      </c>
      <c r="V1767" s="3">
        <f t="shared" si="299"/>
        <v>0</v>
      </c>
      <c r="W1767" s="3">
        <f t="shared" si="300"/>
        <v>16405</v>
      </c>
      <c r="X1767" s="5" t="str">
        <f t="shared" si="301"/>
        <v/>
      </c>
      <c r="Y1767" s="5">
        <f>IF(U1767="Open",Lookups!$B$2-B1767,X1767)</f>
        <v>364</v>
      </c>
      <c r="Z1767" t="str">
        <f t="shared" si="302"/>
        <v>STALE</v>
      </c>
      <c r="AA1767" t="str">
        <f t="shared" si="303"/>
        <v>2025-09</v>
      </c>
      <c r="AB1767" t="str">
        <f t="shared" si="304"/>
        <v/>
      </c>
      <c r="AC1767" t="str">
        <f t="shared" si="305"/>
        <v>Q3-2025</v>
      </c>
      <c r="AD1767" s="5">
        <f t="shared" si="306"/>
        <v>59</v>
      </c>
      <c r="AE1767" t="str">
        <f t="shared" si="307"/>
        <v>Commit</v>
      </c>
    </row>
    <row r="1768" spans="1:31">
      <c r="A1768" t="s">
        <v>1870</v>
      </c>
      <c r="B1768" s="1">
        <v>46169</v>
      </c>
      <c r="C1768" t="s">
        <v>69</v>
      </c>
      <c r="D1768" t="s">
        <v>57</v>
      </c>
      <c r="E1768" t="s">
        <v>58</v>
      </c>
      <c r="F1768" t="s">
        <v>52</v>
      </c>
      <c r="G1768" t="s">
        <v>60</v>
      </c>
      <c r="H1768" t="s">
        <v>84</v>
      </c>
      <c r="I1768" t="s">
        <v>54</v>
      </c>
      <c r="J1768" s="1">
        <v>46211</v>
      </c>
      <c r="K1768" s="1"/>
      <c r="L1768" s="3">
        <v>20000</v>
      </c>
      <c r="M1768" s="4">
        <v>0</v>
      </c>
      <c r="N1768" s="4">
        <v>0.65</v>
      </c>
      <c r="P1768">
        <v>4</v>
      </c>
      <c r="Q1768" t="str">
        <f>IFERROR(VLOOKUP(E1768,Lookups!$A$5:$B$24,2,FALSE),"Other")</f>
        <v>Email</v>
      </c>
      <c r="R1768" t="str">
        <f>IFERROR(VLOOKUP(F1768,Lookups!$D$5:$F$10,2,FALSE),"Unknown Product")</f>
        <v>NexaCRM Core</v>
      </c>
      <c r="S1768" t="str">
        <f>IFERROR(VLOOKUP(F1768,Lookups!$D$5:$F$10,3,FALSE),"Unknown")</f>
        <v>CRM</v>
      </c>
      <c r="T1768" t="str">
        <f t="shared" si="297"/>
        <v>Mid-Market</v>
      </c>
      <c r="U1768" t="str">
        <f t="shared" si="298"/>
        <v>Open</v>
      </c>
      <c r="V1768" s="3">
        <f t="shared" si="299"/>
        <v>0</v>
      </c>
      <c r="W1768" s="3">
        <f t="shared" si="300"/>
        <v>13000</v>
      </c>
      <c r="X1768" s="5" t="str">
        <f t="shared" si="301"/>
        <v/>
      </c>
      <c r="Y1768" s="5">
        <f>IF(U1768="Open",Lookups!$B$2-B1768,X1768)</f>
        <v>97</v>
      </c>
      <c r="Z1768" t="str">
        <f t="shared" si="302"/>
        <v>STALE</v>
      </c>
      <c r="AA1768" t="str">
        <f t="shared" si="303"/>
        <v>2026-05</v>
      </c>
      <c r="AB1768" t="str">
        <f t="shared" si="304"/>
        <v/>
      </c>
      <c r="AC1768" t="str">
        <f t="shared" si="305"/>
        <v>Q2-2026</v>
      </c>
      <c r="AD1768" s="5">
        <f t="shared" si="306"/>
        <v>71</v>
      </c>
      <c r="AE1768" t="str">
        <f t="shared" si="307"/>
        <v>Best Case</v>
      </c>
    </row>
    <row r="1769" spans="1:31">
      <c r="A1769" t="s">
        <v>1871</v>
      </c>
      <c r="B1769" s="1">
        <v>45676</v>
      </c>
      <c r="C1769" t="s">
        <v>148</v>
      </c>
      <c r="D1769" t="s">
        <v>43</v>
      </c>
      <c r="E1769" t="s">
        <v>44</v>
      </c>
      <c r="F1769" t="s">
        <v>67</v>
      </c>
      <c r="G1769" t="s">
        <v>112</v>
      </c>
      <c r="H1769" t="s">
        <v>47</v>
      </c>
      <c r="I1769" t="s">
        <v>61</v>
      </c>
      <c r="J1769" s="1">
        <v>45716</v>
      </c>
      <c r="K1769" s="1">
        <v>45716</v>
      </c>
      <c r="L1769" s="3">
        <v>26500</v>
      </c>
      <c r="M1769" s="4">
        <v>0</v>
      </c>
      <c r="N1769" s="4">
        <v>0</v>
      </c>
      <c r="O1769" t="s">
        <v>79</v>
      </c>
      <c r="P1769">
        <v>2</v>
      </c>
      <c r="Q1769" t="str">
        <f>IFERROR(VLOOKUP(E1769,Lookups!$A$5:$B$24,2,FALSE),"Other")</f>
        <v>Organic Search</v>
      </c>
      <c r="R1769" t="str">
        <f>IFERROR(VLOOKUP(F1769,Lookups!$D$5:$F$10,2,FALSE),"Unknown Product")</f>
        <v>Revenue Operations Suite</v>
      </c>
      <c r="S1769" t="str">
        <f>IFERROR(VLOOKUP(F1769,Lookups!$D$5:$F$10,3,FALSE),"Unknown")</f>
        <v>Revenue Ops</v>
      </c>
      <c r="T1769" t="str">
        <f t="shared" si="297"/>
        <v>Mid-Market</v>
      </c>
      <c r="U1769" t="str">
        <f t="shared" si="298"/>
        <v>Lost</v>
      </c>
      <c r="V1769" s="3">
        <f t="shared" si="299"/>
        <v>0</v>
      </c>
      <c r="W1769" s="3">
        <f t="shared" si="300"/>
        <v>0</v>
      </c>
      <c r="X1769" s="5">
        <f t="shared" si="301"/>
        <v>40</v>
      </c>
      <c r="Y1769" s="5">
        <f>IF(U1769="Open",Lookups!$B$2-B1769,X1769)</f>
        <v>40</v>
      </c>
      <c r="Z1769" t="str">
        <f t="shared" si="302"/>
        <v>OK</v>
      </c>
      <c r="AA1769" t="str">
        <f t="shared" si="303"/>
        <v>2025-01</v>
      </c>
      <c r="AB1769" t="str">
        <f t="shared" si="304"/>
        <v>2025-02</v>
      </c>
      <c r="AC1769" t="str">
        <f t="shared" si="305"/>
        <v>Q1-2025</v>
      </c>
      <c r="AD1769" s="5">
        <f t="shared" si="306"/>
        <v>62</v>
      </c>
      <c r="AE1769" t="str">
        <f t="shared" si="307"/>
        <v>Lost</v>
      </c>
    </row>
    <row r="1770" spans="1:31">
      <c r="A1770" t="s">
        <v>1872</v>
      </c>
      <c r="B1770" s="1">
        <v>45783</v>
      </c>
      <c r="C1770" t="s">
        <v>50</v>
      </c>
      <c r="D1770" t="s">
        <v>43</v>
      </c>
      <c r="E1770" t="s">
        <v>138</v>
      </c>
      <c r="F1770" t="s">
        <v>59</v>
      </c>
      <c r="G1770" t="s">
        <v>76</v>
      </c>
      <c r="H1770" t="s">
        <v>47</v>
      </c>
      <c r="I1770" t="s">
        <v>61</v>
      </c>
      <c r="J1770" s="1">
        <v>45803</v>
      </c>
      <c r="K1770" s="1">
        <v>45803</v>
      </c>
      <c r="L1770" s="3">
        <v>17400</v>
      </c>
      <c r="M1770" s="4">
        <v>0</v>
      </c>
      <c r="N1770" s="4">
        <v>0</v>
      </c>
      <c r="O1770" t="s">
        <v>116</v>
      </c>
      <c r="P1770">
        <v>2</v>
      </c>
      <c r="Q1770" t="str">
        <f>IFERROR(VLOOKUP(E1770,Lookups!$A$5:$B$24,2,FALSE),"Other")</f>
        <v>Organic Search</v>
      </c>
      <c r="R1770" t="str">
        <f>IFERROR(VLOOKUP(F1770,Lookups!$D$5:$F$10,2,FALSE),"Unknown Product")</f>
        <v>NexaCRM Pro</v>
      </c>
      <c r="S1770" t="str">
        <f>IFERROR(VLOOKUP(F1770,Lookups!$D$5:$F$10,3,FALSE),"Unknown")</f>
        <v>CRM</v>
      </c>
      <c r="T1770" t="str">
        <f t="shared" si="297"/>
        <v>SMB</v>
      </c>
      <c r="U1770" t="str">
        <f t="shared" si="298"/>
        <v>Lost</v>
      </c>
      <c r="V1770" s="3">
        <f t="shared" si="299"/>
        <v>0</v>
      </c>
      <c r="W1770" s="3">
        <f t="shared" si="300"/>
        <v>0</v>
      </c>
      <c r="X1770" s="5">
        <f t="shared" si="301"/>
        <v>20</v>
      </c>
      <c r="Y1770" s="5">
        <f>IF(U1770="Open",Lookups!$B$2-B1770,X1770)</f>
        <v>20</v>
      </c>
      <c r="Z1770" t="str">
        <f t="shared" si="302"/>
        <v>OK</v>
      </c>
      <c r="AA1770" t="str">
        <f t="shared" si="303"/>
        <v>2025-05</v>
      </c>
      <c r="AB1770" t="str">
        <f t="shared" si="304"/>
        <v>2025-05</v>
      </c>
      <c r="AC1770" t="str">
        <f t="shared" si="305"/>
        <v>Q2-2025</v>
      </c>
      <c r="AD1770" s="5">
        <f t="shared" si="306"/>
        <v>49</v>
      </c>
      <c r="AE1770" t="str">
        <f t="shared" si="307"/>
        <v>Lost</v>
      </c>
    </row>
    <row r="1771" spans="1:31">
      <c r="A1771" t="s">
        <v>1873</v>
      </c>
      <c r="B1771" s="1">
        <v>45779</v>
      </c>
      <c r="C1771" t="s">
        <v>69</v>
      </c>
      <c r="D1771" t="s">
        <v>57</v>
      </c>
      <c r="E1771" t="s">
        <v>75</v>
      </c>
      <c r="F1771" t="s">
        <v>45</v>
      </c>
      <c r="G1771" t="s">
        <v>94</v>
      </c>
      <c r="H1771" t="s">
        <v>53</v>
      </c>
      <c r="I1771" t="s">
        <v>77</v>
      </c>
      <c r="J1771" s="1">
        <v>45791</v>
      </c>
      <c r="K1771" s="1">
        <v>45791</v>
      </c>
      <c r="L1771" s="3">
        <v>22600</v>
      </c>
      <c r="M1771" s="4">
        <v>0.05</v>
      </c>
      <c r="N1771" s="4">
        <v>1</v>
      </c>
      <c r="P1771">
        <v>6</v>
      </c>
      <c r="Q1771" t="str">
        <f>IFERROR(VLOOKUP(E1771,Lookups!$A$5:$B$24,2,FALSE),"Other")</f>
        <v>Webinar</v>
      </c>
      <c r="R1771" t="str">
        <f>IFERROR(VLOOKUP(F1771,Lookups!$D$5:$F$10,2,FALSE),"Unknown Product")</f>
        <v>Service Cloud</v>
      </c>
      <c r="S1771" t="str">
        <f>IFERROR(VLOOKUP(F1771,Lookups!$D$5:$F$10,3,FALSE),"Unknown")</f>
        <v>Customer Service</v>
      </c>
      <c r="T1771" t="str">
        <f t="shared" si="297"/>
        <v>Mid-Market</v>
      </c>
      <c r="U1771" t="str">
        <f t="shared" si="298"/>
        <v>Won</v>
      </c>
      <c r="V1771" s="3">
        <f t="shared" si="299"/>
        <v>21470</v>
      </c>
      <c r="W1771" s="3">
        <f t="shared" si="300"/>
        <v>0</v>
      </c>
      <c r="X1771" s="5">
        <f t="shared" si="301"/>
        <v>12</v>
      </c>
      <c r="Y1771" s="5">
        <f>IF(U1771="Open",Lookups!$B$2-B1771,X1771)</f>
        <v>12</v>
      </c>
      <c r="Z1771" t="str">
        <f t="shared" si="302"/>
        <v>OK</v>
      </c>
      <c r="AA1771" t="str">
        <f t="shared" si="303"/>
        <v>2025-05</v>
      </c>
      <c r="AB1771" t="str">
        <f t="shared" si="304"/>
        <v>2025-05</v>
      </c>
      <c r="AC1771" t="str">
        <f t="shared" si="305"/>
        <v>Q2-2025</v>
      </c>
      <c r="AD1771" s="5">
        <f t="shared" si="306"/>
        <v>59</v>
      </c>
      <c r="AE1771" t="str">
        <f t="shared" si="307"/>
        <v>Won</v>
      </c>
    </row>
    <row r="1772" spans="1:31">
      <c r="A1772" t="s">
        <v>1874</v>
      </c>
      <c r="B1772" s="1">
        <v>45768</v>
      </c>
      <c r="C1772" t="s">
        <v>50</v>
      </c>
      <c r="D1772" t="s">
        <v>43</v>
      </c>
      <c r="E1772" t="s">
        <v>123</v>
      </c>
      <c r="F1772" t="s">
        <v>52</v>
      </c>
      <c r="G1772" t="s">
        <v>72</v>
      </c>
      <c r="H1772" t="s">
        <v>47</v>
      </c>
      <c r="I1772" t="s">
        <v>61</v>
      </c>
      <c r="J1772" s="1">
        <v>45822</v>
      </c>
      <c r="K1772" s="1">
        <v>45822</v>
      </c>
      <c r="L1772" s="3">
        <v>9000</v>
      </c>
      <c r="M1772" s="4">
        <v>0</v>
      </c>
      <c r="N1772" s="4">
        <v>0</v>
      </c>
      <c r="O1772" t="s">
        <v>62</v>
      </c>
      <c r="P1772">
        <v>4</v>
      </c>
      <c r="Q1772" t="str">
        <f>IFERROR(VLOOKUP(E1772,Lookups!$A$5:$B$24,2,FALSE),"Other")</f>
        <v>Email</v>
      </c>
      <c r="R1772" t="str">
        <f>IFERROR(VLOOKUP(F1772,Lookups!$D$5:$F$10,2,FALSE),"Unknown Product")</f>
        <v>NexaCRM Core</v>
      </c>
      <c r="S1772" t="str">
        <f>IFERROR(VLOOKUP(F1772,Lookups!$D$5:$F$10,3,FALSE),"Unknown")</f>
        <v>CRM</v>
      </c>
      <c r="T1772" t="str">
        <f t="shared" si="297"/>
        <v>SMB</v>
      </c>
      <c r="U1772" t="str">
        <f t="shared" si="298"/>
        <v>Lost</v>
      </c>
      <c r="V1772" s="3">
        <f t="shared" si="299"/>
        <v>0</v>
      </c>
      <c r="W1772" s="3">
        <f t="shared" si="300"/>
        <v>0</v>
      </c>
      <c r="X1772" s="5">
        <f t="shared" si="301"/>
        <v>54</v>
      </c>
      <c r="Y1772" s="5">
        <f>IF(U1772="Open",Lookups!$B$2-B1772,X1772)</f>
        <v>54</v>
      </c>
      <c r="Z1772" t="str">
        <f t="shared" si="302"/>
        <v>OK</v>
      </c>
      <c r="AA1772" t="str">
        <f t="shared" si="303"/>
        <v>2025-04</v>
      </c>
      <c r="AB1772" t="str">
        <f t="shared" si="304"/>
        <v>2025-06</v>
      </c>
      <c r="AC1772" t="str">
        <f t="shared" si="305"/>
        <v>Q2-2025</v>
      </c>
      <c r="AD1772" s="5">
        <f t="shared" si="306"/>
        <v>47</v>
      </c>
      <c r="AE1772" t="str">
        <f t="shared" si="307"/>
        <v>Lost</v>
      </c>
    </row>
    <row r="1773" spans="1:31">
      <c r="A1773" t="s">
        <v>1875</v>
      </c>
      <c r="B1773" s="1">
        <v>46031</v>
      </c>
      <c r="C1773" t="s">
        <v>90</v>
      </c>
      <c r="D1773" t="s">
        <v>57</v>
      </c>
      <c r="E1773" t="s">
        <v>115</v>
      </c>
      <c r="F1773" t="s">
        <v>59</v>
      </c>
      <c r="G1773" t="s">
        <v>60</v>
      </c>
      <c r="H1773" t="s">
        <v>47</v>
      </c>
      <c r="I1773" t="s">
        <v>61</v>
      </c>
      <c r="J1773" s="1">
        <v>46093</v>
      </c>
      <c r="K1773" s="1">
        <v>46093</v>
      </c>
      <c r="L1773" s="3">
        <v>22000</v>
      </c>
      <c r="M1773" s="4">
        <v>0</v>
      </c>
      <c r="N1773" s="4">
        <v>0</v>
      </c>
      <c r="O1773" t="s">
        <v>116</v>
      </c>
      <c r="P1773">
        <v>4</v>
      </c>
      <c r="Q1773" t="str">
        <f>IFERROR(VLOOKUP(E1773,Lookups!$A$5:$B$24,2,FALSE),"Other")</f>
        <v>Outbound</v>
      </c>
      <c r="R1773" t="str">
        <f>IFERROR(VLOOKUP(F1773,Lookups!$D$5:$F$10,2,FALSE),"Unknown Product")</f>
        <v>NexaCRM Pro</v>
      </c>
      <c r="S1773" t="str">
        <f>IFERROR(VLOOKUP(F1773,Lookups!$D$5:$F$10,3,FALSE),"Unknown")</f>
        <v>CRM</v>
      </c>
      <c r="T1773" t="str">
        <f t="shared" si="297"/>
        <v>Mid-Market</v>
      </c>
      <c r="U1773" t="str">
        <f t="shared" si="298"/>
        <v>Lost</v>
      </c>
      <c r="V1773" s="3">
        <f t="shared" si="299"/>
        <v>0</v>
      </c>
      <c r="W1773" s="3">
        <f t="shared" si="300"/>
        <v>0</v>
      </c>
      <c r="X1773" s="5">
        <f t="shared" si="301"/>
        <v>62</v>
      </c>
      <c r="Y1773" s="5">
        <f>IF(U1773="Open",Lookups!$B$2-B1773,X1773)</f>
        <v>62</v>
      </c>
      <c r="Z1773" t="str">
        <f t="shared" si="302"/>
        <v>OK</v>
      </c>
      <c r="AA1773" t="str">
        <f t="shared" si="303"/>
        <v>2026-01</v>
      </c>
      <c r="AB1773" t="str">
        <f t="shared" si="304"/>
        <v>2026-03</v>
      </c>
      <c r="AC1773" t="str">
        <f t="shared" si="305"/>
        <v>Q1-2026</v>
      </c>
      <c r="AD1773" s="5">
        <f t="shared" si="306"/>
        <v>51</v>
      </c>
      <c r="AE1773" t="str">
        <f t="shared" si="307"/>
        <v>Lost</v>
      </c>
    </row>
    <row r="1774" spans="1:31">
      <c r="A1774" t="s">
        <v>1876</v>
      </c>
      <c r="B1774" s="1">
        <v>45816</v>
      </c>
      <c r="C1774" t="s">
        <v>148</v>
      </c>
      <c r="D1774" t="s">
        <v>43</v>
      </c>
      <c r="E1774" t="s">
        <v>96</v>
      </c>
      <c r="F1774" t="s">
        <v>45</v>
      </c>
      <c r="G1774" t="s">
        <v>76</v>
      </c>
      <c r="H1774" t="s">
        <v>53</v>
      </c>
      <c r="I1774" t="s">
        <v>61</v>
      </c>
      <c r="J1774" s="1">
        <v>45861</v>
      </c>
      <c r="K1774" s="1">
        <v>45861</v>
      </c>
      <c r="L1774" s="3">
        <v>38400</v>
      </c>
      <c r="M1774" s="4">
        <v>0</v>
      </c>
      <c r="N1774" s="4">
        <v>0</v>
      </c>
      <c r="O1774" t="s">
        <v>62</v>
      </c>
      <c r="P1774">
        <v>4</v>
      </c>
      <c r="Q1774" t="str">
        <f>IFERROR(VLOOKUP(E1774,Lookups!$A$5:$B$24,2,FALSE),"Other")</f>
        <v>LinkedIn</v>
      </c>
      <c r="R1774" t="str">
        <f>IFERROR(VLOOKUP(F1774,Lookups!$D$5:$F$10,2,FALSE),"Unknown Product")</f>
        <v>Service Cloud</v>
      </c>
      <c r="S1774" t="str">
        <f>IFERROR(VLOOKUP(F1774,Lookups!$D$5:$F$10,3,FALSE),"Unknown")</f>
        <v>Customer Service</v>
      </c>
      <c r="T1774" t="str">
        <f t="shared" si="297"/>
        <v>Mid-Market</v>
      </c>
      <c r="U1774" t="str">
        <f t="shared" si="298"/>
        <v>Lost</v>
      </c>
      <c r="V1774" s="3">
        <f t="shared" si="299"/>
        <v>0</v>
      </c>
      <c r="W1774" s="3">
        <f t="shared" si="300"/>
        <v>0</v>
      </c>
      <c r="X1774" s="5">
        <f t="shared" si="301"/>
        <v>45</v>
      </c>
      <c r="Y1774" s="5">
        <f>IF(U1774="Open",Lookups!$B$2-B1774,X1774)</f>
        <v>45</v>
      </c>
      <c r="Z1774" t="str">
        <f t="shared" si="302"/>
        <v>OK</v>
      </c>
      <c r="AA1774" t="str">
        <f t="shared" si="303"/>
        <v>2025-06</v>
      </c>
      <c r="AB1774" t="str">
        <f t="shared" si="304"/>
        <v>2025-07</v>
      </c>
      <c r="AC1774" t="str">
        <f t="shared" si="305"/>
        <v>Q2-2025</v>
      </c>
      <c r="AD1774" s="5">
        <f t="shared" si="306"/>
        <v>59</v>
      </c>
      <c r="AE1774" t="str">
        <f t="shared" si="307"/>
        <v>Lost</v>
      </c>
    </row>
    <row r="1775" spans="1:31">
      <c r="A1775" t="s">
        <v>1877</v>
      </c>
      <c r="B1775" s="1">
        <v>45986</v>
      </c>
      <c r="C1775" t="s">
        <v>90</v>
      </c>
      <c r="D1775" t="s">
        <v>57</v>
      </c>
      <c r="E1775" t="s">
        <v>51</v>
      </c>
      <c r="F1775" t="s">
        <v>71</v>
      </c>
      <c r="G1775" t="s">
        <v>94</v>
      </c>
      <c r="H1775" t="s">
        <v>53</v>
      </c>
      <c r="I1775" t="s">
        <v>77</v>
      </c>
      <c r="J1775" s="1">
        <v>46060</v>
      </c>
      <c r="K1775" s="1">
        <v>46060</v>
      </c>
      <c r="L1775" s="3">
        <v>34500</v>
      </c>
      <c r="M1775" s="4">
        <v>0.05</v>
      </c>
      <c r="N1775" s="4">
        <v>1</v>
      </c>
      <c r="P1775">
        <v>6</v>
      </c>
      <c r="Q1775" t="str">
        <f>IFERROR(VLOOKUP(E1775,Lookups!$A$5:$B$24,2,FALSE),"Other")</f>
        <v>Paid Search</v>
      </c>
      <c r="R1775" t="str">
        <f>IFERROR(VLOOKUP(F1775,Lookups!$D$5:$F$10,2,FALSE),"Unknown Product")</f>
        <v>Marketing Automation</v>
      </c>
      <c r="S1775" t="str">
        <f>IFERROR(VLOOKUP(F1775,Lookups!$D$5:$F$10,3,FALSE),"Unknown")</f>
        <v>Marketing</v>
      </c>
      <c r="T1775" t="str">
        <f t="shared" si="297"/>
        <v>Mid-Market</v>
      </c>
      <c r="U1775" t="str">
        <f t="shared" si="298"/>
        <v>Won</v>
      </c>
      <c r="V1775" s="3">
        <f t="shared" si="299"/>
        <v>32775</v>
      </c>
      <c r="W1775" s="3">
        <f t="shared" si="300"/>
        <v>0</v>
      </c>
      <c r="X1775" s="5">
        <f t="shared" si="301"/>
        <v>74</v>
      </c>
      <c r="Y1775" s="5">
        <f>IF(U1775="Open",Lookups!$B$2-B1775,X1775)</f>
        <v>74</v>
      </c>
      <c r="Z1775" t="str">
        <f t="shared" si="302"/>
        <v>OK</v>
      </c>
      <c r="AA1775" t="str">
        <f t="shared" si="303"/>
        <v>2025-11</v>
      </c>
      <c r="AB1775" t="str">
        <f t="shared" si="304"/>
        <v>2026-02</v>
      </c>
      <c r="AC1775" t="str">
        <f t="shared" si="305"/>
        <v>Q4-2025</v>
      </c>
      <c r="AD1775" s="5">
        <f t="shared" si="306"/>
        <v>59</v>
      </c>
      <c r="AE1775" t="str">
        <f t="shared" si="307"/>
        <v>Won</v>
      </c>
    </row>
    <row r="1776" spans="1:31">
      <c r="A1776" t="s">
        <v>1878</v>
      </c>
      <c r="B1776" s="1">
        <v>45859</v>
      </c>
      <c r="C1776" t="s">
        <v>42</v>
      </c>
      <c r="D1776" t="s">
        <v>43</v>
      </c>
      <c r="E1776" t="s">
        <v>127</v>
      </c>
      <c r="F1776" t="s">
        <v>133</v>
      </c>
      <c r="G1776" t="s">
        <v>99</v>
      </c>
      <c r="H1776" t="s">
        <v>47</v>
      </c>
      <c r="I1776" t="s">
        <v>77</v>
      </c>
      <c r="J1776" s="1">
        <v>45930</v>
      </c>
      <c r="K1776" s="1">
        <v>45930</v>
      </c>
      <c r="L1776" s="3">
        <v>25300</v>
      </c>
      <c r="M1776" s="4">
        <v>0.08</v>
      </c>
      <c r="N1776" s="4">
        <v>1</v>
      </c>
      <c r="P1776">
        <v>6</v>
      </c>
      <c r="Q1776" t="str">
        <f>IFERROR(VLOOKUP(E1776,Lookups!$A$5:$B$24,2,FALSE),"Other")</f>
        <v>Paid Search</v>
      </c>
      <c r="R1776" t="str">
        <f>IFERROR(VLOOKUP(F1776,Lookups!$D$5:$F$10,2,FALSE),"Unknown Product")</f>
        <v>Analytics Plus</v>
      </c>
      <c r="S1776" t="str">
        <f>IFERROR(VLOOKUP(F1776,Lookups!$D$5:$F$10,3,FALSE),"Unknown")</f>
        <v>Analytics</v>
      </c>
      <c r="T1776" t="str">
        <f t="shared" si="297"/>
        <v>Mid-Market</v>
      </c>
      <c r="U1776" t="str">
        <f t="shared" si="298"/>
        <v>Won</v>
      </c>
      <c r="V1776" s="3">
        <f t="shared" si="299"/>
        <v>23276</v>
      </c>
      <c r="W1776" s="3">
        <f t="shared" si="300"/>
        <v>0</v>
      </c>
      <c r="X1776" s="5">
        <f t="shared" si="301"/>
        <v>71</v>
      </c>
      <c r="Y1776" s="5">
        <f>IF(U1776="Open",Lookups!$B$2-B1776,X1776)</f>
        <v>71</v>
      </c>
      <c r="Z1776" t="str">
        <f t="shared" si="302"/>
        <v>OK</v>
      </c>
      <c r="AA1776" t="str">
        <f t="shared" si="303"/>
        <v>2025-07</v>
      </c>
      <c r="AB1776" t="str">
        <f t="shared" si="304"/>
        <v>2025-09</v>
      </c>
      <c r="AC1776" t="str">
        <f t="shared" si="305"/>
        <v>Q3-2025</v>
      </c>
      <c r="AD1776" s="5">
        <f t="shared" si="306"/>
        <v>51</v>
      </c>
      <c r="AE1776" t="str">
        <f t="shared" si="307"/>
        <v>Won</v>
      </c>
    </row>
    <row r="1777" spans="1:31">
      <c r="A1777" t="s">
        <v>1879</v>
      </c>
      <c r="B1777" s="1">
        <v>46039</v>
      </c>
      <c r="C1777" t="s">
        <v>50</v>
      </c>
      <c r="D1777" t="s">
        <v>43</v>
      </c>
      <c r="E1777" t="s">
        <v>65</v>
      </c>
      <c r="F1777" t="s">
        <v>71</v>
      </c>
      <c r="G1777" t="s">
        <v>94</v>
      </c>
      <c r="H1777" t="s">
        <v>53</v>
      </c>
      <c r="I1777" t="s">
        <v>61</v>
      </c>
      <c r="J1777" s="1">
        <v>46104</v>
      </c>
      <c r="K1777" s="1">
        <v>46104</v>
      </c>
      <c r="L1777" s="3">
        <v>34600</v>
      </c>
      <c r="M1777" s="4">
        <v>0</v>
      </c>
      <c r="N1777" s="4">
        <v>0</v>
      </c>
      <c r="O1777" t="s">
        <v>79</v>
      </c>
      <c r="P1777">
        <v>4</v>
      </c>
      <c r="Q1777" t="str">
        <f>IFERROR(VLOOKUP(E1777,Lookups!$A$5:$B$24,2,FALSE),"Other")</f>
        <v>Paid Search</v>
      </c>
      <c r="R1777" t="str">
        <f>IFERROR(VLOOKUP(F1777,Lookups!$D$5:$F$10,2,FALSE),"Unknown Product")</f>
        <v>Marketing Automation</v>
      </c>
      <c r="S1777" t="str">
        <f>IFERROR(VLOOKUP(F1777,Lookups!$D$5:$F$10,3,FALSE),"Unknown")</f>
        <v>Marketing</v>
      </c>
      <c r="T1777" t="str">
        <f t="shared" si="297"/>
        <v>Mid-Market</v>
      </c>
      <c r="U1777" t="str">
        <f t="shared" si="298"/>
        <v>Lost</v>
      </c>
      <c r="V1777" s="3">
        <f t="shared" si="299"/>
        <v>0</v>
      </c>
      <c r="W1777" s="3">
        <f t="shared" si="300"/>
        <v>0</v>
      </c>
      <c r="X1777" s="5">
        <f t="shared" si="301"/>
        <v>65</v>
      </c>
      <c r="Y1777" s="5">
        <f>IF(U1777="Open",Lookups!$B$2-B1777,X1777)</f>
        <v>65</v>
      </c>
      <c r="Z1777" t="str">
        <f t="shared" si="302"/>
        <v>OK</v>
      </c>
      <c r="AA1777" t="str">
        <f t="shared" si="303"/>
        <v>2026-01</v>
      </c>
      <c r="AB1777" t="str">
        <f t="shared" si="304"/>
        <v>2026-03</v>
      </c>
      <c r="AC1777" t="str">
        <f t="shared" si="305"/>
        <v>Q1-2026</v>
      </c>
      <c r="AD1777" s="5">
        <f t="shared" si="306"/>
        <v>59</v>
      </c>
      <c r="AE1777" t="str">
        <f t="shared" si="307"/>
        <v>Lost</v>
      </c>
    </row>
    <row r="1778" spans="1:31">
      <c r="A1778" t="s">
        <v>1880</v>
      </c>
      <c r="B1778" s="1">
        <v>46111</v>
      </c>
      <c r="C1778" t="s">
        <v>148</v>
      </c>
      <c r="D1778" t="s">
        <v>43</v>
      </c>
      <c r="E1778" t="s">
        <v>51</v>
      </c>
      <c r="F1778" t="s">
        <v>71</v>
      </c>
      <c r="G1778" t="s">
        <v>60</v>
      </c>
      <c r="H1778" t="s">
        <v>47</v>
      </c>
      <c r="I1778" t="s">
        <v>61</v>
      </c>
      <c r="J1778" s="1">
        <v>46128</v>
      </c>
      <c r="K1778" s="1">
        <v>46128</v>
      </c>
      <c r="L1778" s="3">
        <v>19100</v>
      </c>
      <c r="M1778" s="4">
        <v>0</v>
      </c>
      <c r="N1778" s="4">
        <v>0</v>
      </c>
      <c r="O1778" t="s">
        <v>102</v>
      </c>
      <c r="P1778">
        <v>4</v>
      </c>
      <c r="Q1778" t="str">
        <f>IFERROR(VLOOKUP(E1778,Lookups!$A$5:$B$24,2,FALSE),"Other")</f>
        <v>Paid Search</v>
      </c>
      <c r="R1778" t="str">
        <f>IFERROR(VLOOKUP(F1778,Lookups!$D$5:$F$10,2,FALSE),"Unknown Product")</f>
        <v>Marketing Automation</v>
      </c>
      <c r="S1778" t="str">
        <f>IFERROR(VLOOKUP(F1778,Lookups!$D$5:$F$10,3,FALSE),"Unknown")</f>
        <v>Marketing</v>
      </c>
      <c r="T1778" t="str">
        <f t="shared" si="297"/>
        <v>SMB</v>
      </c>
      <c r="U1778" t="str">
        <f t="shared" si="298"/>
        <v>Lost</v>
      </c>
      <c r="V1778" s="3">
        <f t="shared" si="299"/>
        <v>0</v>
      </c>
      <c r="W1778" s="3">
        <f t="shared" si="300"/>
        <v>0</v>
      </c>
      <c r="X1778" s="5">
        <f t="shared" si="301"/>
        <v>17</v>
      </c>
      <c r="Y1778" s="5">
        <f>IF(U1778="Open",Lookups!$B$2-B1778,X1778)</f>
        <v>17</v>
      </c>
      <c r="Z1778" t="str">
        <f t="shared" si="302"/>
        <v>OK</v>
      </c>
      <c r="AA1778" t="str">
        <f t="shared" si="303"/>
        <v>2026-03</v>
      </c>
      <c r="AB1778" t="str">
        <f t="shared" si="304"/>
        <v>2026-04</v>
      </c>
      <c r="AC1778" t="str">
        <f t="shared" si="305"/>
        <v>Q1-2026</v>
      </c>
      <c r="AD1778" s="5">
        <f t="shared" si="306"/>
        <v>43</v>
      </c>
      <c r="AE1778" t="str">
        <f t="shared" si="307"/>
        <v>Lost</v>
      </c>
    </row>
    <row r="1779" spans="1:31">
      <c r="A1779" t="s">
        <v>1881</v>
      </c>
      <c r="B1779" s="1">
        <v>46134</v>
      </c>
      <c r="C1779" t="s">
        <v>42</v>
      </c>
      <c r="D1779" t="s">
        <v>43</v>
      </c>
      <c r="E1779" t="s">
        <v>75</v>
      </c>
      <c r="F1779" t="s">
        <v>45</v>
      </c>
      <c r="G1779" t="s">
        <v>72</v>
      </c>
      <c r="H1779" t="s">
        <v>47</v>
      </c>
      <c r="I1779" t="s">
        <v>77</v>
      </c>
      <c r="J1779" s="1">
        <v>46187</v>
      </c>
      <c r="K1779" s="1">
        <v>46187</v>
      </c>
      <c r="L1779" s="3">
        <v>18600</v>
      </c>
      <c r="M1779" s="4">
        <v>0.08</v>
      </c>
      <c r="N1779" s="4">
        <v>1</v>
      </c>
      <c r="P1779">
        <v>6</v>
      </c>
      <c r="Q1779" t="str">
        <f>IFERROR(VLOOKUP(E1779,Lookups!$A$5:$B$24,2,FALSE),"Other")</f>
        <v>Webinar</v>
      </c>
      <c r="R1779" t="str">
        <f>IFERROR(VLOOKUP(F1779,Lookups!$D$5:$F$10,2,FALSE),"Unknown Product")</f>
        <v>Service Cloud</v>
      </c>
      <c r="S1779" t="str">
        <f>IFERROR(VLOOKUP(F1779,Lookups!$D$5:$F$10,3,FALSE),"Unknown")</f>
        <v>Customer Service</v>
      </c>
      <c r="T1779" t="str">
        <f t="shared" si="297"/>
        <v>SMB</v>
      </c>
      <c r="U1779" t="str">
        <f t="shared" si="298"/>
        <v>Won</v>
      </c>
      <c r="V1779" s="3">
        <f t="shared" si="299"/>
        <v>17112</v>
      </c>
      <c r="W1779" s="3">
        <f t="shared" si="300"/>
        <v>0</v>
      </c>
      <c r="X1779" s="5">
        <f t="shared" si="301"/>
        <v>53</v>
      </c>
      <c r="Y1779" s="5">
        <f>IF(U1779="Open",Lookups!$B$2-B1779,X1779)</f>
        <v>53</v>
      </c>
      <c r="Z1779" t="str">
        <f t="shared" si="302"/>
        <v>OK</v>
      </c>
      <c r="AA1779" t="str">
        <f t="shared" si="303"/>
        <v>2026-04</v>
      </c>
      <c r="AB1779" t="str">
        <f t="shared" si="304"/>
        <v>2026-06</v>
      </c>
      <c r="AC1779" t="str">
        <f t="shared" si="305"/>
        <v>Q2-2026</v>
      </c>
      <c r="AD1779" s="5">
        <f t="shared" si="306"/>
        <v>43</v>
      </c>
      <c r="AE1779" t="str">
        <f t="shared" si="307"/>
        <v>Won</v>
      </c>
    </row>
    <row r="1780" spans="1:31">
      <c r="A1780" t="s">
        <v>1882</v>
      </c>
      <c r="B1780" s="1">
        <v>45945</v>
      </c>
      <c r="C1780" t="s">
        <v>64</v>
      </c>
      <c r="D1780" t="s">
        <v>57</v>
      </c>
      <c r="E1780" t="s">
        <v>44</v>
      </c>
      <c r="F1780" t="s">
        <v>133</v>
      </c>
      <c r="G1780" t="s">
        <v>72</v>
      </c>
      <c r="H1780" t="s">
        <v>47</v>
      </c>
      <c r="I1780" t="s">
        <v>61</v>
      </c>
      <c r="J1780" s="1">
        <v>45990</v>
      </c>
      <c r="K1780" s="1">
        <v>45990</v>
      </c>
      <c r="L1780" s="3">
        <v>28100</v>
      </c>
      <c r="M1780" s="4">
        <v>0</v>
      </c>
      <c r="N1780" s="4">
        <v>0</v>
      </c>
      <c r="O1780" t="s">
        <v>62</v>
      </c>
      <c r="P1780">
        <v>4</v>
      </c>
      <c r="Q1780" t="str">
        <f>IFERROR(VLOOKUP(E1780,Lookups!$A$5:$B$24,2,FALSE),"Other")</f>
        <v>Organic Search</v>
      </c>
      <c r="R1780" t="str">
        <f>IFERROR(VLOOKUP(F1780,Lookups!$D$5:$F$10,2,FALSE),"Unknown Product")</f>
        <v>Analytics Plus</v>
      </c>
      <c r="S1780" t="str">
        <f>IFERROR(VLOOKUP(F1780,Lookups!$D$5:$F$10,3,FALSE),"Unknown")</f>
        <v>Analytics</v>
      </c>
      <c r="T1780" t="str">
        <f t="shared" si="297"/>
        <v>Mid-Market</v>
      </c>
      <c r="U1780" t="str">
        <f t="shared" si="298"/>
        <v>Lost</v>
      </c>
      <c r="V1780" s="3">
        <f t="shared" si="299"/>
        <v>0</v>
      </c>
      <c r="W1780" s="3">
        <f t="shared" si="300"/>
        <v>0</v>
      </c>
      <c r="X1780" s="5">
        <f t="shared" si="301"/>
        <v>45</v>
      </c>
      <c r="Y1780" s="5">
        <f>IF(U1780="Open",Lookups!$B$2-B1780,X1780)</f>
        <v>45</v>
      </c>
      <c r="Z1780" t="str">
        <f t="shared" si="302"/>
        <v>OK</v>
      </c>
      <c r="AA1780" t="str">
        <f t="shared" si="303"/>
        <v>2025-10</v>
      </c>
      <c r="AB1780" t="str">
        <f t="shared" si="304"/>
        <v>2025-11</v>
      </c>
      <c r="AC1780" t="str">
        <f t="shared" si="305"/>
        <v>Q4-2025</v>
      </c>
      <c r="AD1780" s="5">
        <f t="shared" si="306"/>
        <v>57</v>
      </c>
      <c r="AE1780" t="str">
        <f t="shared" si="307"/>
        <v>Lost</v>
      </c>
    </row>
    <row r="1781" spans="1:31">
      <c r="A1781" t="s">
        <v>1883</v>
      </c>
      <c r="B1781" s="1">
        <v>45902</v>
      </c>
      <c r="C1781" t="s">
        <v>50</v>
      </c>
      <c r="D1781" t="s">
        <v>43</v>
      </c>
      <c r="E1781" t="s">
        <v>166</v>
      </c>
      <c r="F1781" t="s">
        <v>45</v>
      </c>
      <c r="G1781" t="s">
        <v>76</v>
      </c>
      <c r="H1781" t="s">
        <v>84</v>
      </c>
      <c r="I1781" t="s">
        <v>61</v>
      </c>
      <c r="J1781" s="1">
        <v>45951</v>
      </c>
      <c r="K1781" s="1">
        <v>45951</v>
      </c>
      <c r="L1781" s="3">
        <v>96300</v>
      </c>
      <c r="M1781" s="4">
        <v>0</v>
      </c>
      <c r="N1781" s="4">
        <v>0</v>
      </c>
      <c r="O1781" t="s">
        <v>79</v>
      </c>
      <c r="P1781">
        <v>3</v>
      </c>
      <c r="Q1781" t="str">
        <f>IFERROR(VLOOKUP(E1781,Lookups!$A$5:$B$24,2,FALSE),"Other")</f>
        <v>Referral</v>
      </c>
      <c r="R1781" t="str">
        <f>IFERROR(VLOOKUP(F1781,Lookups!$D$5:$F$10,2,FALSE),"Unknown Product")</f>
        <v>Service Cloud</v>
      </c>
      <c r="S1781" t="str">
        <f>IFERROR(VLOOKUP(F1781,Lookups!$D$5:$F$10,3,FALSE),"Unknown")</f>
        <v>Customer Service</v>
      </c>
      <c r="T1781" t="str">
        <f t="shared" si="297"/>
        <v>Enterprise</v>
      </c>
      <c r="U1781" t="str">
        <f t="shared" si="298"/>
        <v>Lost</v>
      </c>
      <c r="V1781" s="3">
        <f t="shared" si="299"/>
        <v>0</v>
      </c>
      <c r="W1781" s="3">
        <f t="shared" si="300"/>
        <v>0</v>
      </c>
      <c r="X1781" s="5">
        <f t="shared" si="301"/>
        <v>49</v>
      </c>
      <c r="Y1781" s="5">
        <f>IF(U1781="Open",Lookups!$B$2-B1781,X1781)</f>
        <v>49</v>
      </c>
      <c r="Z1781" t="str">
        <f t="shared" si="302"/>
        <v>OK</v>
      </c>
      <c r="AA1781" t="str">
        <f t="shared" si="303"/>
        <v>2025-09</v>
      </c>
      <c r="AB1781" t="str">
        <f t="shared" si="304"/>
        <v>2025-10</v>
      </c>
      <c r="AC1781" t="str">
        <f t="shared" si="305"/>
        <v>Q3-2025</v>
      </c>
      <c r="AD1781" s="5">
        <f t="shared" si="306"/>
        <v>85</v>
      </c>
      <c r="AE1781" t="str">
        <f t="shared" si="307"/>
        <v>Lost</v>
      </c>
    </row>
    <row r="1782" spans="1:31">
      <c r="A1782" t="s">
        <v>1884</v>
      </c>
      <c r="B1782" s="1">
        <v>45918</v>
      </c>
      <c r="C1782" t="s">
        <v>42</v>
      </c>
      <c r="D1782" t="s">
        <v>43</v>
      </c>
      <c r="E1782" t="s">
        <v>51</v>
      </c>
      <c r="F1782" t="s">
        <v>45</v>
      </c>
      <c r="G1782" t="s">
        <v>60</v>
      </c>
      <c r="H1782" t="s">
        <v>47</v>
      </c>
      <c r="I1782" t="s">
        <v>77</v>
      </c>
      <c r="J1782" s="1">
        <v>45986</v>
      </c>
      <c r="K1782" s="1">
        <v>45986</v>
      </c>
      <c r="L1782" s="3">
        <v>13400</v>
      </c>
      <c r="M1782" s="4">
        <v>0</v>
      </c>
      <c r="N1782" s="4">
        <v>1</v>
      </c>
      <c r="P1782">
        <v>6</v>
      </c>
      <c r="Q1782" t="str">
        <f>IFERROR(VLOOKUP(E1782,Lookups!$A$5:$B$24,2,FALSE),"Other")</f>
        <v>Paid Search</v>
      </c>
      <c r="R1782" t="str">
        <f>IFERROR(VLOOKUP(F1782,Lookups!$D$5:$F$10,2,FALSE),"Unknown Product")</f>
        <v>Service Cloud</v>
      </c>
      <c r="S1782" t="str">
        <f>IFERROR(VLOOKUP(F1782,Lookups!$D$5:$F$10,3,FALSE),"Unknown")</f>
        <v>Customer Service</v>
      </c>
      <c r="T1782" t="str">
        <f t="shared" si="297"/>
        <v>SMB</v>
      </c>
      <c r="U1782" t="str">
        <f t="shared" si="298"/>
        <v>Won</v>
      </c>
      <c r="V1782" s="3">
        <f t="shared" si="299"/>
        <v>13400</v>
      </c>
      <c r="W1782" s="3">
        <f t="shared" si="300"/>
        <v>0</v>
      </c>
      <c r="X1782" s="5">
        <f t="shared" si="301"/>
        <v>68</v>
      </c>
      <c r="Y1782" s="5">
        <f>IF(U1782="Open",Lookups!$B$2-B1782,X1782)</f>
        <v>68</v>
      </c>
      <c r="Z1782" t="str">
        <f t="shared" si="302"/>
        <v>OK</v>
      </c>
      <c r="AA1782" t="str">
        <f t="shared" si="303"/>
        <v>2025-09</v>
      </c>
      <c r="AB1782" t="str">
        <f t="shared" si="304"/>
        <v>2025-11</v>
      </c>
      <c r="AC1782" t="str">
        <f t="shared" si="305"/>
        <v>Q3-2025</v>
      </c>
      <c r="AD1782" s="5">
        <f t="shared" si="306"/>
        <v>43</v>
      </c>
      <c r="AE1782" t="str">
        <f t="shared" si="307"/>
        <v>Won</v>
      </c>
    </row>
    <row r="1783" spans="1:31">
      <c r="A1783" t="s">
        <v>1885</v>
      </c>
      <c r="B1783" s="1">
        <v>46005</v>
      </c>
      <c r="C1783" t="s">
        <v>50</v>
      </c>
      <c r="D1783" t="s">
        <v>43</v>
      </c>
      <c r="E1783" t="s">
        <v>123</v>
      </c>
      <c r="F1783" t="s">
        <v>45</v>
      </c>
      <c r="G1783" t="s">
        <v>60</v>
      </c>
      <c r="H1783" t="s">
        <v>47</v>
      </c>
      <c r="I1783" t="s">
        <v>77</v>
      </c>
      <c r="J1783" s="1">
        <v>46058</v>
      </c>
      <c r="K1783" s="1">
        <v>46058</v>
      </c>
      <c r="L1783" s="3">
        <v>13800</v>
      </c>
      <c r="M1783" s="4">
        <v>0</v>
      </c>
      <c r="N1783" s="4">
        <v>1</v>
      </c>
      <c r="P1783">
        <v>6</v>
      </c>
      <c r="Q1783" t="str">
        <f>IFERROR(VLOOKUP(E1783,Lookups!$A$5:$B$24,2,FALSE),"Other")</f>
        <v>Email</v>
      </c>
      <c r="R1783" t="str">
        <f>IFERROR(VLOOKUP(F1783,Lookups!$D$5:$F$10,2,FALSE),"Unknown Product")</f>
        <v>Service Cloud</v>
      </c>
      <c r="S1783" t="str">
        <f>IFERROR(VLOOKUP(F1783,Lookups!$D$5:$F$10,3,FALSE),"Unknown")</f>
        <v>Customer Service</v>
      </c>
      <c r="T1783" t="str">
        <f t="shared" si="297"/>
        <v>SMB</v>
      </c>
      <c r="U1783" t="str">
        <f t="shared" si="298"/>
        <v>Won</v>
      </c>
      <c r="V1783" s="3">
        <f t="shared" si="299"/>
        <v>13800</v>
      </c>
      <c r="W1783" s="3">
        <f t="shared" si="300"/>
        <v>0</v>
      </c>
      <c r="X1783" s="5">
        <f t="shared" si="301"/>
        <v>53</v>
      </c>
      <c r="Y1783" s="5">
        <f>IF(U1783="Open",Lookups!$B$2-B1783,X1783)</f>
        <v>53</v>
      </c>
      <c r="Z1783" t="str">
        <f t="shared" si="302"/>
        <v>OK</v>
      </c>
      <c r="AA1783" t="str">
        <f t="shared" si="303"/>
        <v>2025-12</v>
      </c>
      <c r="AB1783" t="str">
        <f t="shared" si="304"/>
        <v>2026-02</v>
      </c>
      <c r="AC1783" t="str">
        <f t="shared" si="305"/>
        <v>Q4-2025</v>
      </c>
      <c r="AD1783" s="5">
        <f t="shared" si="306"/>
        <v>47</v>
      </c>
      <c r="AE1783" t="str">
        <f t="shared" si="307"/>
        <v>Won</v>
      </c>
    </row>
    <row r="1784" spans="1:31">
      <c r="A1784" t="s">
        <v>1886</v>
      </c>
      <c r="B1784" s="1">
        <v>45910</v>
      </c>
      <c r="C1784" t="s">
        <v>90</v>
      </c>
      <c r="D1784" t="s">
        <v>57</v>
      </c>
      <c r="E1784" t="s">
        <v>70</v>
      </c>
      <c r="F1784" t="s">
        <v>45</v>
      </c>
      <c r="G1784" t="s">
        <v>76</v>
      </c>
      <c r="H1784" t="s">
        <v>53</v>
      </c>
      <c r="I1784" t="s">
        <v>77</v>
      </c>
      <c r="J1784" s="1">
        <v>45977</v>
      </c>
      <c r="K1784" s="1">
        <v>45977</v>
      </c>
      <c r="L1784" s="3">
        <v>49300</v>
      </c>
      <c r="M1784" s="4">
        <v>0</v>
      </c>
      <c r="N1784" s="4">
        <v>1</v>
      </c>
      <c r="P1784">
        <v>6</v>
      </c>
      <c r="Q1784" t="str">
        <f>IFERROR(VLOOKUP(E1784,Lookups!$A$5:$B$24,2,FALSE),"Other")</f>
        <v>LinkedIn</v>
      </c>
      <c r="R1784" t="str">
        <f>IFERROR(VLOOKUP(F1784,Lookups!$D$5:$F$10,2,FALSE),"Unknown Product")</f>
        <v>Service Cloud</v>
      </c>
      <c r="S1784" t="str">
        <f>IFERROR(VLOOKUP(F1784,Lookups!$D$5:$F$10,3,FALSE),"Unknown")</f>
        <v>Customer Service</v>
      </c>
      <c r="T1784" t="str">
        <f t="shared" si="297"/>
        <v>Mid-Market</v>
      </c>
      <c r="U1784" t="str">
        <f t="shared" si="298"/>
        <v>Won</v>
      </c>
      <c r="V1784" s="3">
        <f t="shared" si="299"/>
        <v>49300</v>
      </c>
      <c r="W1784" s="3">
        <f t="shared" si="300"/>
        <v>0</v>
      </c>
      <c r="X1784" s="5">
        <f t="shared" si="301"/>
        <v>67</v>
      </c>
      <c r="Y1784" s="5">
        <f>IF(U1784="Open",Lookups!$B$2-B1784,X1784)</f>
        <v>67</v>
      </c>
      <c r="Z1784" t="str">
        <f t="shared" si="302"/>
        <v>OK</v>
      </c>
      <c r="AA1784" t="str">
        <f t="shared" si="303"/>
        <v>2025-09</v>
      </c>
      <c r="AB1784" t="str">
        <f t="shared" si="304"/>
        <v>2025-11</v>
      </c>
      <c r="AC1784" t="str">
        <f t="shared" si="305"/>
        <v>Q3-2025</v>
      </c>
      <c r="AD1784" s="5">
        <f t="shared" si="306"/>
        <v>59</v>
      </c>
      <c r="AE1784" t="str">
        <f t="shared" si="307"/>
        <v>Won</v>
      </c>
    </row>
    <row r="1785" spans="1:31">
      <c r="A1785" t="s">
        <v>1887</v>
      </c>
      <c r="B1785" s="1">
        <v>45738</v>
      </c>
      <c r="C1785" t="s">
        <v>64</v>
      </c>
      <c r="D1785" t="s">
        <v>57</v>
      </c>
      <c r="E1785" t="s">
        <v>115</v>
      </c>
      <c r="F1785" t="s">
        <v>59</v>
      </c>
      <c r="G1785" t="s">
        <v>76</v>
      </c>
      <c r="H1785" t="s">
        <v>47</v>
      </c>
      <c r="I1785" t="s">
        <v>61</v>
      </c>
      <c r="J1785" s="1">
        <v>45803</v>
      </c>
      <c r="K1785" s="1">
        <v>45803</v>
      </c>
      <c r="L1785" s="3">
        <v>25200</v>
      </c>
      <c r="M1785" s="4">
        <v>0</v>
      </c>
      <c r="N1785" s="4">
        <v>0</v>
      </c>
      <c r="O1785" t="s">
        <v>81</v>
      </c>
      <c r="P1785">
        <v>4</v>
      </c>
      <c r="Q1785" t="str">
        <f>IFERROR(VLOOKUP(E1785,Lookups!$A$5:$B$24,2,FALSE),"Other")</f>
        <v>Outbound</v>
      </c>
      <c r="R1785" t="str">
        <f>IFERROR(VLOOKUP(F1785,Lookups!$D$5:$F$10,2,FALSE),"Unknown Product")</f>
        <v>NexaCRM Pro</v>
      </c>
      <c r="S1785" t="str">
        <f>IFERROR(VLOOKUP(F1785,Lookups!$D$5:$F$10,3,FALSE),"Unknown")</f>
        <v>CRM</v>
      </c>
      <c r="T1785" t="str">
        <f t="shared" si="297"/>
        <v>Mid-Market</v>
      </c>
      <c r="U1785" t="str">
        <f t="shared" si="298"/>
        <v>Lost</v>
      </c>
      <c r="V1785" s="3">
        <f t="shared" si="299"/>
        <v>0</v>
      </c>
      <c r="W1785" s="3">
        <f t="shared" si="300"/>
        <v>0</v>
      </c>
      <c r="X1785" s="5">
        <f t="shared" si="301"/>
        <v>65</v>
      </c>
      <c r="Y1785" s="5">
        <f>IF(U1785="Open",Lookups!$B$2-B1785,X1785)</f>
        <v>65</v>
      </c>
      <c r="Z1785" t="str">
        <f t="shared" si="302"/>
        <v>OK</v>
      </c>
      <c r="AA1785" t="str">
        <f t="shared" si="303"/>
        <v>2025-03</v>
      </c>
      <c r="AB1785" t="str">
        <f t="shared" si="304"/>
        <v>2025-05</v>
      </c>
      <c r="AC1785" t="str">
        <f t="shared" si="305"/>
        <v>Q1-2025</v>
      </c>
      <c r="AD1785" s="5">
        <f t="shared" si="306"/>
        <v>51</v>
      </c>
      <c r="AE1785" t="str">
        <f t="shared" si="307"/>
        <v>Lost</v>
      </c>
    </row>
    <row r="1786" spans="1:31">
      <c r="A1786" t="s">
        <v>1888</v>
      </c>
      <c r="B1786" s="1">
        <v>46086</v>
      </c>
      <c r="C1786" t="s">
        <v>86</v>
      </c>
      <c r="D1786" t="s">
        <v>87</v>
      </c>
      <c r="E1786" t="s">
        <v>83</v>
      </c>
      <c r="F1786" t="s">
        <v>59</v>
      </c>
      <c r="G1786" t="s">
        <v>99</v>
      </c>
      <c r="H1786" t="s">
        <v>53</v>
      </c>
      <c r="I1786" t="s">
        <v>48</v>
      </c>
      <c r="J1786" s="1">
        <v>46185</v>
      </c>
      <c r="K1786" s="1"/>
      <c r="L1786" s="3">
        <v>23300</v>
      </c>
      <c r="M1786" s="4">
        <v>0</v>
      </c>
      <c r="N1786" s="4">
        <v>0.85</v>
      </c>
      <c r="P1786">
        <v>5</v>
      </c>
      <c r="Q1786" t="str">
        <f>IFERROR(VLOOKUP(E1786,Lookups!$A$5:$B$24,2,FALSE),"Other")</f>
        <v>Organic Search</v>
      </c>
      <c r="R1786" t="str">
        <f>IFERROR(VLOOKUP(F1786,Lookups!$D$5:$F$10,2,FALSE),"Unknown Product")</f>
        <v>NexaCRM Pro</v>
      </c>
      <c r="S1786" t="str">
        <f>IFERROR(VLOOKUP(F1786,Lookups!$D$5:$F$10,3,FALSE),"Unknown")</f>
        <v>CRM</v>
      </c>
      <c r="T1786" t="str">
        <f t="shared" si="297"/>
        <v>Mid-Market</v>
      </c>
      <c r="U1786" t="str">
        <f t="shared" si="298"/>
        <v>Open</v>
      </c>
      <c r="V1786" s="3">
        <f t="shared" si="299"/>
        <v>0</v>
      </c>
      <c r="W1786" s="3">
        <f t="shared" si="300"/>
        <v>19805</v>
      </c>
      <c r="X1786" s="5" t="str">
        <f t="shared" si="301"/>
        <v/>
      </c>
      <c r="Y1786" s="5">
        <f>IF(U1786="Open",Lookups!$B$2-B1786,X1786)</f>
        <v>180</v>
      </c>
      <c r="Z1786" t="str">
        <f t="shared" si="302"/>
        <v>STALE</v>
      </c>
      <c r="AA1786" t="str">
        <f t="shared" si="303"/>
        <v>2026-03</v>
      </c>
      <c r="AB1786" t="str">
        <f t="shared" si="304"/>
        <v/>
      </c>
      <c r="AC1786" t="str">
        <f t="shared" si="305"/>
        <v>Q1-2026</v>
      </c>
      <c r="AD1786" s="5">
        <f t="shared" si="306"/>
        <v>65</v>
      </c>
      <c r="AE1786" t="str">
        <f t="shared" si="307"/>
        <v>Commit</v>
      </c>
    </row>
    <row r="1787" spans="1:31">
      <c r="A1787" t="s">
        <v>1889</v>
      </c>
      <c r="B1787" s="1">
        <v>45721</v>
      </c>
      <c r="C1787" t="s">
        <v>42</v>
      </c>
      <c r="D1787" t="s">
        <v>43</v>
      </c>
      <c r="E1787" t="s">
        <v>70</v>
      </c>
      <c r="F1787" t="s">
        <v>133</v>
      </c>
      <c r="G1787" t="s">
        <v>60</v>
      </c>
      <c r="H1787" t="s">
        <v>53</v>
      </c>
      <c r="I1787" t="s">
        <v>77</v>
      </c>
      <c r="J1787" s="1">
        <v>45792</v>
      </c>
      <c r="K1787" s="1">
        <v>45792</v>
      </c>
      <c r="L1787" s="3">
        <v>46700</v>
      </c>
      <c r="M1787" s="4">
        <v>0</v>
      </c>
      <c r="N1787" s="4">
        <v>1</v>
      </c>
      <c r="P1787">
        <v>6</v>
      </c>
      <c r="Q1787" t="str">
        <f>IFERROR(VLOOKUP(E1787,Lookups!$A$5:$B$24,2,FALSE),"Other")</f>
        <v>LinkedIn</v>
      </c>
      <c r="R1787" t="str">
        <f>IFERROR(VLOOKUP(F1787,Lookups!$D$5:$F$10,2,FALSE),"Unknown Product")</f>
        <v>Analytics Plus</v>
      </c>
      <c r="S1787" t="str">
        <f>IFERROR(VLOOKUP(F1787,Lookups!$D$5:$F$10,3,FALSE),"Unknown")</f>
        <v>Analytics</v>
      </c>
      <c r="T1787" t="str">
        <f t="shared" si="297"/>
        <v>Mid-Market</v>
      </c>
      <c r="U1787" t="str">
        <f t="shared" si="298"/>
        <v>Won</v>
      </c>
      <c r="V1787" s="3">
        <f t="shared" si="299"/>
        <v>46700</v>
      </c>
      <c r="W1787" s="3">
        <f t="shared" si="300"/>
        <v>0</v>
      </c>
      <c r="X1787" s="5">
        <f t="shared" si="301"/>
        <v>71</v>
      </c>
      <c r="Y1787" s="5">
        <f>IF(U1787="Open",Lookups!$B$2-B1787,X1787)</f>
        <v>71</v>
      </c>
      <c r="Z1787" t="str">
        <f t="shared" si="302"/>
        <v>OK</v>
      </c>
      <c r="AA1787" t="str">
        <f t="shared" si="303"/>
        <v>2025-03</v>
      </c>
      <c r="AB1787" t="str">
        <f t="shared" si="304"/>
        <v>2025-05</v>
      </c>
      <c r="AC1787" t="str">
        <f t="shared" si="305"/>
        <v>Q1-2025</v>
      </c>
      <c r="AD1787" s="5">
        <f t="shared" si="306"/>
        <v>59</v>
      </c>
      <c r="AE1787" t="str">
        <f t="shared" si="307"/>
        <v>Won</v>
      </c>
    </row>
    <row r="1788" spans="1:31">
      <c r="A1788" t="s">
        <v>1890</v>
      </c>
      <c r="B1788" s="1">
        <v>45746</v>
      </c>
      <c r="C1788" t="s">
        <v>86</v>
      </c>
      <c r="D1788" t="s">
        <v>87</v>
      </c>
      <c r="E1788" t="s">
        <v>65</v>
      </c>
      <c r="F1788" t="s">
        <v>52</v>
      </c>
      <c r="G1788" t="s">
        <v>76</v>
      </c>
      <c r="H1788" t="s">
        <v>53</v>
      </c>
      <c r="I1788" t="s">
        <v>48</v>
      </c>
      <c r="J1788" s="1">
        <v>46115</v>
      </c>
      <c r="K1788" s="1"/>
      <c r="L1788" s="3">
        <v>18100</v>
      </c>
      <c r="M1788" s="4">
        <v>0.03</v>
      </c>
      <c r="N1788" s="4">
        <v>0.85</v>
      </c>
      <c r="P1788">
        <v>5</v>
      </c>
      <c r="Q1788" t="str">
        <f>IFERROR(VLOOKUP(E1788,Lookups!$A$5:$B$24,2,FALSE),"Other")</f>
        <v>Paid Search</v>
      </c>
      <c r="R1788" t="str">
        <f>IFERROR(VLOOKUP(F1788,Lookups!$D$5:$F$10,2,FALSE),"Unknown Product")</f>
        <v>NexaCRM Core</v>
      </c>
      <c r="S1788" t="str">
        <f>IFERROR(VLOOKUP(F1788,Lookups!$D$5:$F$10,3,FALSE),"Unknown")</f>
        <v>CRM</v>
      </c>
      <c r="T1788" t="str">
        <f t="shared" si="297"/>
        <v>SMB</v>
      </c>
      <c r="U1788" t="str">
        <f t="shared" si="298"/>
        <v>Open</v>
      </c>
      <c r="V1788" s="3">
        <f t="shared" si="299"/>
        <v>0</v>
      </c>
      <c r="W1788" s="3">
        <f t="shared" si="300"/>
        <v>15385</v>
      </c>
      <c r="X1788" s="5" t="str">
        <f t="shared" si="301"/>
        <v/>
      </c>
      <c r="Y1788" s="5">
        <f>IF(U1788="Open",Lookups!$B$2-B1788,X1788)</f>
        <v>520</v>
      </c>
      <c r="Z1788" t="str">
        <f t="shared" si="302"/>
        <v>STALE</v>
      </c>
      <c r="AA1788" t="str">
        <f t="shared" si="303"/>
        <v>2025-03</v>
      </c>
      <c r="AB1788" t="str">
        <f t="shared" si="304"/>
        <v/>
      </c>
      <c r="AC1788" t="str">
        <f t="shared" si="305"/>
        <v>Q1-2025</v>
      </c>
      <c r="AD1788" s="5">
        <f t="shared" si="306"/>
        <v>51</v>
      </c>
      <c r="AE1788" t="str">
        <f t="shared" si="307"/>
        <v>Commit</v>
      </c>
    </row>
    <row r="1789" spans="1:31">
      <c r="A1789" t="s">
        <v>1891</v>
      </c>
      <c r="B1789" s="1">
        <v>45698</v>
      </c>
      <c r="C1789" t="s">
        <v>42</v>
      </c>
      <c r="D1789" t="s">
        <v>43</v>
      </c>
      <c r="E1789" t="s">
        <v>146</v>
      </c>
      <c r="F1789" t="s">
        <v>59</v>
      </c>
      <c r="G1789" t="s">
        <v>46</v>
      </c>
      <c r="H1789" t="s">
        <v>53</v>
      </c>
      <c r="I1789" t="s">
        <v>77</v>
      </c>
      <c r="J1789" s="1">
        <v>45768</v>
      </c>
      <c r="K1789" s="1">
        <v>45768</v>
      </c>
      <c r="L1789" s="3">
        <v>27100</v>
      </c>
      <c r="M1789" s="4">
        <v>0</v>
      </c>
      <c r="N1789" s="4">
        <v>1</v>
      </c>
      <c r="P1789">
        <v>6</v>
      </c>
      <c r="Q1789" t="str">
        <f>IFERROR(VLOOKUP(E1789,Lookups!$A$5:$B$24,2,FALSE),"Other")</f>
        <v>LinkedIn</v>
      </c>
      <c r="R1789" t="str">
        <f>IFERROR(VLOOKUP(F1789,Lookups!$D$5:$F$10,2,FALSE),"Unknown Product")</f>
        <v>NexaCRM Pro</v>
      </c>
      <c r="S1789" t="str">
        <f>IFERROR(VLOOKUP(F1789,Lookups!$D$5:$F$10,3,FALSE),"Unknown")</f>
        <v>CRM</v>
      </c>
      <c r="T1789" t="str">
        <f t="shared" si="297"/>
        <v>Mid-Market</v>
      </c>
      <c r="U1789" t="str">
        <f t="shared" si="298"/>
        <v>Won</v>
      </c>
      <c r="V1789" s="3">
        <f t="shared" si="299"/>
        <v>27100</v>
      </c>
      <c r="W1789" s="3">
        <f t="shared" si="300"/>
        <v>0</v>
      </c>
      <c r="X1789" s="5">
        <f t="shared" si="301"/>
        <v>70</v>
      </c>
      <c r="Y1789" s="5">
        <f>IF(U1789="Open",Lookups!$B$2-B1789,X1789)</f>
        <v>70</v>
      </c>
      <c r="Z1789" t="str">
        <f t="shared" si="302"/>
        <v>OK</v>
      </c>
      <c r="AA1789" t="str">
        <f t="shared" si="303"/>
        <v>2025-02</v>
      </c>
      <c r="AB1789" t="str">
        <f t="shared" si="304"/>
        <v>2025-04</v>
      </c>
      <c r="AC1789" t="str">
        <f t="shared" si="305"/>
        <v>Q1-2025</v>
      </c>
      <c r="AD1789" s="5">
        <f t="shared" si="306"/>
        <v>59</v>
      </c>
      <c r="AE1789" t="str">
        <f t="shared" si="307"/>
        <v>Won</v>
      </c>
    </row>
    <row r="1790" spans="1:31">
      <c r="A1790" t="s">
        <v>1892</v>
      </c>
      <c r="B1790" s="1">
        <v>46263</v>
      </c>
      <c r="C1790" t="s">
        <v>86</v>
      </c>
      <c r="D1790" t="s">
        <v>87</v>
      </c>
      <c r="E1790" t="s">
        <v>98</v>
      </c>
      <c r="F1790" t="s">
        <v>133</v>
      </c>
      <c r="G1790" t="s">
        <v>60</v>
      </c>
      <c r="H1790" t="s">
        <v>47</v>
      </c>
      <c r="I1790" t="s">
        <v>187</v>
      </c>
      <c r="J1790" s="1">
        <v>46265</v>
      </c>
      <c r="K1790" s="1"/>
      <c r="L1790" s="3">
        <v>23600</v>
      </c>
      <c r="M1790" s="4">
        <v>0</v>
      </c>
      <c r="N1790" s="4">
        <v>0.05</v>
      </c>
      <c r="P1790">
        <v>1</v>
      </c>
      <c r="Q1790" t="str">
        <f>IFERROR(VLOOKUP(E1790,Lookups!$A$5:$B$24,2,FALSE),"Other")</f>
        <v>Outbound</v>
      </c>
      <c r="R1790" t="str">
        <f>IFERROR(VLOOKUP(F1790,Lookups!$D$5:$F$10,2,FALSE),"Unknown Product")</f>
        <v>Analytics Plus</v>
      </c>
      <c r="S1790" t="str">
        <f>IFERROR(VLOOKUP(F1790,Lookups!$D$5:$F$10,3,FALSE),"Unknown")</f>
        <v>Analytics</v>
      </c>
      <c r="T1790" t="str">
        <f t="shared" si="297"/>
        <v>Mid-Market</v>
      </c>
      <c r="U1790" t="str">
        <f t="shared" si="298"/>
        <v>Open</v>
      </c>
      <c r="V1790" s="3">
        <f t="shared" si="299"/>
        <v>0</v>
      </c>
      <c r="W1790" s="3">
        <f t="shared" si="300"/>
        <v>1180</v>
      </c>
      <c r="X1790" s="5" t="str">
        <f t="shared" si="301"/>
        <v/>
      </c>
      <c r="Y1790" s="5">
        <f>IF(U1790="Open",Lookups!$B$2-B1790,X1790)</f>
        <v>3</v>
      </c>
      <c r="Z1790" t="str">
        <f t="shared" si="302"/>
        <v>OK</v>
      </c>
      <c r="AA1790" t="str">
        <f t="shared" si="303"/>
        <v>2026-08</v>
      </c>
      <c r="AB1790" t="str">
        <f t="shared" si="304"/>
        <v/>
      </c>
      <c r="AC1790" t="str">
        <f t="shared" si="305"/>
        <v>Q3-2026</v>
      </c>
      <c r="AD1790" s="5">
        <f t="shared" si="306"/>
        <v>51</v>
      </c>
      <c r="AE1790" t="str">
        <f t="shared" si="307"/>
        <v>Pipeline</v>
      </c>
    </row>
    <row r="1791" spans="1:31">
      <c r="A1791" t="s">
        <v>1893</v>
      </c>
      <c r="B1791" s="1">
        <v>46228</v>
      </c>
      <c r="C1791" t="s">
        <v>69</v>
      </c>
      <c r="D1791" t="s">
        <v>57</v>
      </c>
      <c r="E1791" t="s">
        <v>96</v>
      </c>
      <c r="F1791" t="s">
        <v>71</v>
      </c>
      <c r="G1791" t="s">
        <v>72</v>
      </c>
      <c r="H1791" t="s">
        <v>53</v>
      </c>
      <c r="I1791" t="s">
        <v>77</v>
      </c>
      <c r="J1791" s="1">
        <v>46266</v>
      </c>
      <c r="K1791" s="1">
        <v>46266</v>
      </c>
      <c r="L1791" s="3">
        <v>28000</v>
      </c>
      <c r="M1791" s="4">
        <v>0.12</v>
      </c>
      <c r="N1791" s="4">
        <v>1</v>
      </c>
      <c r="P1791">
        <v>6</v>
      </c>
      <c r="Q1791" t="str">
        <f>IFERROR(VLOOKUP(E1791,Lookups!$A$5:$B$24,2,FALSE),"Other")</f>
        <v>LinkedIn</v>
      </c>
      <c r="R1791" t="str">
        <f>IFERROR(VLOOKUP(F1791,Lookups!$D$5:$F$10,2,FALSE),"Unknown Product")</f>
        <v>Marketing Automation</v>
      </c>
      <c r="S1791" t="str">
        <f>IFERROR(VLOOKUP(F1791,Lookups!$D$5:$F$10,3,FALSE),"Unknown")</f>
        <v>Marketing</v>
      </c>
      <c r="T1791" t="str">
        <f t="shared" si="297"/>
        <v>Mid-Market</v>
      </c>
      <c r="U1791" t="str">
        <f t="shared" si="298"/>
        <v>Won</v>
      </c>
      <c r="V1791" s="3">
        <f t="shared" si="299"/>
        <v>24640</v>
      </c>
      <c r="W1791" s="3">
        <f t="shared" si="300"/>
        <v>0</v>
      </c>
      <c r="X1791" s="5">
        <f t="shared" si="301"/>
        <v>38</v>
      </c>
      <c r="Y1791" s="5">
        <f>IF(U1791="Open",Lookups!$B$2-B1791,X1791)</f>
        <v>38</v>
      </c>
      <c r="Z1791" t="str">
        <f t="shared" si="302"/>
        <v>OK</v>
      </c>
      <c r="AA1791" t="str">
        <f t="shared" si="303"/>
        <v>2026-07</v>
      </c>
      <c r="AB1791" t="str">
        <f t="shared" si="304"/>
        <v>2026-09</v>
      </c>
      <c r="AC1791" t="str">
        <f t="shared" si="305"/>
        <v>Q3-2026</v>
      </c>
      <c r="AD1791" s="5">
        <f t="shared" si="306"/>
        <v>59</v>
      </c>
      <c r="AE1791" t="str">
        <f t="shared" si="307"/>
        <v>Won</v>
      </c>
    </row>
    <row r="1792" spans="1:31">
      <c r="A1792" t="s">
        <v>1894</v>
      </c>
      <c r="B1792" s="1">
        <v>45970</v>
      </c>
      <c r="C1792" t="s">
        <v>42</v>
      </c>
      <c r="D1792" t="s">
        <v>43</v>
      </c>
      <c r="E1792" t="s">
        <v>51</v>
      </c>
      <c r="F1792" t="s">
        <v>59</v>
      </c>
      <c r="G1792" t="s">
        <v>72</v>
      </c>
      <c r="H1792" t="s">
        <v>47</v>
      </c>
      <c r="I1792" t="s">
        <v>61</v>
      </c>
      <c r="J1792" s="1">
        <v>46029</v>
      </c>
      <c r="K1792" s="1">
        <v>46029</v>
      </c>
      <c r="L1792" s="3">
        <v>10900</v>
      </c>
      <c r="M1792" s="4">
        <v>0</v>
      </c>
      <c r="N1792" s="4">
        <v>0</v>
      </c>
      <c r="O1792" t="s">
        <v>79</v>
      </c>
      <c r="P1792">
        <v>5</v>
      </c>
      <c r="Q1792" t="str">
        <f>IFERROR(VLOOKUP(E1792,Lookups!$A$5:$B$24,2,FALSE),"Other")</f>
        <v>Paid Search</v>
      </c>
      <c r="R1792" t="str">
        <f>IFERROR(VLOOKUP(F1792,Lookups!$D$5:$F$10,2,FALSE),"Unknown Product")</f>
        <v>NexaCRM Pro</v>
      </c>
      <c r="S1792" t="str">
        <f>IFERROR(VLOOKUP(F1792,Lookups!$D$5:$F$10,3,FALSE),"Unknown")</f>
        <v>CRM</v>
      </c>
      <c r="T1792" t="str">
        <f t="shared" si="297"/>
        <v>SMB</v>
      </c>
      <c r="U1792" t="str">
        <f t="shared" si="298"/>
        <v>Lost</v>
      </c>
      <c r="V1792" s="3">
        <f t="shared" si="299"/>
        <v>0</v>
      </c>
      <c r="W1792" s="3">
        <f t="shared" si="300"/>
        <v>0</v>
      </c>
      <c r="X1792" s="5">
        <f t="shared" si="301"/>
        <v>59</v>
      </c>
      <c r="Y1792" s="5">
        <f>IF(U1792="Open",Lookups!$B$2-B1792,X1792)</f>
        <v>59</v>
      </c>
      <c r="Z1792" t="str">
        <f t="shared" si="302"/>
        <v>OK</v>
      </c>
      <c r="AA1792" t="str">
        <f t="shared" si="303"/>
        <v>2025-11</v>
      </c>
      <c r="AB1792" t="str">
        <f t="shared" si="304"/>
        <v>2026-01</v>
      </c>
      <c r="AC1792" t="str">
        <f t="shared" si="305"/>
        <v>Q4-2025</v>
      </c>
      <c r="AD1792" s="5">
        <f t="shared" si="306"/>
        <v>43</v>
      </c>
      <c r="AE1792" t="str">
        <f t="shared" si="307"/>
        <v>Lost</v>
      </c>
    </row>
    <row r="1793" spans="1:31">
      <c r="A1793" t="s">
        <v>1895</v>
      </c>
      <c r="B1793" s="1">
        <v>46021</v>
      </c>
      <c r="C1793" t="s">
        <v>64</v>
      </c>
      <c r="D1793" t="s">
        <v>57</v>
      </c>
      <c r="E1793" t="s">
        <v>98</v>
      </c>
      <c r="F1793" t="s">
        <v>71</v>
      </c>
      <c r="G1793" t="s">
        <v>112</v>
      </c>
      <c r="H1793" t="s">
        <v>53</v>
      </c>
      <c r="I1793" t="s">
        <v>48</v>
      </c>
      <c r="J1793" s="1">
        <v>46220</v>
      </c>
      <c r="K1793" s="1"/>
      <c r="L1793" s="3">
        <v>25900</v>
      </c>
      <c r="M1793" s="4">
        <v>0</v>
      </c>
      <c r="N1793" s="4">
        <v>0.85</v>
      </c>
      <c r="P1793">
        <v>5</v>
      </c>
      <c r="Q1793" t="str">
        <f>IFERROR(VLOOKUP(E1793,Lookups!$A$5:$B$24,2,FALSE),"Other")</f>
        <v>Outbound</v>
      </c>
      <c r="R1793" t="str">
        <f>IFERROR(VLOOKUP(F1793,Lookups!$D$5:$F$10,2,FALSE),"Unknown Product")</f>
        <v>Marketing Automation</v>
      </c>
      <c r="S1793" t="str">
        <f>IFERROR(VLOOKUP(F1793,Lookups!$D$5:$F$10,3,FALSE),"Unknown")</f>
        <v>Marketing</v>
      </c>
      <c r="T1793" t="str">
        <f t="shared" si="297"/>
        <v>Mid-Market</v>
      </c>
      <c r="U1793" t="str">
        <f t="shared" si="298"/>
        <v>Open</v>
      </c>
      <c r="V1793" s="3">
        <f t="shared" si="299"/>
        <v>0</v>
      </c>
      <c r="W1793" s="3">
        <f t="shared" si="300"/>
        <v>22015</v>
      </c>
      <c r="X1793" s="5" t="str">
        <f t="shared" si="301"/>
        <v/>
      </c>
      <c r="Y1793" s="5">
        <f>IF(U1793="Open",Lookups!$B$2-B1793,X1793)</f>
        <v>245</v>
      </c>
      <c r="Z1793" t="str">
        <f t="shared" si="302"/>
        <v>STALE</v>
      </c>
      <c r="AA1793" t="str">
        <f t="shared" si="303"/>
        <v>2025-12</v>
      </c>
      <c r="AB1793" t="str">
        <f t="shared" si="304"/>
        <v/>
      </c>
      <c r="AC1793" t="str">
        <f t="shared" si="305"/>
        <v>Q4-2025</v>
      </c>
      <c r="AD1793" s="5">
        <f t="shared" si="306"/>
        <v>64</v>
      </c>
      <c r="AE1793" t="str">
        <f t="shared" si="307"/>
        <v>Commit</v>
      </c>
    </row>
    <row r="1794" spans="1:31">
      <c r="A1794" t="s">
        <v>1896</v>
      </c>
      <c r="B1794" s="1">
        <v>46237</v>
      </c>
      <c r="C1794" t="s">
        <v>50</v>
      </c>
      <c r="D1794" t="s">
        <v>43</v>
      </c>
      <c r="E1794" t="s">
        <v>123</v>
      </c>
      <c r="F1794" t="s">
        <v>71</v>
      </c>
      <c r="G1794" t="s">
        <v>94</v>
      </c>
      <c r="H1794" t="s">
        <v>53</v>
      </c>
      <c r="I1794" t="s">
        <v>61</v>
      </c>
      <c r="J1794" s="1">
        <v>46266</v>
      </c>
      <c r="K1794" s="1">
        <v>46266</v>
      </c>
      <c r="L1794" s="3">
        <v>28000</v>
      </c>
      <c r="M1794" s="4">
        <v>0</v>
      </c>
      <c r="N1794" s="4">
        <v>0</v>
      </c>
      <c r="O1794" t="s">
        <v>116</v>
      </c>
      <c r="P1794">
        <v>2</v>
      </c>
      <c r="Q1794" t="str">
        <f>IFERROR(VLOOKUP(E1794,Lookups!$A$5:$B$24,2,FALSE),"Other")</f>
        <v>Email</v>
      </c>
      <c r="R1794" t="str">
        <f>IFERROR(VLOOKUP(F1794,Lookups!$D$5:$F$10,2,FALSE),"Unknown Product")</f>
        <v>Marketing Automation</v>
      </c>
      <c r="S1794" t="str">
        <f>IFERROR(VLOOKUP(F1794,Lookups!$D$5:$F$10,3,FALSE),"Unknown")</f>
        <v>Marketing</v>
      </c>
      <c r="T1794" t="str">
        <f t="shared" ref="T1794:T1801" si="308">IF(L1794&gt;=50000,"Enterprise",IF(L1794&gt;=20000,"Mid-Market","SMB"))</f>
        <v>Mid-Market</v>
      </c>
      <c r="U1794" t="str">
        <f t="shared" ref="U1794:U1801" si="309">IF(I1794="Closed Won","Won",IF(I1794="Closed Lost","Lost","Open"))</f>
        <v>Lost</v>
      </c>
      <c r="V1794" s="3">
        <f t="shared" ref="V1794:V1801" si="310">IF(U1794="Won",L1794*(1-M1794),0)</f>
        <v>0</v>
      </c>
      <c r="W1794" s="3">
        <f t="shared" ref="W1794:W1801" si="311">IF(U1794="Open",L1794*N1794,0)</f>
        <v>0</v>
      </c>
      <c r="X1794" s="5">
        <f t="shared" ref="X1794:X1801" si="312">IF(U1794="Open","",IFERROR(K1794-B1794,""))</f>
        <v>29</v>
      </c>
      <c r="Y1794" s="5">
        <f>IF(U1794="Open",Lookups!$B$2-B1794,X1794)</f>
        <v>29</v>
      </c>
      <c r="Z1794" t="str">
        <f t="shared" ref="Z1794:Z1801" si="313">IF(AND(U1794="Open",Y1794&gt;30),"STALE","OK")</f>
        <v>OK</v>
      </c>
      <c r="AA1794" t="str">
        <f t="shared" ref="AA1794:AA1801" si="314">TEXT(B1794,"yyyy-mm")</f>
        <v>2026-08</v>
      </c>
      <c r="AB1794" t="str">
        <f t="shared" ref="AB1794:AB1801" si="315">IF(K1794="","",TEXT(K1794,"yyyy-mm"))</f>
        <v>2026-09</v>
      </c>
      <c r="AC1794" t="str">
        <f t="shared" ref="AC1794:AC1801" si="316">"Q"&amp;ROUNDUP(MONTH(B1794)/3,0)&amp;"-"&amp;YEAR(B1794)</f>
        <v>Q3-2026</v>
      </c>
      <c r="AD1794" s="5">
        <f t="shared" ref="AD1794:AD1801" si="317">MIN(100,IF(H1794="Enterprise",30,IF(H1794="Mid-Market",22,14))+IF(T1794="Enterprise",25,IF(T1794="Mid-Market",18,10))+IF(Q1794="Referral",25,IF(Q1794="Organic Search",20,IF(Q1794="Email",18,14)))+IF(G1794="Technology",10,5))</f>
        <v>63</v>
      </c>
      <c r="AE1794" t="str">
        <f t="shared" ref="AE1794:AE1801" si="318">IF(U1794&lt;&gt;"Open",U1794,IF(N1794&gt;=0.8,"Commit",IF(N1794&gt;=0.5,"Best Case","Pipeline")))</f>
        <v>Lost</v>
      </c>
    </row>
    <row r="1795" spans="1:31">
      <c r="A1795" t="s">
        <v>1897</v>
      </c>
      <c r="B1795" s="1">
        <v>46045</v>
      </c>
      <c r="C1795" t="s">
        <v>148</v>
      </c>
      <c r="D1795" t="s">
        <v>43</v>
      </c>
      <c r="E1795" t="s">
        <v>138</v>
      </c>
      <c r="F1795" t="s">
        <v>52</v>
      </c>
      <c r="G1795" t="s">
        <v>76</v>
      </c>
      <c r="H1795" t="s">
        <v>47</v>
      </c>
      <c r="I1795" t="s">
        <v>77</v>
      </c>
      <c r="J1795" s="1">
        <v>46111</v>
      </c>
      <c r="K1795" s="1">
        <v>46111</v>
      </c>
      <c r="L1795" s="3">
        <v>10100</v>
      </c>
      <c r="M1795" s="4">
        <v>0.03</v>
      </c>
      <c r="N1795" s="4">
        <v>1</v>
      </c>
      <c r="P1795">
        <v>6</v>
      </c>
      <c r="Q1795" t="str">
        <f>IFERROR(VLOOKUP(E1795,Lookups!$A$5:$B$24,2,FALSE),"Other")</f>
        <v>Organic Search</v>
      </c>
      <c r="R1795" t="str">
        <f>IFERROR(VLOOKUP(F1795,Lookups!$D$5:$F$10,2,FALSE),"Unknown Product")</f>
        <v>NexaCRM Core</v>
      </c>
      <c r="S1795" t="str">
        <f>IFERROR(VLOOKUP(F1795,Lookups!$D$5:$F$10,3,FALSE),"Unknown")</f>
        <v>CRM</v>
      </c>
      <c r="T1795" t="str">
        <f t="shared" si="308"/>
        <v>SMB</v>
      </c>
      <c r="U1795" t="str">
        <f t="shared" si="309"/>
        <v>Won</v>
      </c>
      <c r="V1795" s="3">
        <f t="shared" si="310"/>
        <v>9797</v>
      </c>
      <c r="W1795" s="3">
        <f t="shared" si="311"/>
        <v>0</v>
      </c>
      <c r="X1795" s="5">
        <f t="shared" si="312"/>
        <v>66</v>
      </c>
      <c r="Y1795" s="5">
        <f>IF(U1795="Open",Lookups!$B$2-B1795,X1795)</f>
        <v>66</v>
      </c>
      <c r="Z1795" t="str">
        <f t="shared" si="313"/>
        <v>OK</v>
      </c>
      <c r="AA1795" t="str">
        <f t="shared" si="314"/>
        <v>2026-01</v>
      </c>
      <c r="AB1795" t="str">
        <f t="shared" si="315"/>
        <v>2026-03</v>
      </c>
      <c r="AC1795" t="str">
        <f t="shared" si="316"/>
        <v>Q1-2026</v>
      </c>
      <c r="AD1795" s="5">
        <f t="shared" si="317"/>
        <v>49</v>
      </c>
      <c r="AE1795" t="str">
        <f t="shared" si="318"/>
        <v>Won</v>
      </c>
    </row>
    <row r="1796" spans="1:31">
      <c r="A1796" t="s">
        <v>1898</v>
      </c>
      <c r="B1796" s="1">
        <v>45731</v>
      </c>
      <c r="C1796" t="s">
        <v>148</v>
      </c>
      <c r="D1796" t="s">
        <v>43</v>
      </c>
      <c r="E1796" t="s">
        <v>127</v>
      </c>
      <c r="F1796" t="s">
        <v>52</v>
      </c>
      <c r="G1796" t="s">
        <v>76</v>
      </c>
      <c r="H1796" t="s">
        <v>47</v>
      </c>
      <c r="I1796" t="s">
        <v>61</v>
      </c>
      <c r="J1796" s="1">
        <v>45774</v>
      </c>
      <c r="K1796" s="1">
        <v>45774</v>
      </c>
      <c r="L1796" s="3">
        <v>7700</v>
      </c>
      <c r="M1796" s="4">
        <v>0</v>
      </c>
      <c r="N1796" s="4">
        <v>0</v>
      </c>
      <c r="O1796" t="s">
        <v>81</v>
      </c>
      <c r="P1796">
        <v>3</v>
      </c>
      <c r="Q1796" t="str">
        <f>IFERROR(VLOOKUP(E1796,Lookups!$A$5:$B$24,2,FALSE),"Other")</f>
        <v>Paid Search</v>
      </c>
      <c r="R1796" t="str">
        <f>IFERROR(VLOOKUP(F1796,Lookups!$D$5:$F$10,2,FALSE),"Unknown Product")</f>
        <v>NexaCRM Core</v>
      </c>
      <c r="S1796" t="str">
        <f>IFERROR(VLOOKUP(F1796,Lookups!$D$5:$F$10,3,FALSE),"Unknown")</f>
        <v>CRM</v>
      </c>
      <c r="T1796" t="str">
        <f t="shared" si="308"/>
        <v>SMB</v>
      </c>
      <c r="U1796" t="str">
        <f t="shared" si="309"/>
        <v>Lost</v>
      </c>
      <c r="V1796" s="3">
        <f t="shared" si="310"/>
        <v>0</v>
      </c>
      <c r="W1796" s="3">
        <f t="shared" si="311"/>
        <v>0</v>
      </c>
      <c r="X1796" s="5">
        <f t="shared" si="312"/>
        <v>43</v>
      </c>
      <c r="Y1796" s="5">
        <f>IF(U1796="Open",Lookups!$B$2-B1796,X1796)</f>
        <v>43</v>
      </c>
      <c r="Z1796" t="str">
        <f t="shared" si="313"/>
        <v>OK</v>
      </c>
      <c r="AA1796" t="str">
        <f t="shared" si="314"/>
        <v>2025-03</v>
      </c>
      <c r="AB1796" t="str">
        <f t="shared" si="315"/>
        <v>2025-04</v>
      </c>
      <c r="AC1796" t="str">
        <f t="shared" si="316"/>
        <v>Q1-2025</v>
      </c>
      <c r="AD1796" s="5">
        <f t="shared" si="317"/>
        <v>43</v>
      </c>
      <c r="AE1796" t="str">
        <f t="shared" si="318"/>
        <v>Lost</v>
      </c>
    </row>
    <row r="1797" spans="1:31">
      <c r="A1797" t="s">
        <v>1899</v>
      </c>
      <c r="B1797" s="1">
        <v>46241</v>
      </c>
      <c r="C1797" t="s">
        <v>42</v>
      </c>
      <c r="D1797" t="s">
        <v>43</v>
      </c>
      <c r="E1797" t="s">
        <v>58</v>
      </c>
      <c r="F1797" t="s">
        <v>45</v>
      </c>
      <c r="G1797" t="s">
        <v>60</v>
      </c>
      <c r="H1797" t="s">
        <v>84</v>
      </c>
      <c r="I1797" t="s">
        <v>187</v>
      </c>
      <c r="J1797" s="1">
        <v>46259</v>
      </c>
      <c r="K1797" s="1"/>
      <c r="L1797" s="3">
        <v>89700</v>
      </c>
      <c r="M1797" s="4">
        <v>0.03</v>
      </c>
      <c r="N1797" s="4">
        <v>0.05</v>
      </c>
      <c r="P1797">
        <v>1</v>
      </c>
      <c r="Q1797" t="str">
        <f>IFERROR(VLOOKUP(E1797,Lookups!$A$5:$B$24,2,FALSE),"Other")</f>
        <v>Email</v>
      </c>
      <c r="R1797" t="str">
        <f>IFERROR(VLOOKUP(F1797,Lookups!$D$5:$F$10,2,FALSE),"Unknown Product")</f>
        <v>Service Cloud</v>
      </c>
      <c r="S1797" t="str">
        <f>IFERROR(VLOOKUP(F1797,Lookups!$D$5:$F$10,3,FALSE),"Unknown")</f>
        <v>Customer Service</v>
      </c>
      <c r="T1797" t="str">
        <f t="shared" si="308"/>
        <v>Enterprise</v>
      </c>
      <c r="U1797" t="str">
        <f t="shared" si="309"/>
        <v>Open</v>
      </c>
      <c r="V1797" s="3">
        <f t="shared" si="310"/>
        <v>0</v>
      </c>
      <c r="W1797" s="3">
        <f t="shared" si="311"/>
        <v>4485</v>
      </c>
      <c r="X1797" s="5" t="str">
        <f t="shared" si="312"/>
        <v/>
      </c>
      <c r="Y1797" s="5">
        <f>IF(U1797="Open",Lookups!$B$2-B1797,X1797)</f>
        <v>25</v>
      </c>
      <c r="Z1797" t="str">
        <f t="shared" si="313"/>
        <v>OK</v>
      </c>
      <c r="AA1797" t="str">
        <f t="shared" si="314"/>
        <v>2026-08</v>
      </c>
      <c r="AB1797" t="str">
        <f t="shared" si="315"/>
        <v/>
      </c>
      <c r="AC1797" t="str">
        <f t="shared" si="316"/>
        <v>Q3-2026</v>
      </c>
      <c r="AD1797" s="5">
        <f t="shared" si="317"/>
        <v>78</v>
      </c>
      <c r="AE1797" t="str">
        <f t="shared" si="318"/>
        <v>Pipeline</v>
      </c>
    </row>
    <row r="1798" spans="1:31">
      <c r="A1798" t="s">
        <v>1900</v>
      </c>
      <c r="B1798" s="1">
        <v>45729</v>
      </c>
      <c r="C1798" t="s">
        <v>86</v>
      </c>
      <c r="D1798" t="s">
        <v>87</v>
      </c>
      <c r="E1798" t="s">
        <v>70</v>
      </c>
      <c r="F1798" t="s">
        <v>59</v>
      </c>
      <c r="G1798" t="s">
        <v>99</v>
      </c>
      <c r="H1798" t="s">
        <v>47</v>
      </c>
      <c r="I1798" t="s">
        <v>61</v>
      </c>
      <c r="J1798" s="1">
        <v>45777</v>
      </c>
      <c r="K1798" s="1">
        <v>45777</v>
      </c>
      <c r="L1798" s="3">
        <v>11100</v>
      </c>
      <c r="M1798" s="4">
        <v>0</v>
      </c>
      <c r="N1798" s="4">
        <v>0</v>
      </c>
      <c r="O1798" t="s">
        <v>81</v>
      </c>
      <c r="P1798">
        <v>3</v>
      </c>
      <c r="Q1798" t="str">
        <f>IFERROR(VLOOKUP(E1798,Lookups!$A$5:$B$24,2,FALSE),"Other")</f>
        <v>LinkedIn</v>
      </c>
      <c r="R1798" t="str">
        <f>IFERROR(VLOOKUP(F1798,Lookups!$D$5:$F$10,2,FALSE),"Unknown Product")</f>
        <v>NexaCRM Pro</v>
      </c>
      <c r="S1798" t="str">
        <f>IFERROR(VLOOKUP(F1798,Lookups!$D$5:$F$10,3,FALSE),"Unknown")</f>
        <v>CRM</v>
      </c>
      <c r="T1798" t="str">
        <f t="shared" si="308"/>
        <v>SMB</v>
      </c>
      <c r="U1798" t="str">
        <f t="shared" si="309"/>
        <v>Lost</v>
      </c>
      <c r="V1798" s="3">
        <f t="shared" si="310"/>
        <v>0</v>
      </c>
      <c r="W1798" s="3">
        <f t="shared" si="311"/>
        <v>0</v>
      </c>
      <c r="X1798" s="5">
        <f t="shared" si="312"/>
        <v>48</v>
      </c>
      <c r="Y1798" s="5">
        <f>IF(U1798="Open",Lookups!$B$2-B1798,X1798)</f>
        <v>48</v>
      </c>
      <c r="Z1798" t="str">
        <f t="shared" si="313"/>
        <v>OK</v>
      </c>
      <c r="AA1798" t="str">
        <f t="shared" si="314"/>
        <v>2025-03</v>
      </c>
      <c r="AB1798" t="str">
        <f t="shared" si="315"/>
        <v>2025-04</v>
      </c>
      <c r="AC1798" t="str">
        <f t="shared" si="316"/>
        <v>Q1-2025</v>
      </c>
      <c r="AD1798" s="5">
        <f t="shared" si="317"/>
        <v>43</v>
      </c>
      <c r="AE1798" t="str">
        <f t="shared" si="318"/>
        <v>Lost</v>
      </c>
    </row>
    <row r="1799" spans="1:31">
      <c r="A1799" t="s">
        <v>1901</v>
      </c>
      <c r="B1799" s="1">
        <v>45703</v>
      </c>
      <c r="C1799" t="s">
        <v>64</v>
      </c>
      <c r="D1799" t="s">
        <v>57</v>
      </c>
      <c r="E1799" t="s">
        <v>109</v>
      </c>
      <c r="F1799" t="s">
        <v>133</v>
      </c>
      <c r="G1799" t="s">
        <v>99</v>
      </c>
      <c r="H1799" t="s">
        <v>47</v>
      </c>
      <c r="I1799" t="s">
        <v>77</v>
      </c>
      <c r="J1799" s="1">
        <v>45780</v>
      </c>
      <c r="K1799" s="1">
        <v>45780</v>
      </c>
      <c r="L1799" s="3">
        <v>13600</v>
      </c>
      <c r="M1799" s="4">
        <v>0</v>
      </c>
      <c r="N1799" s="4">
        <v>1</v>
      </c>
      <c r="P1799">
        <v>6</v>
      </c>
      <c r="Q1799" t="str">
        <f>IFERROR(VLOOKUP(E1799,Lookups!$A$5:$B$24,2,FALSE),"Other")</f>
        <v>Outbound</v>
      </c>
      <c r="R1799" t="str">
        <f>IFERROR(VLOOKUP(F1799,Lookups!$D$5:$F$10,2,FALSE),"Unknown Product")</f>
        <v>Analytics Plus</v>
      </c>
      <c r="S1799" t="str">
        <f>IFERROR(VLOOKUP(F1799,Lookups!$D$5:$F$10,3,FALSE),"Unknown")</f>
        <v>Analytics</v>
      </c>
      <c r="T1799" t="str">
        <f t="shared" si="308"/>
        <v>SMB</v>
      </c>
      <c r="U1799" t="str">
        <f t="shared" si="309"/>
        <v>Won</v>
      </c>
      <c r="V1799" s="3">
        <f t="shared" si="310"/>
        <v>13600</v>
      </c>
      <c r="W1799" s="3">
        <f t="shared" si="311"/>
        <v>0</v>
      </c>
      <c r="X1799" s="5">
        <f t="shared" si="312"/>
        <v>77</v>
      </c>
      <c r="Y1799" s="5">
        <f>IF(U1799="Open",Lookups!$B$2-B1799,X1799)</f>
        <v>77</v>
      </c>
      <c r="Z1799" t="str">
        <f t="shared" si="313"/>
        <v>OK</v>
      </c>
      <c r="AA1799" t="str">
        <f t="shared" si="314"/>
        <v>2025-02</v>
      </c>
      <c r="AB1799" t="str">
        <f t="shared" si="315"/>
        <v>2025-05</v>
      </c>
      <c r="AC1799" t="str">
        <f t="shared" si="316"/>
        <v>Q1-2025</v>
      </c>
      <c r="AD1799" s="5">
        <f t="shared" si="317"/>
        <v>43</v>
      </c>
      <c r="AE1799" t="str">
        <f t="shared" si="318"/>
        <v>Won</v>
      </c>
    </row>
    <row r="1800" spans="1:31">
      <c r="A1800" t="s">
        <v>1902</v>
      </c>
      <c r="B1800" s="1">
        <v>46101</v>
      </c>
      <c r="C1800" t="s">
        <v>64</v>
      </c>
      <c r="D1800" t="s">
        <v>57</v>
      </c>
      <c r="E1800" t="s">
        <v>75</v>
      </c>
      <c r="F1800" t="s">
        <v>133</v>
      </c>
      <c r="G1800" t="s">
        <v>60</v>
      </c>
      <c r="H1800" t="s">
        <v>53</v>
      </c>
      <c r="I1800" t="s">
        <v>61</v>
      </c>
      <c r="J1800" s="1">
        <v>46137</v>
      </c>
      <c r="K1800" s="1">
        <v>46137</v>
      </c>
      <c r="L1800" s="3">
        <v>25100</v>
      </c>
      <c r="M1800" s="4">
        <v>0</v>
      </c>
      <c r="N1800" s="4">
        <v>0</v>
      </c>
      <c r="O1800" t="s">
        <v>79</v>
      </c>
      <c r="P1800">
        <v>3</v>
      </c>
      <c r="Q1800" t="str">
        <f>IFERROR(VLOOKUP(E1800,Lookups!$A$5:$B$24,2,FALSE),"Other")</f>
        <v>Webinar</v>
      </c>
      <c r="R1800" t="str">
        <f>IFERROR(VLOOKUP(F1800,Lookups!$D$5:$F$10,2,FALSE),"Unknown Product")</f>
        <v>Analytics Plus</v>
      </c>
      <c r="S1800" t="str">
        <f>IFERROR(VLOOKUP(F1800,Lookups!$D$5:$F$10,3,FALSE),"Unknown")</f>
        <v>Analytics</v>
      </c>
      <c r="T1800" t="str">
        <f t="shared" si="308"/>
        <v>Mid-Market</v>
      </c>
      <c r="U1800" t="str">
        <f t="shared" si="309"/>
        <v>Lost</v>
      </c>
      <c r="V1800" s="3">
        <f t="shared" si="310"/>
        <v>0</v>
      </c>
      <c r="W1800" s="3">
        <f t="shared" si="311"/>
        <v>0</v>
      </c>
      <c r="X1800" s="5">
        <f t="shared" si="312"/>
        <v>36</v>
      </c>
      <c r="Y1800" s="5">
        <f>IF(U1800="Open",Lookups!$B$2-B1800,X1800)</f>
        <v>36</v>
      </c>
      <c r="Z1800" t="str">
        <f t="shared" si="313"/>
        <v>OK</v>
      </c>
      <c r="AA1800" t="str">
        <f t="shared" si="314"/>
        <v>2026-03</v>
      </c>
      <c r="AB1800" t="str">
        <f t="shared" si="315"/>
        <v>2026-04</v>
      </c>
      <c r="AC1800" t="str">
        <f t="shared" si="316"/>
        <v>Q1-2026</v>
      </c>
      <c r="AD1800" s="5">
        <f t="shared" si="317"/>
        <v>59</v>
      </c>
      <c r="AE1800" t="str">
        <f t="shared" si="318"/>
        <v>Lost</v>
      </c>
    </row>
    <row r="1801" spans="1:31">
      <c r="A1801" t="s">
        <v>1903</v>
      </c>
      <c r="B1801" s="1">
        <v>45954</v>
      </c>
      <c r="C1801" t="s">
        <v>86</v>
      </c>
      <c r="D1801" t="s">
        <v>87</v>
      </c>
      <c r="E1801" t="s">
        <v>75</v>
      </c>
      <c r="F1801" t="s">
        <v>133</v>
      </c>
      <c r="G1801" t="s">
        <v>94</v>
      </c>
      <c r="H1801" t="s">
        <v>47</v>
      </c>
      <c r="I1801" t="s">
        <v>61</v>
      </c>
      <c r="J1801" s="1">
        <v>46018</v>
      </c>
      <c r="K1801" s="1">
        <v>46018</v>
      </c>
      <c r="L1801" s="3">
        <v>25600</v>
      </c>
      <c r="M1801" s="4">
        <v>0</v>
      </c>
      <c r="N1801" s="4">
        <v>0</v>
      </c>
      <c r="O1801" t="s">
        <v>81</v>
      </c>
      <c r="P1801">
        <v>2</v>
      </c>
      <c r="Q1801" t="str">
        <f>IFERROR(VLOOKUP(E1801,Lookups!$A$5:$B$24,2,FALSE),"Other")</f>
        <v>Webinar</v>
      </c>
      <c r="R1801" t="str">
        <f>IFERROR(VLOOKUP(F1801,Lookups!$D$5:$F$10,2,FALSE),"Unknown Product")</f>
        <v>Analytics Plus</v>
      </c>
      <c r="S1801" t="str">
        <f>IFERROR(VLOOKUP(F1801,Lookups!$D$5:$F$10,3,FALSE),"Unknown")</f>
        <v>Analytics</v>
      </c>
      <c r="T1801" t="str">
        <f t="shared" si="308"/>
        <v>Mid-Market</v>
      </c>
      <c r="U1801" t="str">
        <f t="shared" si="309"/>
        <v>Lost</v>
      </c>
      <c r="V1801" s="3">
        <f t="shared" si="310"/>
        <v>0</v>
      </c>
      <c r="W1801" s="3">
        <f t="shared" si="311"/>
        <v>0</v>
      </c>
      <c r="X1801" s="5">
        <f t="shared" si="312"/>
        <v>64</v>
      </c>
      <c r="Y1801" s="5">
        <f>IF(U1801="Open",Lookups!$B$2-B1801,X1801)</f>
        <v>64</v>
      </c>
      <c r="Z1801" t="str">
        <f t="shared" si="313"/>
        <v>OK</v>
      </c>
      <c r="AA1801" t="str">
        <f t="shared" si="314"/>
        <v>2025-10</v>
      </c>
      <c r="AB1801" t="str">
        <f t="shared" si="315"/>
        <v>2025-12</v>
      </c>
      <c r="AC1801" t="str">
        <f t="shared" si="316"/>
        <v>Q4-2025</v>
      </c>
      <c r="AD1801" s="5">
        <f t="shared" si="317"/>
        <v>51</v>
      </c>
      <c r="AE1801" t="str">
        <f t="shared" si="318"/>
        <v>Lost</v>
      </c>
    </row>
  </sheetData>
  <conditionalFormatting sqref="W2:W1801">
    <cfRule type="dataBar" priority="2">
      <dataBar>
        <cfvo type="min"/>
        <cfvo type="max"/>
        <color rgb="FF156082"/>
      </dataBar>
    </cfRule>
    <cfRule type="dataBar" priority="4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{E61CD39F-A1F0-03E1-5442-8832CF1C52F9}</x14:id>
        </ext>
      </extLst>
    </cfRule>
  </conditionalFormatting>
  <conditionalFormatting sqref="Z2:Z1801">
    <cfRule type="expression" dxfId="0" priority="1">
      <formula>Z2="STALE"</formula>
    </cfRule>
  </conditionalFormatting>
  <conditionalFormatting sqref="AD2:AD1801">
    <cfRule type="colorScale" priority="3">
      <colorScale>
        <cfvo type="min"/>
        <cfvo type="percentile" val="50"/>
        <cfvo type="max"/>
        <color rgb="FFFCE8E6"/>
        <color rgb="FFFFF2CC"/>
        <color rgb="FFE2F0D9"/>
      </colorScale>
    </cfRule>
  </conditionalFormatting>
  <dataValidations count="4">
    <dataValidation type="list" sqref="C2:C1801" xr:uid="{00000000-0002-0000-0100-000000000000}">
      <formula1>"An Nguyen,Bao Tran,Chi Le,Duy Pham,Ha Vo,Minh Do,Quynh Vu,Tuan Bui"</formula1>
    </dataValidation>
    <dataValidation type="list" sqref="D2:D1801" xr:uid="{00000000-0002-0000-0100-000001000000}">
      <formula1>"South,North,Central"</formula1>
    </dataValidation>
    <dataValidation type="list" sqref="F2:F1801" xr:uid="{00000000-0002-0000-0100-000002000000}">
      <formula1>"CRM-CORE,CRM-PRO,MKT-AUTO,BI-PLUS,CS-CLOUD,REV-OPS"</formula1>
    </dataValidation>
    <dataValidation type="list" sqref="H2:H1801" xr:uid="{00000000-0002-0000-0100-000003000000}">
      <formula1>"SMB,Mid-Market,Enterprise"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1CD39F-A1F0-03E1-5442-8832CF1C52F9}">
            <x14:dataBar>
              <x14:cfvo type="min"/>
              <x14:cfvo type="max"/>
              <x14:negativeFillColor auto="1"/>
              <x14:axisColor auto="1"/>
            </x14:dataBar>
          </x14:cfRule>
          <xm:sqref>W2:W1801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workbookViewId="0">
      <selection sqref="A1:XFD1048576"/>
    </sheetView>
  </sheetViews>
  <sheetFormatPr defaultRowHeight="14.25"/>
  <cols>
    <col min="1" max="1" width="9.625" bestFit="1" customWidth="1"/>
    <col min="2" max="2" width="7.25" bestFit="1" customWidth="1"/>
    <col min="3" max="3" width="10.875" bestFit="1" customWidth="1"/>
    <col min="4" max="4" width="11.25" bestFit="1" customWidth="1"/>
    <col min="5" max="6" width="10.25" bestFit="1" customWidth="1"/>
    <col min="7" max="7" width="8.75" bestFit="1" customWidth="1"/>
    <col min="8" max="8" width="13.5" bestFit="1" customWidth="1"/>
    <col min="9" max="9" width="13.625" bestFit="1" customWidth="1"/>
    <col min="10" max="10" width="9.875" bestFit="1" customWidth="1"/>
    <col min="11" max="11" width="11.875" bestFit="1" customWidth="1"/>
    <col min="12" max="12" width="9.875" bestFit="1" customWidth="1"/>
    <col min="13" max="13" width="10.25" bestFit="1" customWidth="1"/>
  </cols>
  <sheetData>
    <row r="1" spans="1:13" ht="30">
      <c r="A1" s="2" t="s">
        <v>1904</v>
      </c>
      <c r="B1" s="2" t="s">
        <v>13</v>
      </c>
      <c r="C1" s="2" t="s">
        <v>1905</v>
      </c>
      <c r="D1" s="2" t="s">
        <v>1906</v>
      </c>
      <c r="E1" s="2" t="s">
        <v>1907</v>
      </c>
      <c r="F1" s="2" t="s">
        <v>1908</v>
      </c>
      <c r="G1" s="2" t="s">
        <v>5</v>
      </c>
      <c r="H1" s="2" t="s">
        <v>2</v>
      </c>
      <c r="I1" s="2" t="s">
        <v>3</v>
      </c>
      <c r="J1" s="2" t="s">
        <v>4</v>
      </c>
      <c r="K1" s="2" t="s">
        <v>1909</v>
      </c>
      <c r="L1" s="2" t="s">
        <v>1910</v>
      </c>
      <c r="M1" s="2" t="s">
        <v>1911</v>
      </c>
    </row>
    <row r="2" spans="1:13">
      <c r="A2" t="s">
        <v>69</v>
      </c>
      <c r="B2" t="str">
        <f>IFERROR(VLOOKUP(A2,Lookups!$I$5:$L$12,2,FALSE),"")</f>
        <v>South</v>
      </c>
      <c r="C2" t="str">
        <f>IFERROR(VLOOKUP(A2,Lookups!$I$5:$L$12,3,FALSE),"")</f>
        <v>Growth</v>
      </c>
      <c r="D2">
        <f>COUNTIF(CRM_Data!$C$2:$C$1801,A2)</f>
        <v>218</v>
      </c>
      <c r="E2">
        <f>COUNTIFS(CRM_Data!$C$2:$C$1801,A2,CRM_Data!$U$2:$U$1801,"Won")</f>
        <v>41</v>
      </c>
      <c r="F2">
        <f>COUNTIFS(CRM_Data!$C$2:$C$1801,A2,CRM_Data!$U$2:$U$1801,"Lost")</f>
        <v>125</v>
      </c>
      <c r="G2" s="6">
        <f t="shared" ref="G2:G9" si="0">IFERROR(E2/(E2+F2),0)</f>
        <v>0.24698795180722891</v>
      </c>
      <c r="H2" s="3">
        <f>SUMIFS(CRM_Data!$V$2:$V$1801,CRM_Data!$C$2:$C$1801,A2)</f>
        <v>1014864</v>
      </c>
      <c r="I2" s="3">
        <f>SUMIFS(CRM_Data!$L$2:$L$1801,CRM_Data!$C$2:$C$1801,A2,CRM_Data!$U$2:$U$1801,"Open")</f>
        <v>1690200</v>
      </c>
      <c r="J2" s="3">
        <f>SUMIFS(CRM_Data!$W$2:$W$1801,CRM_Data!$C$2:$C$1801,A2)</f>
        <v>1077505</v>
      </c>
      <c r="K2">
        <f>IFERROR(SUMIFS(CRM_Data!$X$2:$X$1801,CRM_Data!$C$2:$C$1801,A2,CRM_Data!$U$2:$U$1801,"Won")/E2,0)</f>
        <v>51.975609756097562</v>
      </c>
      <c r="L2" s="3">
        <f>IFERROR(VLOOKUP(A2,Lookups!$I$5:$L$12,4,FALSE),0)</f>
        <v>1035000</v>
      </c>
      <c r="M2" s="6">
        <f t="shared" ref="M2:M9" si="1">IFERROR(H2/L2,0)</f>
        <v>0.9805449275362319</v>
      </c>
    </row>
    <row r="3" spans="1:13">
      <c r="A3" t="s">
        <v>64</v>
      </c>
      <c r="B3" t="str">
        <f>IFERROR(VLOOKUP(A3,Lookups!$I$5:$L$12,2,FALSE),"")</f>
        <v>South</v>
      </c>
      <c r="C3" t="str">
        <f>IFERROR(VLOOKUP(A3,Lookups!$I$5:$L$12,3,FALSE),"")</f>
        <v>Growth</v>
      </c>
      <c r="D3">
        <f>COUNTIF(CRM_Data!$C$2:$C$1801,A3)</f>
        <v>237</v>
      </c>
      <c r="E3">
        <f>COUNTIFS(CRM_Data!$C$2:$C$1801,A3,CRM_Data!$U$2:$U$1801,"Won")</f>
        <v>56</v>
      </c>
      <c r="F3">
        <f>COUNTIFS(CRM_Data!$C$2:$C$1801,A3,CRM_Data!$U$2:$U$1801,"Lost")</f>
        <v>131</v>
      </c>
      <c r="G3" s="6">
        <f t="shared" si="0"/>
        <v>0.29946524064171121</v>
      </c>
      <c r="H3" s="3">
        <f>SUMIFS(CRM_Data!$V$2:$V$1801,CRM_Data!$C$2:$C$1801,A3)</f>
        <v>1296394</v>
      </c>
      <c r="I3" s="3">
        <f>SUMIFS(CRM_Data!$L$2:$L$1801,CRM_Data!$C$2:$C$1801,A3,CRM_Data!$U$2:$U$1801,"Open")</f>
        <v>1582300</v>
      </c>
      <c r="J3" s="3">
        <f>SUMIFS(CRM_Data!$W$2:$W$1801,CRM_Data!$C$2:$C$1801,A3)</f>
        <v>907010</v>
      </c>
      <c r="K3">
        <f>IFERROR(SUMIFS(CRM_Data!$X$2:$X$1801,CRM_Data!$C$2:$C$1801,A3,CRM_Data!$U$2:$U$1801,"Won")/E3,0)</f>
        <v>52.339285714285715</v>
      </c>
      <c r="L3" s="3">
        <f>IFERROR(VLOOKUP(A3,Lookups!$I$5:$L$12,4,FALSE),0)</f>
        <v>1232000</v>
      </c>
      <c r="M3" s="6">
        <f t="shared" si="1"/>
        <v>1.0522678571428572</v>
      </c>
    </row>
    <row r="4" spans="1:13">
      <c r="A4" t="s">
        <v>56</v>
      </c>
      <c r="B4" t="str">
        <f>IFERROR(VLOOKUP(A4,Lookups!$I$5:$L$12,2,FALSE),"")</f>
        <v>South</v>
      </c>
      <c r="C4" t="str">
        <f>IFERROR(VLOOKUP(A4,Lookups!$I$5:$L$12,3,FALSE),"")</f>
        <v>Commercial</v>
      </c>
      <c r="D4">
        <f>COUNTIF(CRM_Data!$C$2:$C$1801,A4)</f>
        <v>203</v>
      </c>
      <c r="E4">
        <f>COUNTIFS(CRM_Data!$C$2:$C$1801,A4,CRM_Data!$U$2:$U$1801,"Won")</f>
        <v>38</v>
      </c>
      <c r="F4">
        <f>COUNTIFS(CRM_Data!$C$2:$C$1801,A4,CRM_Data!$U$2:$U$1801,"Lost")</f>
        <v>109</v>
      </c>
      <c r="G4" s="6">
        <f t="shared" si="0"/>
        <v>0.25850340136054423</v>
      </c>
      <c r="H4" s="3">
        <f>SUMIFS(CRM_Data!$V$2:$V$1801,CRM_Data!$C$2:$C$1801,A4)</f>
        <v>1164807</v>
      </c>
      <c r="I4" s="3">
        <f>SUMIFS(CRM_Data!$L$2:$L$1801,CRM_Data!$C$2:$C$1801,A4,CRM_Data!$U$2:$U$1801,"Open")</f>
        <v>1881700</v>
      </c>
      <c r="J4" s="3">
        <f>SUMIFS(CRM_Data!$W$2:$W$1801,CRM_Data!$C$2:$C$1801,A4)</f>
        <v>1247955</v>
      </c>
      <c r="K4">
        <f>IFERROR(SUMIFS(CRM_Data!$X$2:$X$1801,CRM_Data!$C$2:$C$1801,A4,CRM_Data!$U$2:$U$1801,"Won")/E4,0)</f>
        <v>55.026315789473685</v>
      </c>
      <c r="L4" s="3">
        <f>IFERROR(VLOOKUP(A4,Lookups!$I$5:$L$12,4,FALSE),0)</f>
        <v>1258000</v>
      </c>
      <c r="M4" s="6">
        <f t="shared" si="1"/>
        <v>0.92591971383147853</v>
      </c>
    </row>
    <row r="5" spans="1:13">
      <c r="A5" t="s">
        <v>90</v>
      </c>
      <c r="B5" t="str">
        <f>IFERROR(VLOOKUP(A5,Lookups!$I$5:$L$12,2,FALSE),"")</f>
        <v>South</v>
      </c>
      <c r="C5" t="str">
        <f>IFERROR(VLOOKUP(A5,Lookups!$I$5:$L$12,3,FALSE),"")</f>
        <v>Commercial</v>
      </c>
      <c r="D5">
        <f>COUNTIF(CRM_Data!$C$2:$C$1801,A5)</f>
        <v>222</v>
      </c>
      <c r="E5">
        <f>COUNTIFS(CRM_Data!$C$2:$C$1801,A5,CRM_Data!$U$2:$U$1801,"Won")</f>
        <v>40</v>
      </c>
      <c r="F5">
        <f>COUNTIFS(CRM_Data!$C$2:$C$1801,A5,CRM_Data!$U$2:$U$1801,"Lost")</f>
        <v>131</v>
      </c>
      <c r="G5" s="6">
        <f t="shared" si="0"/>
        <v>0.23391812865497075</v>
      </c>
      <c r="H5" s="3">
        <f>SUMIFS(CRM_Data!$V$2:$V$1801,CRM_Data!$C$2:$C$1801,A5)</f>
        <v>1187010</v>
      </c>
      <c r="I5" s="3">
        <f>SUMIFS(CRM_Data!$L$2:$L$1801,CRM_Data!$C$2:$C$1801,A5,CRM_Data!$U$2:$U$1801,"Open")</f>
        <v>1879500</v>
      </c>
      <c r="J5" s="3">
        <f>SUMIFS(CRM_Data!$W$2:$W$1801,CRM_Data!$C$2:$C$1801,A5)</f>
        <v>1178695</v>
      </c>
      <c r="K5">
        <f>IFERROR(SUMIFS(CRM_Data!$X$2:$X$1801,CRM_Data!$C$2:$C$1801,A5,CRM_Data!$U$2:$U$1801,"Won")/E5,0)</f>
        <v>57.975000000000001</v>
      </c>
      <c r="L5" s="3">
        <f>IFERROR(VLOOKUP(A5,Lookups!$I$5:$L$12,4,FALSE),0)</f>
        <v>1163000</v>
      </c>
      <c r="M5" s="6">
        <f t="shared" si="1"/>
        <v>1.0206448839208941</v>
      </c>
    </row>
    <row r="6" spans="1:13">
      <c r="A6" t="s">
        <v>42</v>
      </c>
      <c r="B6" t="str">
        <f>IFERROR(VLOOKUP(A6,Lookups!$I$5:$L$12,2,FALSE),"")</f>
        <v>North</v>
      </c>
      <c r="C6" t="str">
        <f>IFERROR(VLOOKUP(A6,Lookups!$I$5:$L$12,3,FALSE),"")</f>
        <v>Growth</v>
      </c>
      <c r="D6">
        <f>COUNTIF(CRM_Data!$C$2:$C$1801,A6)</f>
        <v>223</v>
      </c>
      <c r="E6">
        <f>COUNTIFS(CRM_Data!$C$2:$C$1801,A6,CRM_Data!$U$2:$U$1801,"Won")</f>
        <v>42</v>
      </c>
      <c r="F6">
        <f>COUNTIFS(CRM_Data!$C$2:$C$1801,A6,CRM_Data!$U$2:$U$1801,"Lost")</f>
        <v>130</v>
      </c>
      <c r="G6" s="6">
        <f t="shared" si="0"/>
        <v>0.2441860465116279</v>
      </c>
      <c r="H6" s="3">
        <f>SUMIFS(CRM_Data!$V$2:$V$1801,CRM_Data!$C$2:$C$1801,A6)</f>
        <v>1007131</v>
      </c>
      <c r="I6" s="3">
        <f>SUMIFS(CRM_Data!$L$2:$L$1801,CRM_Data!$C$2:$C$1801,A6,CRM_Data!$U$2:$U$1801,"Open")</f>
        <v>1397100</v>
      </c>
      <c r="J6" s="3">
        <f>SUMIFS(CRM_Data!$W$2:$W$1801,CRM_Data!$C$2:$C$1801,A6)</f>
        <v>747545</v>
      </c>
      <c r="K6">
        <f>IFERROR(SUMIFS(CRM_Data!$X$2:$X$1801,CRM_Data!$C$2:$C$1801,A6,CRM_Data!$U$2:$U$1801,"Won")/E6,0)</f>
        <v>60.166666666666664</v>
      </c>
      <c r="L6" s="3">
        <f>IFERROR(VLOOKUP(A6,Lookups!$I$5:$L$12,4,FALSE),0)</f>
        <v>1057000</v>
      </c>
      <c r="M6" s="6">
        <f t="shared" si="1"/>
        <v>0.95282024597918635</v>
      </c>
    </row>
    <row r="7" spans="1:13">
      <c r="A7" t="s">
        <v>148</v>
      </c>
      <c r="B7" t="str">
        <f>IFERROR(VLOOKUP(A7,Lookups!$I$5:$L$12,2,FALSE),"")</f>
        <v>North</v>
      </c>
      <c r="C7" t="str">
        <f>IFERROR(VLOOKUP(A7,Lookups!$I$5:$L$12,3,FALSE),"")</f>
        <v>Commercial</v>
      </c>
      <c r="D7">
        <f>COUNTIF(CRM_Data!$C$2:$C$1801,A7)</f>
        <v>236</v>
      </c>
      <c r="E7">
        <f>COUNTIFS(CRM_Data!$C$2:$C$1801,A7,CRM_Data!$U$2:$U$1801,"Won")</f>
        <v>45</v>
      </c>
      <c r="F7">
        <f>COUNTIFS(CRM_Data!$C$2:$C$1801,A7,CRM_Data!$U$2:$U$1801,"Lost")</f>
        <v>146</v>
      </c>
      <c r="G7" s="6">
        <f t="shared" si="0"/>
        <v>0.2356020942408377</v>
      </c>
      <c r="H7" s="3">
        <f>SUMIFS(CRM_Data!$V$2:$V$1801,CRM_Data!$C$2:$C$1801,A7)</f>
        <v>1168309</v>
      </c>
      <c r="I7" s="3">
        <f>SUMIFS(CRM_Data!$L$2:$L$1801,CRM_Data!$C$2:$C$1801,A7,CRM_Data!$U$2:$U$1801,"Open")</f>
        <v>1454400</v>
      </c>
      <c r="J7" s="3">
        <f>SUMIFS(CRM_Data!$W$2:$W$1801,CRM_Data!$C$2:$C$1801,A7)</f>
        <v>926075</v>
      </c>
      <c r="K7">
        <f>IFERROR(SUMIFS(CRM_Data!$X$2:$X$1801,CRM_Data!$C$2:$C$1801,A7,CRM_Data!$U$2:$U$1801,"Won")/E7,0)</f>
        <v>49.06666666666667</v>
      </c>
      <c r="L7" s="3">
        <f>IFERROR(VLOOKUP(A7,Lookups!$I$5:$L$12,4,FALSE),0)</f>
        <v>1075000</v>
      </c>
      <c r="M7" s="6">
        <f t="shared" si="1"/>
        <v>1.0867990697674419</v>
      </c>
    </row>
    <row r="8" spans="1:13">
      <c r="A8" t="s">
        <v>50</v>
      </c>
      <c r="B8" t="str">
        <f>IFERROR(VLOOKUP(A8,Lookups!$I$5:$L$12,2,FALSE),"")</f>
        <v>North</v>
      </c>
      <c r="C8" t="str">
        <f>IFERROR(VLOOKUP(A8,Lookups!$I$5:$L$12,3,FALSE),"")</f>
        <v>Growth</v>
      </c>
      <c r="D8">
        <f>COUNTIF(CRM_Data!$C$2:$C$1801,A8)</f>
        <v>226</v>
      </c>
      <c r="E8">
        <f>COUNTIFS(CRM_Data!$C$2:$C$1801,A8,CRM_Data!$U$2:$U$1801,"Won")</f>
        <v>49</v>
      </c>
      <c r="F8">
        <f>COUNTIFS(CRM_Data!$C$2:$C$1801,A8,CRM_Data!$U$2:$U$1801,"Lost")</f>
        <v>117</v>
      </c>
      <c r="G8" s="6">
        <f t="shared" si="0"/>
        <v>0.29518072289156627</v>
      </c>
      <c r="H8" s="3">
        <f>SUMIFS(CRM_Data!$V$2:$V$1801,CRM_Data!$C$2:$C$1801,A8)</f>
        <v>1594527</v>
      </c>
      <c r="I8" s="3">
        <f>SUMIFS(CRM_Data!$L$2:$L$1801,CRM_Data!$C$2:$C$1801,A8,CRM_Data!$U$2:$U$1801,"Open")</f>
        <v>1614800</v>
      </c>
      <c r="J8" s="3">
        <f>SUMIFS(CRM_Data!$W$2:$W$1801,CRM_Data!$C$2:$C$1801,A8)</f>
        <v>884890</v>
      </c>
      <c r="K8">
        <f>IFERROR(SUMIFS(CRM_Data!$X$2:$X$1801,CRM_Data!$C$2:$C$1801,A8,CRM_Data!$U$2:$U$1801,"Won")/E8,0)</f>
        <v>60.285714285714285</v>
      </c>
      <c r="L8" s="3">
        <f>IFERROR(VLOOKUP(A8,Lookups!$I$5:$L$12,4,FALSE),0)</f>
        <v>1754000</v>
      </c>
      <c r="M8" s="6">
        <f t="shared" si="1"/>
        <v>0.90908038768529076</v>
      </c>
    </row>
    <row r="9" spans="1:13">
      <c r="A9" t="s">
        <v>86</v>
      </c>
      <c r="B9" t="str">
        <f>IFERROR(VLOOKUP(A9,Lookups!$I$5:$L$12,2,FALSE),"")</f>
        <v>Central</v>
      </c>
      <c r="C9" t="str">
        <f>IFERROR(VLOOKUP(A9,Lookups!$I$5:$L$12,3,FALSE),"")</f>
        <v>Commercial</v>
      </c>
      <c r="D9">
        <f>COUNTIF(CRM_Data!$C$2:$C$1801,A9)</f>
        <v>235</v>
      </c>
      <c r="E9">
        <f>COUNTIFS(CRM_Data!$C$2:$C$1801,A9,CRM_Data!$U$2:$U$1801,"Won")</f>
        <v>50</v>
      </c>
      <c r="F9">
        <f>COUNTIFS(CRM_Data!$C$2:$C$1801,A9,CRM_Data!$U$2:$U$1801,"Lost")</f>
        <v>136</v>
      </c>
      <c r="G9" s="6">
        <f t="shared" si="0"/>
        <v>0.26881720430107525</v>
      </c>
      <c r="H9" s="3">
        <f>SUMIFS(CRM_Data!$V$2:$V$1801,CRM_Data!$C$2:$C$1801,A9)</f>
        <v>1342588</v>
      </c>
      <c r="I9" s="3">
        <f>SUMIFS(CRM_Data!$L$2:$L$1801,CRM_Data!$C$2:$C$1801,A9,CRM_Data!$U$2:$U$1801,"Open")</f>
        <v>1511200</v>
      </c>
      <c r="J9" s="3">
        <f>SUMIFS(CRM_Data!$W$2:$W$1801,CRM_Data!$C$2:$C$1801,A9)</f>
        <v>860340</v>
      </c>
      <c r="K9">
        <f>IFERROR(SUMIFS(CRM_Data!$X$2:$X$1801,CRM_Data!$C$2:$C$1801,A9,CRM_Data!$U$2:$U$1801,"Won")/E9,0)</f>
        <v>55.02</v>
      </c>
      <c r="L9" s="3">
        <f>IFERROR(VLOOKUP(A9,Lookups!$I$5:$L$12,4,FALSE),0)</f>
        <v>1289000</v>
      </c>
      <c r="M9" s="6">
        <f t="shared" si="1"/>
        <v>1.0415733126454616</v>
      </c>
    </row>
  </sheetData>
  <conditionalFormatting sqref="G2:G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{D93026DF-07B1-C69E-4978-46AB4CCDE5F7}</x14:id>
        </ext>
      </extLst>
    </cfRule>
  </conditionalFormatting>
  <conditionalFormatting sqref="M2:M9">
    <cfRule type="colorScale" priority="2">
      <colorScale>
        <cfvo type="min"/>
        <cfvo type="percentile" val="50"/>
        <cfvo type="max"/>
        <color rgb="FFFCE8E6"/>
        <color rgb="FFFFF2CC"/>
        <color rgb="FFE2F0D9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026DF-07B1-C69E-4978-46AB4CCDE5F7}">
            <x14:dataBar>
              <x14:cfvo type="min"/>
              <x14:cfvo type="max"/>
              <x14:negativeFillColor auto="1"/>
              <x14:axisColor auto="1"/>
            </x14:dataBar>
          </x14:cfRule>
          <xm:sqref>G2:G9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zoomScaleNormal="100" workbookViewId="0">
      <selection sqref="A1:XFD1048576"/>
    </sheetView>
  </sheetViews>
  <sheetFormatPr defaultRowHeight="14.25"/>
  <cols>
    <col min="1" max="1" width="13.875" bestFit="1" customWidth="1"/>
    <col min="2" max="2" width="6.25" bestFit="1" customWidth="1"/>
    <col min="3" max="4" width="4.75" bestFit="1" customWidth="1"/>
    <col min="5" max="5" width="8.75" bestFit="1" customWidth="1"/>
    <col min="6" max="6" width="13.5" bestFit="1" customWidth="1"/>
    <col min="7" max="7" width="15" bestFit="1" customWidth="1"/>
    <col min="8" max="8" width="13.625" bestFit="1" customWidth="1"/>
    <col min="9" max="9" width="9.875" bestFit="1" customWidth="1"/>
    <col min="10" max="10" width="13.25" bestFit="1" customWidth="1"/>
  </cols>
  <sheetData>
    <row r="1" spans="1:10" ht="30">
      <c r="A1" s="2" t="s">
        <v>1912</v>
      </c>
      <c r="B1" s="2" t="s">
        <v>1913</v>
      </c>
      <c r="C1" s="2" t="s">
        <v>1914</v>
      </c>
      <c r="D1" s="2" t="s">
        <v>1915</v>
      </c>
      <c r="E1" s="2" t="s">
        <v>5</v>
      </c>
      <c r="F1" s="2" t="s">
        <v>2</v>
      </c>
      <c r="G1" s="2" t="s">
        <v>1916</v>
      </c>
      <c r="H1" s="2" t="s">
        <v>3</v>
      </c>
      <c r="I1" s="2" t="s">
        <v>4</v>
      </c>
      <c r="J1" s="2" t="s">
        <v>6</v>
      </c>
    </row>
    <row r="2" spans="1:10">
      <c r="A2" t="s">
        <v>1917</v>
      </c>
      <c r="B2">
        <f>COUNTIF(CRM_Data!$Q:$Q,$A2)</f>
        <v>346</v>
      </c>
      <c r="C2">
        <f>COUNTIFS(CRM_Data!$Q:$Q,$A2,CRM_Data!$U:$U,"Won")</f>
        <v>55</v>
      </c>
      <c r="D2">
        <f>COUNTIFS(CRM_Data!$Q$2:$Q$1801,A2,CRM_Data!$U$2:$U$1801,"Lost")</f>
        <v>208</v>
      </c>
      <c r="E2" s="6">
        <f t="shared" ref="E2:E9" si="0">IFERROR(C2/(C2+D2),0)</f>
        <v>0.20912547528517111</v>
      </c>
      <c r="F2" s="3">
        <f>SUMIFS(CRM_Data!$V$2:$V$1801,CRM_Data!$Q$2:$Q$1801,A2)</f>
        <v>1255405</v>
      </c>
      <c r="G2" s="3">
        <f t="shared" ref="G2:G9" si="1">IFERROR(F2/B2,0)</f>
        <v>3628.3381502890174</v>
      </c>
      <c r="H2" s="3">
        <f>SUMIFS(CRM_Data!$L$2:$L$1801,CRM_Data!$Q$2:$Q$1801,A2,CRM_Data!$U$2:$U$1801,"Open")</f>
        <v>2729200</v>
      </c>
      <c r="I2" s="3">
        <f>SUMIFS(CRM_Data!$W$2:$W$1801,CRM_Data!$Q$2:$Q$1801,A2)</f>
        <v>1554865</v>
      </c>
      <c r="J2" s="3">
        <f t="shared" ref="J2:J9" si="2">IFERROR(F2/C2,0)</f>
        <v>22825.545454545456</v>
      </c>
    </row>
    <row r="3" spans="1:10">
      <c r="A3" t="s">
        <v>1918</v>
      </c>
      <c r="B3">
        <f>COUNTIF(CRM_Data!$Q:$Q,$A3)</f>
        <v>335</v>
      </c>
      <c r="C3">
        <f>COUNTIFS(CRM_Data!$Q:$Q,$A3,CRM_Data!$U:$U,"Won")</f>
        <v>73</v>
      </c>
      <c r="D3">
        <f>COUNTIFS(CRM_Data!$Q$2:$Q$1801,A3,CRM_Data!$U$2:$U$1801,"Lost")</f>
        <v>181</v>
      </c>
      <c r="E3" s="6">
        <f t="shared" si="0"/>
        <v>0.2874015748031496</v>
      </c>
      <c r="F3" s="3">
        <f>SUMIFS(CRM_Data!$V$2:$V$1801,CRM_Data!$Q$2:$Q$1801,A3)</f>
        <v>1821606</v>
      </c>
      <c r="G3" s="3">
        <f t="shared" si="1"/>
        <v>5437.6298507462689</v>
      </c>
      <c r="H3" s="3">
        <f>SUMIFS(CRM_Data!$L$2:$L$1801,CRM_Data!$Q$2:$Q$1801,A3,CRM_Data!$U$2:$U$1801,"Open")</f>
        <v>2484300</v>
      </c>
      <c r="I3" s="3">
        <f>SUMIFS(CRM_Data!$W$2:$W$1801,CRM_Data!$Q$2:$Q$1801,A3)</f>
        <v>1288290</v>
      </c>
      <c r="J3" s="3">
        <f t="shared" si="2"/>
        <v>24953.506849315068</v>
      </c>
    </row>
    <row r="4" spans="1:10">
      <c r="A4" t="s">
        <v>1919</v>
      </c>
      <c r="B4">
        <f>COUNTIF(CRM_Data!$Q:$Q,$A4)</f>
        <v>271</v>
      </c>
      <c r="C4">
        <f>COUNTIFS(CRM_Data!$Q:$Q,$A4,CRM_Data!$U:$U,"Won")</f>
        <v>58</v>
      </c>
      <c r="D4">
        <f>COUNTIFS(CRM_Data!$Q$2:$Q$1801,A4,CRM_Data!$U$2:$U$1801,"Lost")</f>
        <v>161</v>
      </c>
      <c r="E4" s="6">
        <f t="shared" si="0"/>
        <v>0.26484018264840181</v>
      </c>
      <c r="F4" s="3">
        <f>SUMIFS(CRM_Data!$V$2:$V$1801,CRM_Data!$Q$2:$Q$1801,A4)</f>
        <v>1633109</v>
      </c>
      <c r="G4" s="3">
        <f t="shared" si="1"/>
        <v>6026.2324723247229</v>
      </c>
      <c r="H4" s="3">
        <f>SUMIFS(CRM_Data!$L$2:$L$1801,CRM_Data!$Q$2:$Q$1801,A4,CRM_Data!$U$2:$U$1801,"Open")</f>
        <v>1580500</v>
      </c>
      <c r="I4" s="3">
        <f>SUMIFS(CRM_Data!$W$2:$W$1801,CRM_Data!$Q$2:$Q$1801,A4)</f>
        <v>865925</v>
      </c>
      <c r="J4" s="3">
        <f t="shared" si="2"/>
        <v>28157.051724137931</v>
      </c>
    </row>
    <row r="5" spans="1:10">
      <c r="A5" t="s">
        <v>107</v>
      </c>
      <c r="B5">
        <f>COUNTIF(CRM_Data!$Q:$Q,$A5)</f>
        <v>225</v>
      </c>
      <c r="C5">
        <f>COUNTIFS(CRM_Data!$Q:$Q,$A5,CRM_Data!$U:$U,"Won")</f>
        <v>51</v>
      </c>
      <c r="D5">
        <f>COUNTIFS(CRM_Data!$Q$2:$Q$1801,A5,CRM_Data!$U$2:$U$1801,"Lost")</f>
        <v>121</v>
      </c>
      <c r="E5" s="6">
        <f t="shared" si="0"/>
        <v>0.29651162790697677</v>
      </c>
      <c r="F5" s="3">
        <f>SUMIFS(CRM_Data!$V$2:$V$1801,CRM_Data!$Q$2:$Q$1801,A5)</f>
        <v>1518294</v>
      </c>
      <c r="G5" s="3">
        <f t="shared" si="1"/>
        <v>6747.9733333333334</v>
      </c>
      <c r="H5" s="3">
        <f>SUMIFS(CRM_Data!$L$2:$L$1801,CRM_Data!$Q$2:$Q$1801,A5,CRM_Data!$U$2:$U$1801,"Open")</f>
        <v>1649400</v>
      </c>
      <c r="I5" s="3">
        <f>SUMIFS(CRM_Data!$W$2:$W$1801,CRM_Data!$Q$2:$Q$1801,A5)</f>
        <v>1065240</v>
      </c>
      <c r="J5" s="3">
        <f t="shared" si="2"/>
        <v>29770.470588235294</v>
      </c>
    </row>
    <row r="6" spans="1:10">
      <c r="A6" t="s">
        <v>1920</v>
      </c>
      <c r="B6">
        <f>COUNTIF(CRM_Data!$Q:$Q,$A6)</f>
        <v>215</v>
      </c>
      <c r="C6">
        <f>COUNTIFS(CRM_Data!$Q:$Q,$A6,CRM_Data!$U:$U,"Won")</f>
        <v>55</v>
      </c>
      <c r="D6">
        <f>COUNTIFS(CRM_Data!$Q$2:$Q$1801,A6,CRM_Data!$U$2:$U$1801,"Lost")</f>
        <v>117</v>
      </c>
      <c r="E6" s="6">
        <f t="shared" si="0"/>
        <v>0.31976744186046513</v>
      </c>
      <c r="F6" s="3">
        <f>SUMIFS(CRM_Data!$V$2:$V$1801,CRM_Data!$Q$2:$Q$1801,A6)</f>
        <v>1656502</v>
      </c>
      <c r="G6" s="3">
        <f t="shared" si="1"/>
        <v>7704.6604651162788</v>
      </c>
      <c r="H6" s="3">
        <f>SUMIFS(CRM_Data!$L$2:$L$1801,CRM_Data!$Q$2:$Q$1801,A6,CRM_Data!$U$2:$U$1801,"Open")</f>
        <v>1520700</v>
      </c>
      <c r="I6" s="3">
        <f>SUMIFS(CRM_Data!$W$2:$W$1801,CRM_Data!$Q$2:$Q$1801,A6)</f>
        <v>997695</v>
      </c>
      <c r="J6" s="3">
        <f t="shared" si="2"/>
        <v>30118.218181818182</v>
      </c>
    </row>
    <row r="7" spans="1:10">
      <c r="A7" t="s">
        <v>75</v>
      </c>
      <c r="B7">
        <f>COUNTIF(CRM_Data!$Q:$Q,$A7)</f>
        <v>138</v>
      </c>
      <c r="C7">
        <f>COUNTIFS(CRM_Data!$Q:$Q,$A7,CRM_Data!$U:$U,"Won")</f>
        <v>27</v>
      </c>
      <c r="D7">
        <f>COUNTIFS(CRM_Data!$Q$2:$Q$1801,A7,CRM_Data!$U$2:$U$1801,"Lost")</f>
        <v>84</v>
      </c>
      <c r="E7" s="6">
        <f t="shared" si="0"/>
        <v>0.24324324324324326</v>
      </c>
      <c r="F7" s="3">
        <f>SUMIFS(CRM_Data!$V$2:$V$1801,CRM_Data!$Q$2:$Q$1801,A7)</f>
        <v>679313</v>
      </c>
      <c r="G7" s="3">
        <f t="shared" si="1"/>
        <v>4922.557971014493</v>
      </c>
      <c r="H7" s="3">
        <f>SUMIFS(CRM_Data!$L$2:$L$1801,CRM_Data!$Q$2:$Q$1801,A7,CRM_Data!$U$2:$U$1801,"Open")</f>
        <v>745100</v>
      </c>
      <c r="I7" s="3">
        <f>SUMIFS(CRM_Data!$W$2:$W$1801,CRM_Data!$Q$2:$Q$1801,A7)</f>
        <v>492915</v>
      </c>
      <c r="J7" s="3">
        <f t="shared" si="2"/>
        <v>25159.740740740741</v>
      </c>
    </row>
    <row r="8" spans="1:10">
      <c r="A8" t="s">
        <v>109</v>
      </c>
      <c r="B8">
        <f>COUNTIF(CRM_Data!$Q:$Q,$A8)</f>
        <v>217</v>
      </c>
      <c r="C8">
        <f>COUNTIFS(CRM_Data!$Q:$Q,$A8,CRM_Data!$U:$U,"Won")</f>
        <v>33</v>
      </c>
      <c r="D8">
        <f>COUNTIFS(CRM_Data!$Q$2:$Q$1801,A8,CRM_Data!$U$2:$U$1801,"Lost")</f>
        <v>124</v>
      </c>
      <c r="E8" s="6">
        <f t="shared" si="0"/>
        <v>0.21019108280254778</v>
      </c>
      <c r="F8" s="3">
        <f>SUMIFS(CRM_Data!$V$2:$V$1801,CRM_Data!$Q$2:$Q$1801,A8)</f>
        <v>921554</v>
      </c>
      <c r="G8" s="3">
        <f t="shared" si="1"/>
        <v>4246.7926267281109</v>
      </c>
      <c r="H8" s="3">
        <f>SUMIFS(CRM_Data!$L$2:$L$1801,CRM_Data!$Q$2:$Q$1801,A8,CRM_Data!$U$2:$U$1801,"Open")</f>
        <v>1788300</v>
      </c>
      <c r="I8" s="3">
        <f>SUMIFS(CRM_Data!$W$2:$W$1801,CRM_Data!$Q$2:$Q$1801,A8)</f>
        <v>1233070</v>
      </c>
      <c r="J8" s="3">
        <f t="shared" si="2"/>
        <v>27925.878787878788</v>
      </c>
    </row>
    <row r="9" spans="1:10">
      <c r="A9" t="s">
        <v>1921</v>
      </c>
      <c r="B9">
        <f>COUNTIF(CRM_Data!$Q:$Q,$A9)</f>
        <v>53</v>
      </c>
      <c r="C9">
        <f>COUNTIFS(CRM_Data!$Q:$Q,$A9,CRM_Data!$U:$U,"Won")</f>
        <v>9</v>
      </c>
      <c r="D9">
        <f>COUNTIFS(CRM_Data!$Q$2:$Q$1801,A9,CRM_Data!$U$2:$U$1801,"Lost")</f>
        <v>29</v>
      </c>
      <c r="E9" s="6">
        <f t="shared" si="0"/>
        <v>0.23684210526315788</v>
      </c>
      <c r="F9" s="3">
        <f>SUMIFS(CRM_Data!$V$2:$V$1801,CRM_Data!$Q$2:$Q$1801,A9)</f>
        <v>289847</v>
      </c>
      <c r="G9" s="3">
        <f t="shared" si="1"/>
        <v>5468.8113207547167</v>
      </c>
      <c r="H9" s="3">
        <f>SUMIFS(CRM_Data!$L$2:$L$1801,CRM_Data!$Q$2:$Q$1801,A9,CRM_Data!$U$2:$U$1801,"Open")</f>
        <v>513700</v>
      </c>
      <c r="I9" s="3">
        <f>SUMIFS(CRM_Data!$W$2:$W$1801,CRM_Data!$Q$2:$Q$1801,A9)</f>
        <v>332015</v>
      </c>
      <c r="J9" s="3">
        <f t="shared" si="2"/>
        <v>32205.222222222223</v>
      </c>
    </row>
  </sheetData>
  <conditionalFormatting sqref="E2:E9">
    <cfRule type="dataBar" priority="1">
      <dataBar>
        <cfvo type="min"/>
        <cfvo type="max"/>
        <color rgb="FF0F9ED5"/>
      </dataBar>
    </cfRule>
    <cfRule type="dataBar" priority="2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{2C0B1811-29E0-C691-D035-22C96B9DC7D7}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0B1811-29E0-C691-D035-22C96B9DC7D7}">
            <x14:dataBar>
              <x14:cfvo type="min"/>
              <x14:cfvo type="max"/>
              <x14:negativeFillColor auto="1"/>
              <x14:axisColor auto="1"/>
            </x14:dataBar>
          </x14:cfRule>
          <xm:sqref>E2:E9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sqref="A1:XFD1048576"/>
    </sheetView>
  </sheetViews>
  <sheetFormatPr defaultRowHeight="14.25"/>
  <cols>
    <col min="1" max="1" width="13.75" bestFit="1" customWidth="1"/>
    <col min="2" max="2" width="14.5" bestFit="1" customWidth="1"/>
    <col min="3" max="3" width="15.875" bestFit="1" customWidth="1"/>
    <col min="4" max="4" width="21.625" bestFit="1" customWidth="1"/>
  </cols>
  <sheetData>
    <row r="1" spans="1:4" ht="30">
      <c r="A1" s="2" t="s">
        <v>1922</v>
      </c>
      <c r="B1" s="2" t="s">
        <v>1923</v>
      </c>
      <c r="C1" s="2" t="s">
        <v>1924</v>
      </c>
      <c r="D1" s="2" t="s">
        <v>1925</v>
      </c>
    </row>
    <row r="2" spans="1:4">
      <c r="A2" t="s">
        <v>1926</v>
      </c>
      <c r="B2">
        <f>COUNTA(CRM_Data!$A$2:$A$1801)</f>
        <v>1800</v>
      </c>
      <c r="C2" s="6">
        <f>1</f>
        <v>1</v>
      </c>
      <c r="D2" s="6">
        <f>0</f>
        <v>0</v>
      </c>
    </row>
    <row r="3" spans="1:4">
      <c r="A3" t="s">
        <v>73</v>
      </c>
      <c r="B3">
        <f>COUNTIF(CRM_Data!$P$2:$P$1801,"&gt;=2")</f>
        <v>1757</v>
      </c>
      <c r="C3" s="6">
        <f>IFERROR(B3/B2,0)</f>
        <v>0.97611111111111115</v>
      </c>
      <c r="D3" s="6">
        <f>1-C3</f>
        <v>2.3888888888888848E-2</v>
      </c>
    </row>
    <row r="4" spans="1:4">
      <c r="A4" t="s">
        <v>105</v>
      </c>
      <c r="B4">
        <f>COUNTIF(CRM_Data!$P$2:$P$1801,"&gt;=3")</f>
        <v>1481</v>
      </c>
      <c r="C4" s="6">
        <f>IFERROR(B4/B3,0)</f>
        <v>0.84291405805350028</v>
      </c>
      <c r="D4" s="6">
        <f>1-C4</f>
        <v>0.15708594194649972</v>
      </c>
    </row>
    <row r="5" spans="1:4">
      <c r="A5" t="s">
        <v>54</v>
      </c>
      <c r="B5">
        <f>COUNTIF(CRM_Data!$P$2:$P$1801,"&gt;=4")</f>
        <v>1142</v>
      </c>
      <c r="C5" s="6">
        <f>IFERROR(B5/B4,0)</f>
        <v>0.77110060769750166</v>
      </c>
      <c r="D5" s="6">
        <f>1-C5</f>
        <v>0.22889939230249834</v>
      </c>
    </row>
    <row r="6" spans="1:4">
      <c r="A6" t="s">
        <v>48</v>
      </c>
      <c r="B6">
        <f>COUNTIF(CRM_Data!$P$2:$P$1801,"&gt;=5")</f>
        <v>792</v>
      </c>
      <c r="C6" s="6">
        <f>IFERROR(B6/B5,0)</f>
        <v>0.69352014010507879</v>
      </c>
      <c r="D6" s="6">
        <f>1-C6</f>
        <v>0.30647985989492121</v>
      </c>
    </row>
    <row r="7" spans="1:4">
      <c r="A7" t="s">
        <v>77</v>
      </c>
      <c r="B7">
        <f>COUNTIF(CRM_Data!$U$2:$U$1801,"Won")</f>
        <v>361</v>
      </c>
      <c r="C7" s="6">
        <f>IFERROR(B7/B6,0)</f>
        <v>0.45580808080808083</v>
      </c>
      <c r="D7" s="6">
        <f>1-C7</f>
        <v>0.54419191919191912</v>
      </c>
    </row>
  </sheetData>
  <conditionalFormatting sqref="B2:B7">
    <cfRule type="dataBar" priority="1">
      <dataBar>
        <cfvo type="min"/>
        <cfvo type="max"/>
        <color rgb="FF156082"/>
      </dataBar>
    </cfRule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{7B357697-60AC-031B-0639-7540A15D9853}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357697-60AC-031B-0639-7540A15D9853}">
            <x14:dataBar>
              <x14:cfvo type="min"/>
              <x14:cfvo type="max"/>
              <x14:negativeFillColor auto="1"/>
              <x14:axisColor auto="1"/>
            </x14:dataBar>
          </x14:cfRule>
          <xm:sqref>B2:B7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sqref="A1:XFD1048576"/>
    </sheetView>
  </sheetViews>
  <sheetFormatPr defaultRowHeight="14.25"/>
  <cols>
    <col min="1" max="1" width="7.5" bestFit="1" customWidth="1"/>
    <col min="2" max="2" width="14" bestFit="1" customWidth="1"/>
    <col min="3" max="3" width="10.25" bestFit="1" customWidth="1"/>
    <col min="4" max="4" width="13.5" bestFit="1" customWidth="1"/>
    <col min="5" max="5" width="13.25" bestFit="1" customWidth="1"/>
    <col min="6" max="6" width="8.75" bestFit="1" customWidth="1"/>
  </cols>
  <sheetData>
    <row r="1" spans="1:6" ht="15">
      <c r="A1" s="2" t="s">
        <v>1927</v>
      </c>
      <c r="B1" s="2" t="s">
        <v>1928</v>
      </c>
      <c r="C1" s="2" t="s">
        <v>1907</v>
      </c>
      <c r="D1" s="2" t="s">
        <v>2</v>
      </c>
      <c r="E1" s="2" t="s">
        <v>6</v>
      </c>
      <c r="F1" s="2" t="s">
        <v>5</v>
      </c>
    </row>
    <row r="2" spans="1:6">
      <c r="A2" t="s">
        <v>1929</v>
      </c>
      <c r="B2">
        <f>COUNTIF(CRM_Data!$AA$2:$AA$1801,A2)</f>
        <v>88</v>
      </c>
      <c r="C2">
        <f>COUNTIFS(CRM_Data!$AB$2:$AB$1801,A2,CRM_Data!$U$2:$U$1801,"Won")</f>
        <v>0</v>
      </c>
      <c r="D2" s="3">
        <f>SUMIFS(CRM_Data!$V$2:$V$1801,CRM_Data!$AB$2:$AB$1801,A2,CRM_Data!$U$2:$U$1801,"Won")</f>
        <v>0</v>
      </c>
      <c r="E2" s="3">
        <f t="shared" ref="E2:E21" si="0">IFERROR(D2/C2,0)</f>
        <v>0</v>
      </c>
      <c r="F2" s="6">
        <f>IFERROR(C2/COUNTIFS(CRM_Data!$AB$2:$AB$1801,A2,CRM_Data!$U$2:$U$1801,"&lt;&gt;Open"),0)</f>
        <v>0</v>
      </c>
    </row>
    <row r="3" spans="1:6">
      <c r="A3" t="s">
        <v>1930</v>
      </c>
      <c r="B3">
        <f>COUNTIF(CRM_Data!$AA$2:$AA$1801,A3)</f>
        <v>98</v>
      </c>
      <c r="C3">
        <f>COUNTIFS(CRM_Data!$AB$2:$AB$1801,A3,CRM_Data!$U$2:$U$1801,"Won")</f>
        <v>3</v>
      </c>
      <c r="D3" s="3">
        <f>SUMIFS(CRM_Data!$V$2:$V$1801,CRM_Data!$AB$2:$AB$1801,A3,CRM_Data!$U$2:$U$1801,"Won")</f>
        <v>60812</v>
      </c>
      <c r="E3" s="3">
        <f t="shared" si="0"/>
        <v>20270.666666666668</v>
      </c>
      <c r="F3" s="6">
        <f>IFERROR(C3/COUNTIFS(CRM_Data!$AB$2:$AB$1801,A3,CRM_Data!$U$2:$U$1801,"&lt;&gt;Open"),0)</f>
        <v>0.10344827586206896</v>
      </c>
    </row>
    <row r="4" spans="1:6">
      <c r="A4" t="s">
        <v>1931</v>
      </c>
      <c r="B4">
        <f>COUNTIF(CRM_Data!$AA$2:$AA$1801,A4)</f>
        <v>99</v>
      </c>
      <c r="C4">
        <f>COUNTIFS(CRM_Data!$AB$2:$AB$1801,A4,CRM_Data!$U$2:$U$1801,"Won")</f>
        <v>14</v>
      </c>
      <c r="D4" s="3">
        <f>SUMIFS(CRM_Data!$V$2:$V$1801,CRM_Data!$AB$2:$AB$1801,A4,CRM_Data!$U$2:$U$1801,"Won")</f>
        <v>337413</v>
      </c>
      <c r="E4" s="3">
        <f t="shared" si="0"/>
        <v>24100.928571428572</v>
      </c>
      <c r="F4" s="6">
        <f>IFERROR(C4/COUNTIFS(CRM_Data!$AB$2:$AB$1801,A4,CRM_Data!$U$2:$U$1801,"&lt;&gt;Open"),0)</f>
        <v>0.16666666666666666</v>
      </c>
    </row>
    <row r="5" spans="1:6">
      <c r="A5" t="s">
        <v>1932</v>
      </c>
      <c r="B5">
        <f>COUNTIF(CRM_Data!$AA$2:$AA$1801,A5)</f>
        <v>100</v>
      </c>
      <c r="C5">
        <f>COUNTIFS(CRM_Data!$AB$2:$AB$1801,A5,CRM_Data!$U$2:$U$1801,"Won")</f>
        <v>24</v>
      </c>
      <c r="D5" s="3">
        <f>SUMIFS(CRM_Data!$V$2:$V$1801,CRM_Data!$AB$2:$AB$1801,A5,CRM_Data!$U$2:$U$1801,"Won")</f>
        <v>646155</v>
      </c>
      <c r="E5" s="3">
        <f t="shared" si="0"/>
        <v>26923.125</v>
      </c>
      <c r="F5" s="6">
        <f>IFERROR(C5/COUNTIFS(CRM_Data!$AB$2:$AB$1801,A5,CRM_Data!$U$2:$U$1801,"&lt;&gt;Open"),0)</f>
        <v>0.2696629213483146</v>
      </c>
    </row>
    <row r="6" spans="1:6">
      <c r="A6" t="s">
        <v>1933</v>
      </c>
      <c r="B6">
        <f>COUNTIF(CRM_Data!$AA$2:$AA$1801,A6)</f>
        <v>108</v>
      </c>
      <c r="C6">
        <f>COUNTIFS(CRM_Data!$AB$2:$AB$1801,A6,CRM_Data!$U$2:$U$1801,"Won")</f>
        <v>27</v>
      </c>
      <c r="D6" s="3">
        <f>SUMIFS(CRM_Data!$V$2:$V$1801,CRM_Data!$AB$2:$AB$1801,A6,CRM_Data!$U$2:$U$1801,"Won")</f>
        <v>725995</v>
      </c>
      <c r="E6" s="3">
        <f t="shared" si="0"/>
        <v>26888.703703703704</v>
      </c>
      <c r="F6" s="6">
        <f>IFERROR(C6/COUNTIFS(CRM_Data!$AB$2:$AB$1801,A6,CRM_Data!$U$2:$U$1801,"&lt;&gt;Open"),0)</f>
        <v>0.32142857142857145</v>
      </c>
    </row>
    <row r="7" spans="1:6">
      <c r="A7" t="s">
        <v>1934</v>
      </c>
      <c r="B7">
        <f>COUNTIF(CRM_Data!$AA$2:$AA$1801,A7)</f>
        <v>76</v>
      </c>
      <c r="C7">
        <f>COUNTIFS(CRM_Data!$AB$2:$AB$1801,A7,CRM_Data!$U$2:$U$1801,"Won")</f>
        <v>16</v>
      </c>
      <c r="D7" s="3">
        <f>SUMIFS(CRM_Data!$V$2:$V$1801,CRM_Data!$AB$2:$AB$1801,A7,CRM_Data!$U$2:$U$1801,"Won")</f>
        <v>501960</v>
      </c>
      <c r="E7" s="3">
        <f t="shared" si="0"/>
        <v>31372.5</v>
      </c>
      <c r="F7" s="6">
        <f>IFERROR(C7/COUNTIFS(CRM_Data!$AB$2:$AB$1801,A7,CRM_Data!$U$2:$U$1801,"&lt;&gt;Open"),0)</f>
        <v>0.20512820512820512</v>
      </c>
    </row>
    <row r="8" spans="1:6">
      <c r="A8" t="s">
        <v>1935</v>
      </c>
      <c r="B8">
        <f>COUNTIF(CRM_Data!$AA$2:$AA$1801,A8)</f>
        <v>87</v>
      </c>
      <c r="C8">
        <f>COUNTIFS(CRM_Data!$AB$2:$AB$1801,A8,CRM_Data!$U$2:$U$1801,"Won")</f>
        <v>17</v>
      </c>
      <c r="D8" s="3">
        <f>SUMIFS(CRM_Data!$V$2:$V$1801,CRM_Data!$AB$2:$AB$1801,A8,CRM_Data!$U$2:$U$1801,"Won")</f>
        <v>393784</v>
      </c>
      <c r="E8" s="3">
        <f t="shared" si="0"/>
        <v>23163.764705882353</v>
      </c>
      <c r="F8" s="6">
        <f>IFERROR(C8/COUNTIFS(CRM_Data!$AB$2:$AB$1801,A8,CRM_Data!$U$2:$U$1801,"&lt;&gt;Open"),0)</f>
        <v>0.20238095238095238</v>
      </c>
    </row>
    <row r="9" spans="1:6">
      <c r="A9" t="s">
        <v>1936</v>
      </c>
      <c r="B9">
        <f>COUNTIF(CRM_Data!$AA$2:$AA$1801,A9)</f>
        <v>81</v>
      </c>
      <c r="C9">
        <f>COUNTIFS(CRM_Data!$AB$2:$AB$1801,A9,CRM_Data!$U$2:$U$1801,"Won")</f>
        <v>15</v>
      </c>
      <c r="D9" s="3">
        <f>SUMIFS(CRM_Data!$V$2:$V$1801,CRM_Data!$AB$2:$AB$1801,A9,CRM_Data!$U$2:$U$1801,"Won")</f>
        <v>346790</v>
      </c>
      <c r="E9" s="3">
        <f t="shared" si="0"/>
        <v>23119.333333333332</v>
      </c>
      <c r="F9" s="6">
        <f>IFERROR(C9/COUNTIFS(CRM_Data!$AB$2:$AB$1801,A9,CRM_Data!$U$2:$U$1801,"&lt;&gt;Open"),0)</f>
        <v>0.22058823529411764</v>
      </c>
    </row>
    <row r="10" spans="1:6">
      <c r="A10" t="s">
        <v>1937</v>
      </c>
      <c r="B10">
        <f>COUNTIF(CRM_Data!$AA$2:$AA$1801,A10)</f>
        <v>94</v>
      </c>
      <c r="C10">
        <f>COUNTIFS(CRM_Data!$AB$2:$AB$1801,A10,CRM_Data!$U$2:$U$1801,"Won")</f>
        <v>18</v>
      </c>
      <c r="D10" s="3">
        <f>SUMIFS(CRM_Data!$V$2:$V$1801,CRM_Data!$AB$2:$AB$1801,A10,CRM_Data!$U$2:$U$1801,"Won")</f>
        <v>547893</v>
      </c>
      <c r="E10" s="3">
        <f t="shared" si="0"/>
        <v>30438.5</v>
      </c>
      <c r="F10" s="6">
        <f>IFERROR(C10/COUNTIFS(CRM_Data!$AB$2:$AB$1801,A10,CRM_Data!$U$2:$U$1801,"&lt;&gt;Open"),0)</f>
        <v>0.30508474576271188</v>
      </c>
    </row>
    <row r="11" spans="1:6">
      <c r="A11" t="s">
        <v>1938</v>
      </c>
      <c r="B11">
        <f>COUNTIF(CRM_Data!$AA$2:$AA$1801,A11)</f>
        <v>95</v>
      </c>
      <c r="C11">
        <f>COUNTIFS(CRM_Data!$AB$2:$AB$1801,A11,CRM_Data!$U$2:$U$1801,"Won")</f>
        <v>14</v>
      </c>
      <c r="D11" s="3">
        <f>SUMIFS(CRM_Data!$V$2:$V$1801,CRM_Data!$AB$2:$AB$1801,A11,CRM_Data!$U$2:$U$1801,"Won")</f>
        <v>496510</v>
      </c>
      <c r="E11" s="3">
        <f t="shared" si="0"/>
        <v>35465</v>
      </c>
      <c r="F11" s="6">
        <f>IFERROR(C11/COUNTIFS(CRM_Data!$AB$2:$AB$1801,A11,CRM_Data!$U$2:$U$1801,"&lt;&gt;Open"),0)</f>
        <v>0.19444444444444445</v>
      </c>
    </row>
    <row r="12" spans="1:6">
      <c r="A12" t="s">
        <v>1939</v>
      </c>
      <c r="B12">
        <f>COUNTIF(CRM_Data!$AA$2:$AA$1801,A12)</f>
        <v>83</v>
      </c>
      <c r="C12">
        <f>COUNTIFS(CRM_Data!$AB$2:$AB$1801,A12,CRM_Data!$U$2:$U$1801,"Won")</f>
        <v>27</v>
      </c>
      <c r="D12" s="3">
        <f>SUMIFS(CRM_Data!$V$2:$V$1801,CRM_Data!$AB$2:$AB$1801,A12,CRM_Data!$U$2:$U$1801,"Won")</f>
        <v>669378</v>
      </c>
      <c r="E12" s="3">
        <f t="shared" si="0"/>
        <v>24791.777777777777</v>
      </c>
      <c r="F12" s="6">
        <f>IFERROR(C12/COUNTIFS(CRM_Data!$AB$2:$AB$1801,A12,CRM_Data!$U$2:$U$1801,"&lt;&gt;Open"),0)</f>
        <v>0.31764705882352939</v>
      </c>
    </row>
    <row r="13" spans="1:6">
      <c r="A13" t="s">
        <v>1940</v>
      </c>
      <c r="B13">
        <f>COUNTIF(CRM_Data!$AA$2:$AA$1801,A13)</f>
        <v>85</v>
      </c>
      <c r="C13">
        <f>COUNTIFS(CRM_Data!$AB$2:$AB$1801,A13,CRM_Data!$U$2:$U$1801,"Won")</f>
        <v>17</v>
      </c>
      <c r="D13" s="3">
        <f>SUMIFS(CRM_Data!$V$2:$V$1801,CRM_Data!$AB$2:$AB$1801,A13,CRM_Data!$U$2:$U$1801,"Won")</f>
        <v>358193</v>
      </c>
      <c r="E13" s="3">
        <f t="shared" si="0"/>
        <v>21070.176470588234</v>
      </c>
      <c r="F13" s="6">
        <f>IFERROR(C13/COUNTIFS(CRM_Data!$AB$2:$AB$1801,A13,CRM_Data!$U$2:$U$1801,"&lt;&gt;Open"),0)</f>
        <v>0.22666666666666666</v>
      </c>
    </row>
    <row r="14" spans="1:6">
      <c r="A14" t="s">
        <v>1941</v>
      </c>
      <c r="B14">
        <f>COUNTIF(CRM_Data!$AA$2:$AA$1801,A14)</f>
        <v>86</v>
      </c>
      <c r="C14">
        <f>COUNTIFS(CRM_Data!$AB$2:$AB$1801,A14,CRM_Data!$U$2:$U$1801,"Won")</f>
        <v>16</v>
      </c>
      <c r="D14" s="3">
        <f>SUMIFS(CRM_Data!$V$2:$V$1801,CRM_Data!$AB$2:$AB$1801,A14,CRM_Data!$U$2:$U$1801,"Won")</f>
        <v>501687</v>
      </c>
      <c r="E14" s="3">
        <f t="shared" si="0"/>
        <v>31355.4375</v>
      </c>
      <c r="F14" s="6">
        <f>IFERROR(C14/COUNTIFS(CRM_Data!$AB$2:$AB$1801,A14,CRM_Data!$U$2:$U$1801,"&lt;&gt;Open"),0)</f>
        <v>0.25396825396825395</v>
      </c>
    </row>
    <row r="15" spans="1:6">
      <c r="A15" t="s">
        <v>1942</v>
      </c>
      <c r="B15">
        <f>COUNTIF(CRM_Data!$AA$2:$AA$1801,A15)</f>
        <v>86</v>
      </c>
      <c r="C15">
        <f>COUNTIFS(CRM_Data!$AB$2:$AB$1801,A15,CRM_Data!$U$2:$U$1801,"Won")</f>
        <v>18</v>
      </c>
      <c r="D15" s="3">
        <f>SUMIFS(CRM_Data!$V$2:$V$1801,CRM_Data!$AB$2:$AB$1801,A15,CRM_Data!$U$2:$U$1801,"Won")</f>
        <v>447336</v>
      </c>
      <c r="E15" s="3">
        <f t="shared" si="0"/>
        <v>24852</v>
      </c>
      <c r="F15" s="6">
        <f>IFERROR(C15/COUNTIFS(CRM_Data!$AB$2:$AB$1801,A15,CRM_Data!$U$2:$U$1801,"&lt;&gt;Open"),0)</f>
        <v>0.26865671641791045</v>
      </c>
    </row>
    <row r="16" spans="1:6">
      <c r="A16" t="s">
        <v>1943</v>
      </c>
      <c r="B16">
        <f>COUNTIF(CRM_Data!$AA$2:$AA$1801,A16)</f>
        <v>88</v>
      </c>
      <c r="C16">
        <f>COUNTIFS(CRM_Data!$AB$2:$AB$1801,A16,CRM_Data!$U$2:$U$1801,"Won")</f>
        <v>19</v>
      </c>
      <c r="D16" s="3">
        <f>SUMIFS(CRM_Data!$V$2:$V$1801,CRM_Data!$AB$2:$AB$1801,A16,CRM_Data!$U$2:$U$1801,"Won")</f>
        <v>573721</v>
      </c>
      <c r="E16" s="3">
        <f t="shared" si="0"/>
        <v>30195.842105263157</v>
      </c>
      <c r="F16" s="6">
        <f>IFERROR(C16/COUNTIFS(CRM_Data!$AB$2:$AB$1801,A16,CRM_Data!$U$2:$U$1801,"&lt;&gt;Open"),0)</f>
        <v>0.26027397260273971</v>
      </c>
    </row>
    <row r="17" spans="1:6">
      <c r="A17" t="s">
        <v>1944</v>
      </c>
      <c r="B17">
        <f>COUNTIF(CRM_Data!$AA$2:$AA$1801,A17)</f>
        <v>76</v>
      </c>
      <c r="C17">
        <f>COUNTIFS(CRM_Data!$AB$2:$AB$1801,A17,CRM_Data!$U$2:$U$1801,"Won")</f>
        <v>27</v>
      </c>
      <c r="D17" s="3">
        <f>SUMIFS(CRM_Data!$V$2:$V$1801,CRM_Data!$AB$2:$AB$1801,A17,CRM_Data!$U$2:$U$1801,"Won")</f>
        <v>797483</v>
      </c>
      <c r="E17" s="3">
        <f t="shared" si="0"/>
        <v>29536.407407407409</v>
      </c>
      <c r="F17" s="6">
        <f>IFERROR(C17/COUNTIFS(CRM_Data!$AB$2:$AB$1801,A17,CRM_Data!$U$2:$U$1801,"&lt;&gt;Open"),0)</f>
        <v>0.34177215189873417</v>
      </c>
    </row>
    <row r="18" spans="1:6">
      <c r="A18" t="s">
        <v>1945</v>
      </c>
      <c r="B18">
        <f>COUNTIF(CRM_Data!$AA$2:$AA$1801,A18)</f>
        <v>84</v>
      </c>
      <c r="C18">
        <f>COUNTIFS(CRM_Data!$AB$2:$AB$1801,A18,CRM_Data!$U$2:$U$1801,"Won")</f>
        <v>18</v>
      </c>
      <c r="D18" s="3">
        <f>SUMIFS(CRM_Data!$V$2:$V$1801,CRM_Data!$AB$2:$AB$1801,A18,CRM_Data!$U$2:$U$1801,"Won")</f>
        <v>362963</v>
      </c>
      <c r="E18" s="3">
        <f t="shared" si="0"/>
        <v>20164.611111111109</v>
      </c>
      <c r="F18" s="6">
        <f>IFERROR(C18/COUNTIFS(CRM_Data!$AB$2:$AB$1801,A18,CRM_Data!$U$2:$U$1801,"&lt;&gt;Open"),0)</f>
        <v>0.27692307692307694</v>
      </c>
    </row>
    <row r="19" spans="1:6">
      <c r="A19" t="s">
        <v>1946</v>
      </c>
      <c r="B19">
        <f>COUNTIF(CRM_Data!$AA$2:$AA$1801,A19)</f>
        <v>100</v>
      </c>
      <c r="C19">
        <f>COUNTIFS(CRM_Data!$AB$2:$AB$1801,A19,CRM_Data!$U$2:$U$1801,"Won")</f>
        <v>23</v>
      </c>
      <c r="D19" s="3">
        <f>SUMIFS(CRM_Data!$V$2:$V$1801,CRM_Data!$AB$2:$AB$1801,A19,CRM_Data!$U$2:$U$1801,"Won")</f>
        <v>663935</v>
      </c>
      <c r="E19" s="3">
        <f t="shared" si="0"/>
        <v>28866.739130434784</v>
      </c>
      <c r="F19" s="6">
        <f>IFERROR(C19/COUNTIFS(CRM_Data!$AB$2:$AB$1801,A19,CRM_Data!$U$2:$U$1801,"&lt;&gt;Open"),0)</f>
        <v>0.29870129870129869</v>
      </c>
    </row>
    <row r="20" spans="1:6">
      <c r="A20" t="s">
        <v>1947</v>
      </c>
      <c r="B20">
        <f>COUNTIF(CRM_Data!$AA$2:$AA$1801,A20)</f>
        <v>106</v>
      </c>
      <c r="C20">
        <f>COUNTIFS(CRM_Data!$AB$2:$AB$1801,A20,CRM_Data!$U$2:$U$1801,"Won")</f>
        <v>18</v>
      </c>
      <c r="D20" s="3">
        <f>SUMIFS(CRM_Data!$V$2:$V$1801,CRM_Data!$AB$2:$AB$1801,A20,CRM_Data!$U$2:$U$1801,"Won")</f>
        <v>482566</v>
      </c>
      <c r="E20" s="3">
        <f t="shared" si="0"/>
        <v>26809.222222222223</v>
      </c>
      <c r="F20" s="6">
        <f>IFERROR(C20/COUNTIFS(CRM_Data!$AB$2:$AB$1801,A20,CRM_Data!$U$2:$U$1801,"&lt;&gt;Open"),0)</f>
        <v>0.32142857142857145</v>
      </c>
    </row>
    <row r="21" spans="1:6">
      <c r="A21" t="s">
        <v>1948</v>
      </c>
      <c r="B21">
        <f>COUNTIF(CRM_Data!$AA$2:$AA$1801,A21)</f>
        <v>80</v>
      </c>
      <c r="C21">
        <f>COUNTIFS(CRM_Data!$AB$2:$AB$1801,A21,CRM_Data!$U$2:$U$1801,"Won")</f>
        <v>13</v>
      </c>
      <c r="D21" s="3">
        <f>SUMIFS(CRM_Data!$V$2:$V$1801,CRM_Data!$AB$2:$AB$1801,A21,CRM_Data!$U$2:$U$1801,"Won")</f>
        <v>348890</v>
      </c>
      <c r="E21" s="3">
        <f t="shared" si="0"/>
        <v>26837.692307692309</v>
      </c>
      <c r="F21" s="6">
        <f>IFERROR(C21/COUNTIFS(CRM_Data!$AB$2:$AB$1801,A21,CRM_Data!$U$2:$U$1801,"&lt;&gt;Open"),0)</f>
        <v>0.30232558139534882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B23" sqref="B23"/>
    </sheetView>
  </sheetViews>
  <sheetFormatPr defaultRowHeight="14.25"/>
  <cols>
    <col min="1" max="1" width="7.875" bestFit="1" customWidth="1"/>
    <col min="2" max="2" width="70.25" bestFit="1" customWidth="1"/>
    <col min="3" max="3" width="77.125" bestFit="1" customWidth="1"/>
    <col min="4" max="4" width="117" bestFit="1" customWidth="1"/>
    <col min="5" max="5" width="15.5" bestFit="1" customWidth="1"/>
  </cols>
  <sheetData>
    <row r="1" spans="1:5" ht="15">
      <c r="A1" s="2" t="s">
        <v>1949</v>
      </c>
      <c r="B1" s="2" t="s">
        <v>1950</v>
      </c>
      <c r="C1" s="2" t="s">
        <v>1951</v>
      </c>
      <c r="D1" s="2" t="s">
        <v>1952</v>
      </c>
      <c r="E1" s="2" t="s">
        <v>12</v>
      </c>
    </row>
    <row r="2" spans="1:5" ht="15">
      <c r="A2" s="9" t="s">
        <v>1953</v>
      </c>
      <c r="B2" t="s">
        <v>1954</v>
      </c>
      <c r="C2" t="s">
        <v>1955</v>
      </c>
      <c r="D2" t="s">
        <v>1956</v>
      </c>
      <c r="E2" t="s">
        <v>1957</v>
      </c>
    </row>
    <row r="3" spans="1:5" ht="15">
      <c r="A3" s="9" t="s">
        <v>1953</v>
      </c>
      <c r="B3" t="s">
        <v>1958</v>
      </c>
      <c r="C3" t="s">
        <v>1959</v>
      </c>
      <c r="D3" t="s">
        <v>1960</v>
      </c>
      <c r="E3" t="s">
        <v>1961</v>
      </c>
    </row>
    <row r="4" spans="1:5" ht="15">
      <c r="A4" s="9" t="s">
        <v>1953</v>
      </c>
      <c r="B4" t="s">
        <v>1962</v>
      </c>
      <c r="C4" t="s">
        <v>1963</v>
      </c>
      <c r="D4" t="s">
        <v>1964</v>
      </c>
      <c r="E4" t="s">
        <v>1965</v>
      </c>
    </row>
    <row r="5" spans="1:5" ht="15">
      <c r="A5" s="10" t="s">
        <v>1966</v>
      </c>
      <c r="B5" t="s">
        <v>1967</v>
      </c>
      <c r="C5" t="s">
        <v>1968</v>
      </c>
      <c r="D5" t="s">
        <v>1969</v>
      </c>
      <c r="E5" t="s">
        <v>1970</v>
      </c>
    </row>
    <row r="6" spans="1:5" ht="15">
      <c r="A6" s="10" t="s">
        <v>1966</v>
      </c>
      <c r="B6" t="s">
        <v>1971</v>
      </c>
      <c r="C6" t="s">
        <v>1972</v>
      </c>
      <c r="D6" t="s">
        <v>1973</v>
      </c>
      <c r="E6" t="s">
        <v>1974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4"/>
  <sheetViews>
    <sheetView workbookViewId="0">
      <selection sqref="A1:XFD1048576"/>
    </sheetView>
  </sheetViews>
  <sheetFormatPr defaultRowHeight="14.25"/>
  <cols>
    <col min="1" max="1" width="17.625" bestFit="1" customWidth="1"/>
    <col min="2" max="2" width="13.875" bestFit="1" customWidth="1"/>
    <col min="4" max="4" width="11.125" bestFit="1" customWidth="1"/>
    <col min="5" max="5" width="22.625" bestFit="1" customWidth="1"/>
    <col min="6" max="6" width="15.75" bestFit="1" customWidth="1"/>
    <col min="7" max="7" width="7.375" bestFit="1" customWidth="1"/>
    <col min="9" max="9" width="9.625" bestFit="1" customWidth="1"/>
    <col min="10" max="10" width="7.25" bestFit="1" customWidth="1"/>
    <col min="11" max="11" width="10.875" bestFit="1" customWidth="1"/>
    <col min="12" max="12" width="9.875" bestFit="1" customWidth="1"/>
    <col min="14" max="14" width="13.875" bestFit="1" customWidth="1"/>
  </cols>
  <sheetData>
    <row r="1" spans="1:14" ht="23.25">
      <c r="A1" s="12" t="s">
        <v>1975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t="s">
        <v>1976</v>
      </c>
      <c r="B2" s="1">
        <v>46266</v>
      </c>
    </row>
    <row r="4" spans="1:14" ht="30">
      <c r="A4" s="2" t="s">
        <v>1977</v>
      </c>
      <c r="B4" s="2" t="s">
        <v>1978</v>
      </c>
      <c r="D4" s="2" t="s">
        <v>1979</v>
      </c>
      <c r="E4" s="2" t="s">
        <v>1980</v>
      </c>
      <c r="F4" s="2" t="s">
        <v>1981</v>
      </c>
      <c r="G4" s="2" t="s">
        <v>1982</v>
      </c>
      <c r="I4" s="2" t="s">
        <v>1904</v>
      </c>
      <c r="J4" s="2" t="s">
        <v>13</v>
      </c>
      <c r="K4" s="2" t="s">
        <v>1905</v>
      </c>
      <c r="L4" s="2" t="s">
        <v>1910</v>
      </c>
      <c r="N4" s="2" t="s">
        <v>1983</v>
      </c>
    </row>
    <row r="5" spans="1:14">
      <c r="A5" t="s">
        <v>51</v>
      </c>
      <c r="B5" t="s">
        <v>1917</v>
      </c>
      <c r="D5" t="s">
        <v>52</v>
      </c>
      <c r="E5" t="s">
        <v>1984</v>
      </c>
      <c r="F5" t="s">
        <v>1985</v>
      </c>
      <c r="G5" s="3">
        <v>9000</v>
      </c>
      <c r="I5" t="s">
        <v>69</v>
      </c>
      <c r="J5" t="s">
        <v>57</v>
      </c>
      <c r="K5" t="s">
        <v>1986</v>
      </c>
      <c r="L5" s="3">
        <v>1035000</v>
      </c>
      <c r="N5" t="s">
        <v>1917</v>
      </c>
    </row>
    <row r="6" spans="1:14">
      <c r="A6" t="s">
        <v>127</v>
      </c>
      <c r="B6" t="s">
        <v>1917</v>
      </c>
      <c r="D6" t="s">
        <v>59</v>
      </c>
      <c r="E6" t="s">
        <v>1987</v>
      </c>
      <c r="F6" t="s">
        <v>1985</v>
      </c>
      <c r="G6" s="3">
        <v>22000</v>
      </c>
      <c r="I6" t="s">
        <v>64</v>
      </c>
      <c r="J6" t="s">
        <v>57</v>
      </c>
      <c r="K6" t="s">
        <v>1986</v>
      </c>
      <c r="L6" s="3">
        <v>1232000</v>
      </c>
      <c r="N6" t="s">
        <v>1918</v>
      </c>
    </row>
    <row r="7" spans="1:14">
      <c r="A7" t="s">
        <v>65</v>
      </c>
      <c r="B7" t="s">
        <v>1917</v>
      </c>
      <c r="D7" t="s">
        <v>71</v>
      </c>
      <c r="E7" t="s">
        <v>1988</v>
      </c>
      <c r="F7" t="s">
        <v>1989</v>
      </c>
      <c r="G7" s="3">
        <v>18000</v>
      </c>
      <c r="I7" t="s">
        <v>56</v>
      </c>
      <c r="J7" t="s">
        <v>57</v>
      </c>
      <c r="K7" t="s">
        <v>1990</v>
      </c>
      <c r="L7" s="3">
        <v>1258000</v>
      </c>
      <c r="N7" t="s">
        <v>1919</v>
      </c>
    </row>
    <row r="8" spans="1:14">
      <c r="A8" t="s">
        <v>44</v>
      </c>
      <c r="B8" t="s">
        <v>1918</v>
      </c>
      <c r="D8" t="s">
        <v>133</v>
      </c>
      <c r="E8" t="s">
        <v>1991</v>
      </c>
      <c r="F8" t="s">
        <v>1992</v>
      </c>
      <c r="G8" s="3">
        <v>26000</v>
      </c>
      <c r="I8" t="s">
        <v>90</v>
      </c>
      <c r="J8" t="s">
        <v>57</v>
      </c>
      <c r="K8" t="s">
        <v>1990</v>
      </c>
      <c r="L8" s="3">
        <v>1163000</v>
      </c>
      <c r="N8" t="s">
        <v>107</v>
      </c>
    </row>
    <row r="9" spans="1:14">
      <c r="A9" t="s">
        <v>138</v>
      </c>
      <c r="B9" t="s">
        <v>1918</v>
      </c>
      <c r="D9" t="s">
        <v>45</v>
      </c>
      <c r="E9" t="s">
        <v>1993</v>
      </c>
      <c r="F9" t="s">
        <v>1994</v>
      </c>
      <c r="G9" s="3">
        <v>24000</v>
      </c>
      <c r="I9" t="s">
        <v>42</v>
      </c>
      <c r="J9" t="s">
        <v>43</v>
      </c>
      <c r="K9" t="s">
        <v>1986</v>
      </c>
      <c r="L9" s="3">
        <v>1057000</v>
      </c>
      <c r="N9" t="s">
        <v>1920</v>
      </c>
    </row>
    <row r="10" spans="1:14">
      <c r="A10" t="s">
        <v>83</v>
      </c>
      <c r="B10" t="s">
        <v>1918</v>
      </c>
      <c r="D10" t="s">
        <v>67</v>
      </c>
      <c r="E10" t="s">
        <v>1995</v>
      </c>
      <c r="F10" t="s">
        <v>1996</v>
      </c>
      <c r="G10" s="3">
        <v>42000</v>
      </c>
      <c r="I10" t="s">
        <v>148</v>
      </c>
      <c r="J10" t="s">
        <v>43</v>
      </c>
      <c r="K10" t="s">
        <v>1990</v>
      </c>
      <c r="L10" s="3">
        <v>1075000</v>
      </c>
      <c r="N10" t="s">
        <v>75</v>
      </c>
    </row>
    <row r="11" spans="1:14">
      <c r="A11" t="s">
        <v>146</v>
      </c>
      <c r="B11" t="s">
        <v>1919</v>
      </c>
      <c r="I11" t="s">
        <v>50</v>
      </c>
      <c r="J11" t="s">
        <v>43</v>
      </c>
      <c r="K11" t="s">
        <v>1986</v>
      </c>
      <c r="L11" s="3">
        <v>1754000</v>
      </c>
      <c r="N11" t="s">
        <v>109</v>
      </c>
    </row>
    <row r="12" spans="1:14">
      <c r="A12" t="s">
        <v>70</v>
      </c>
      <c r="B12" t="s">
        <v>1919</v>
      </c>
      <c r="I12" t="s">
        <v>86</v>
      </c>
      <c r="J12" t="s">
        <v>87</v>
      </c>
      <c r="K12" t="s">
        <v>1990</v>
      </c>
      <c r="L12" s="3">
        <v>1289000</v>
      </c>
      <c r="N12" t="s">
        <v>1921</v>
      </c>
    </row>
    <row r="13" spans="1:14">
      <c r="A13" t="s">
        <v>96</v>
      </c>
      <c r="B13" t="s">
        <v>1919</v>
      </c>
    </row>
    <row r="14" spans="1:14">
      <c r="A14" t="s">
        <v>107</v>
      </c>
      <c r="B14" t="s">
        <v>107</v>
      </c>
    </row>
    <row r="15" spans="1:14">
      <c r="A15" t="s">
        <v>166</v>
      </c>
      <c r="B15" t="s">
        <v>107</v>
      </c>
    </row>
    <row r="16" spans="1:14">
      <c r="A16" t="s">
        <v>119</v>
      </c>
      <c r="B16" t="s">
        <v>107</v>
      </c>
    </row>
    <row r="17" spans="1:2">
      <c r="A17" t="s">
        <v>160</v>
      </c>
      <c r="B17" t="s">
        <v>1920</v>
      </c>
    </row>
    <row r="18" spans="1:2">
      <c r="A18" t="s">
        <v>58</v>
      </c>
      <c r="B18" t="s">
        <v>1920</v>
      </c>
    </row>
    <row r="19" spans="1:2">
      <c r="A19" t="s">
        <v>123</v>
      </c>
      <c r="B19" t="s">
        <v>1920</v>
      </c>
    </row>
    <row r="20" spans="1:2">
      <c r="A20" t="s">
        <v>75</v>
      </c>
      <c r="B20" t="s">
        <v>75</v>
      </c>
    </row>
    <row r="21" spans="1:2">
      <c r="A21" t="s">
        <v>92</v>
      </c>
      <c r="B21" t="s">
        <v>75</v>
      </c>
    </row>
    <row r="22" spans="1:2">
      <c r="A22" t="s">
        <v>109</v>
      </c>
      <c r="B22" t="s">
        <v>109</v>
      </c>
    </row>
    <row r="23" spans="1:2">
      <c r="A23" t="s">
        <v>98</v>
      </c>
      <c r="B23" t="s">
        <v>109</v>
      </c>
    </row>
    <row r="24" spans="1:2">
      <c r="A24" t="s">
        <v>115</v>
      </c>
      <c r="B24" t="s">
        <v>109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workbookViewId="0">
      <selection activeCell="D22" sqref="D22"/>
    </sheetView>
  </sheetViews>
  <sheetFormatPr defaultRowHeight="14.25"/>
  <cols>
    <col min="1" max="1" width="21.25" bestFit="1" customWidth="1"/>
    <col min="2" max="2" width="13" bestFit="1" customWidth="1"/>
    <col min="3" max="3" width="20.625" bestFit="1" customWidth="1"/>
    <col min="4" max="4" width="34" bestFit="1" customWidth="1"/>
  </cols>
  <sheetData>
    <row r="1" spans="1:4" ht="15">
      <c r="A1" s="2" t="s">
        <v>1997</v>
      </c>
      <c r="B1" s="2" t="s">
        <v>1998</v>
      </c>
      <c r="C1" s="2" t="s">
        <v>1999</v>
      </c>
      <c r="D1" s="2" t="s">
        <v>2000</v>
      </c>
    </row>
    <row r="2" spans="1:4">
      <c r="A2" s="7" t="s">
        <v>10</v>
      </c>
      <c r="B2" s="7" t="s">
        <v>2001</v>
      </c>
      <c r="C2" s="7" t="s">
        <v>2002</v>
      </c>
      <c r="D2" s="7" t="s">
        <v>2003</v>
      </c>
    </row>
    <row r="3" spans="1:4">
      <c r="A3" s="7" t="s">
        <v>11</v>
      </c>
      <c r="B3" s="7" t="s">
        <v>2004</v>
      </c>
      <c r="C3" s="7" t="s">
        <v>2002</v>
      </c>
      <c r="D3" s="7" t="s">
        <v>2005</v>
      </c>
    </row>
    <row r="4" spans="1:4">
      <c r="A4" s="7" t="s">
        <v>12</v>
      </c>
      <c r="B4" s="7" t="s">
        <v>2001</v>
      </c>
      <c r="C4" s="7" t="s">
        <v>2002</v>
      </c>
      <c r="D4" s="7" t="s">
        <v>2006</v>
      </c>
    </row>
    <row r="5" spans="1:4">
      <c r="A5" s="7" t="s">
        <v>14</v>
      </c>
      <c r="B5" s="7" t="s">
        <v>2001</v>
      </c>
      <c r="C5" s="7" t="s">
        <v>2002</v>
      </c>
      <c r="D5" s="7" t="s">
        <v>2007</v>
      </c>
    </row>
    <row r="6" spans="1:4">
      <c r="A6" s="7" t="s">
        <v>26</v>
      </c>
      <c r="B6" s="7" t="s">
        <v>2001</v>
      </c>
      <c r="C6" s="7" t="s">
        <v>2058</v>
      </c>
      <c r="D6" s="7" t="s">
        <v>2008</v>
      </c>
    </row>
    <row r="7" spans="1:4">
      <c r="A7" s="7" t="s">
        <v>27</v>
      </c>
      <c r="B7" s="7" t="s">
        <v>2001</v>
      </c>
      <c r="C7" s="7" t="s">
        <v>2058</v>
      </c>
      <c r="D7" s="7" t="s">
        <v>2009</v>
      </c>
    </row>
    <row r="8" spans="1:4">
      <c r="A8" s="7" t="s">
        <v>29</v>
      </c>
      <c r="B8" s="7" t="s">
        <v>2001</v>
      </c>
      <c r="C8" s="7" t="s">
        <v>2010</v>
      </c>
      <c r="D8" s="7" t="s">
        <v>2011</v>
      </c>
    </row>
    <row r="9" spans="1:4">
      <c r="A9" s="7" t="s">
        <v>30</v>
      </c>
      <c r="B9" s="7" t="s">
        <v>2001</v>
      </c>
      <c r="C9" s="7" t="s">
        <v>2010</v>
      </c>
      <c r="D9" s="7" t="s">
        <v>2012</v>
      </c>
    </row>
    <row r="10" spans="1:4">
      <c r="A10" s="7" t="s">
        <v>31</v>
      </c>
      <c r="B10" s="7" t="s">
        <v>2013</v>
      </c>
      <c r="C10" s="7" t="s">
        <v>2010</v>
      </c>
      <c r="D10" s="7" t="s">
        <v>2014</v>
      </c>
    </row>
    <row r="11" spans="1:4">
      <c r="A11" s="7" t="s">
        <v>32</v>
      </c>
      <c r="B11" s="7" t="s">
        <v>2013</v>
      </c>
      <c r="C11" s="7" t="s">
        <v>2010</v>
      </c>
      <c r="D11" s="7" t="s">
        <v>2015</v>
      </c>
    </row>
    <row r="12" spans="1:4">
      <c r="A12" s="7" t="s">
        <v>33</v>
      </c>
      <c r="B12" s="7" t="s">
        <v>2016</v>
      </c>
      <c r="C12" s="7" t="s">
        <v>2017</v>
      </c>
      <c r="D12" s="7" t="s">
        <v>2018</v>
      </c>
    </row>
    <row r="13" spans="1:4">
      <c r="A13" s="7" t="s">
        <v>34</v>
      </c>
      <c r="B13" s="7" t="s">
        <v>2016</v>
      </c>
      <c r="C13" s="7" t="s">
        <v>2010</v>
      </c>
      <c r="D13" s="7" t="s">
        <v>2019</v>
      </c>
    </row>
    <row r="14" spans="1:4">
      <c r="A14" s="7" t="s">
        <v>35</v>
      </c>
      <c r="B14" s="7" t="s">
        <v>2001</v>
      </c>
      <c r="C14" s="7" t="s">
        <v>2020</v>
      </c>
      <c r="D14" s="7" t="s">
        <v>2021</v>
      </c>
    </row>
    <row r="15" spans="1:4">
      <c r="A15" s="7" t="s">
        <v>36</v>
      </c>
      <c r="B15" s="7" t="s">
        <v>2001</v>
      </c>
      <c r="C15" s="7" t="s">
        <v>2022</v>
      </c>
      <c r="D15" s="7" t="s">
        <v>2023</v>
      </c>
    </row>
    <row r="16" spans="1:4" ht="28.5">
      <c r="A16" s="7" t="s">
        <v>38</v>
      </c>
      <c r="B16" s="7" t="s">
        <v>2001</v>
      </c>
      <c r="C16" s="7" t="s">
        <v>2024</v>
      </c>
      <c r="D16" s="7" t="s">
        <v>2025</v>
      </c>
    </row>
    <row r="17" spans="1:4">
      <c r="A17" s="7" t="s">
        <v>39</v>
      </c>
      <c r="B17" s="7" t="s">
        <v>2016</v>
      </c>
      <c r="C17" s="7" t="s">
        <v>2026</v>
      </c>
      <c r="D17" s="7" t="s">
        <v>2027</v>
      </c>
    </row>
    <row r="18" spans="1:4" ht="28.5">
      <c r="A18" s="7" t="s">
        <v>40</v>
      </c>
      <c r="B18" s="7" t="s">
        <v>2001</v>
      </c>
      <c r="C18" s="7" t="s">
        <v>2028</v>
      </c>
      <c r="D18" s="7" t="s">
        <v>2029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tabSelected="1" workbookViewId="0">
      <selection activeCell="B20" sqref="B20"/>
    </sheetView>
  </sheetViews>
  <sheetFormatPr defaultRowHeight="14.25"/>
  <cols>
    <col min="1" max="1" width="23.375" bestFit="1" customWidth="1"/>
    <col min="2" max="2" width="73.375" bestFit="1" customWidth="1"/>
  </cols>
  <sheetData>
    <row r="1" spans="1:8" ht="23.25">
      <c r="A1" s="12" t="s">
        <v>2030</v>
      </c>
      <c r="B1" s="12"/>
      <c r="C1" s="12"/>
      <c r="D1" s="12"/>
      <c r="E1" s="12"/>
      <c r="F1" s="12"/>
      <c r="G1" s="12"/>
      <c r="H1" s="12"/>
    </row>
    <row r="3" spans="1:8" ht="28.5">
      <c r="A3" s="8" t="s">
        <v>2031</v>
      </c>
      <c r="B3" s="7" t="s">
        <v>2032</v>
      </c>
    </row>
    <row r="4" spans="1:8" ht="15">
      <c r="A4" s="8" t="s">
        <v>2033</v>
      </c>
      <c r="B4" s="7" t="s">
        <v>2034</v>
      </c>
    </row>
    <row r="5" spans="1:8" ht="28.5">
      <c r="A5" s="8" t="s">
        <v>2035</v>
      </c>
      <c r="B5" s="7" t="s">
        <v>2059</v>
      </c>
    </row>
    <row r="6" spans="1:8" ht="28.5">
      <c r="A6" s="8" t="s">
        <v>2036</v>
      </c>
      <c r="B6" s="7" t="s">
        <v>2037</v>
      </c>
    </row>
    <row r="7" spans="1:8" ht="15">
      <c r="A7" s="8" t="s">
        <v>2038</v>
      </c>
      <c r="B7" s="7" t="s">
        <v>2039</v>
      </c>
    </row>
    <row r="8" spans="1:8" ht="28.5">
      <c r="A8" s="8" t="s">
        <v>2040</v>
      </c>
      <c r="B8" s="7" t="s">
        <v>2041</v>
      </c>
    </row>
    <row r="10" spans="1:8" ht="15">
      <c r="A10" s="13" t="s">
        <v>2042</v>
      </c>
      <c r="B10" s="13"/>
      <c r="C10" s="13"/>
      <c r="D10" s="13"/>
      <c r="E10" s="13"/>
      <c r="F10" s="13"/>
      <c r="G10" s="13"/>
      <c r="H10" s="13"/>
    </row>
    <row r="11" spans="1:8" ht="15">
      <c r="A11" s="11" t="s">
        <v>2058</v>
      </c>
      <c r="B11" s="7" t="s">
        <v>2043</v>
      </c>
    </row>
    <row r="12" spans="1:8" ht="15">
      <c r="A12" s="11" t="s">
        <v>2044</v>
      </c>
      <c r="B12" s="7" t="s">
        <v>2045</v>
      </c>
    </row>
    <row r="13" spans="1:8" ht="15">
      <c r="A13" s="11" t="s">
        <v>2046</v>
      </c>
      <c r="B13" s="7" t="s">
        <v>2047</v>
      </c>
    </row>
    <row r="14" spans="1:8" ht="15">
      <c r="A14" s="11" t="s">
        <v>2048</v>
      </c>
      <c r="B14" s="7" t="s">
        <v>2049</v>
      </c>
    </row>
    <row r="15" spans="1:8" ht="30">
      <c r="A15" s="11" t="s">
        <v>2050</v>
      </c>
      <c r="B15" s="7" t="s">
        <v>2051</v>
      </c>
    </row>
    <row r="16" spans="1:8" ht="15">
      <c r="A16" s="11" t="s">
        <v>2052</v>
      </c>
      <c r="B16" s="7" t="s">
        <v>2053</v>
      </c>
    </row>
    <row r="17" spans="1:2" ht="15">
      <c r="A17" s="11" t="s">
        <v>2054</v>
      </c>
      <c r="B17" s="7" t="s">
        <v>2055</v>
      </c>
    </row>
    <row r="18" spans="1:2" ht="15">
      <c r="A18" s="11" t="s">
        <v>2056</v>
      </c>
      <c r="B18" s="7" t="s">
        <v>2057</v>
      </c>
    </row>
  </sheetData>
  <mergeCells count="2">
    <mergeCell ref="A1:H1"/>
    <mergeCell ref="A10:H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CRM_Data</vt:lpstr>
      <vt:lpstr>Rep_Performance</vt:lpstr>
      <vt:lpstr>Channel_Performance</vt:lpstr>
      <vt:lpstr>Funnel_Analysis</vt:lpstr>
      <vt:lpstr>Monthly_Trend</vt:lpstr>
      <vt:lpstr>Action_List</vt:lpstr>
      <vt:lpstr>Lookups</vt:lpstr>
      <vt:lpstr>Data_Dictionary</vt:lpstr>
      <vt:lpstr>Project_Overview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2026-09-22T08:00:31Z</dcterms:modified>
</cp:coreProperties>
</file>